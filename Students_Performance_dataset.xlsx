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ivotCache/richPivotRecords1.xml" ContentType="application/vnd.openxmlformats-officedocument.spreadsheetml.richPivotRecords+xml"/>
  <Override PartName="/xl/richData/rdRichValueTypes.xml" ContentType="application/vnd.ms-excel.rdrichvaluetypes+xml"/>
  <Override PartName="/xl/richData/rdsupportingpropertybag.xml" ContentType="application/vnd.ms-excel.rdsupportingpropertybag+xml"/>
  <Override PartName="/xl/richData/rdsupportingpropertybagstructure.xml" ContentType="application/vnd.ms-excel.rdsupportingpropertybagstructure+xml"/>
  <Override PartName="/xl/richData/rdarray.xml" ContentType="application/vnd.ms-excel.rdarray+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tudent\Downloads\"/>
    </mc:Choice>
  </mc:AlternateContent>
  <xr:revisionPtr revIDLastSave="0" documentId="13_ncr:1_{CABFA630-A75B-4D4E-B54D-D86E1288F970}" xr6:coauthVersionLast="47" xr6:coauthVersionMax="47" xr10:uidLastSave="{00000000-0000-0000-0000-000000000000}"/>
  <bookViews>
    <workbookView xWindow="0" yWindow="0" windowWidth="23880" windowHeight="12900" activeTab="4" xr2:uid="{3DA815C0-585B-455A-AA2B-033E2CDF228B}"/>
  </bookViews>
  <sheets>
    <sheet name="in" sheetId="1" r:id="rId1"/>
    <sheet name="Pivots and Charts" sheetId="2" r:id="rId2"/>
    <sheet name="Students" sheetId="4" r:id="rId3"/>
    <sheet name="Extra Skills" sheetId="5" r:id="rId4"/>
    <sheet name="Dashboard" sheetId="3" r:id="rId5"/>
  </sheets>
  <definedNames>
    <definedName name="Slicer_Program">#N/A</definedName>
    <definedName name="Slicer_University_Admission_year">#N/A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02" i="2" l="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H3" i="1"/>
  <c r="AH2"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alcChain>
</file>

<file path=xl/sharedStrings.xml><?xml version="1.0" encoding="utf-8"?>
<sst xmlns="http://schemas.openxmlformats.org/spreadsheetml/2006/main" count="21617" uniqueCount="135">
  <si>
    <t>University Admission year</t>
  </si>
  <si>
    <t>Gender</t>
  </si>
  <si>
    <t>Age</t>
  </si>
  <si>
    <t>H.S.C passing year</t>
  </si>
  <si>
    <t>Program</t>
  </si>
  <si>
    <t>Current Semester</t>
  </si>
  <si>
    <t>Do you have meritorious scholarship ?</t>
  </si>
  <si>
    <t>Do you use University transportation?</t>
  </si>
  <si>
    <t>How many hour do you study daily?</t>
  </si>
  <si>
    <t>How many times do you seat for study in a day?</t>
  </si>
  <si>
    <t>What is your preferable learning mode?</t>
  </si>
  <si>
    <t>Do you play mobile games?</t>
  </si>
  <si>
    <t>Do you have personal Computer?</t>
  </si>
  <si>
    <t>How many hour do you spent daily in social media?</t>
  </si>
  <si>
    <t>Status of your English language proficiency</t>
  </si>
  <si>
    <t>Average attendance on class</t>
  </si>
  <si>
    <t>Did you ever fall in probation?</t>
  </si>
  <si>
    <t>Did you ever got suspension?</t>
  </si>
  <si>
    <t>Do you attend in teacher consultancy for any kind of academical problems?</t>
  </si>
  <si>
    <t>What are the skills do you have ?</t>
  </si>
  <si>
    <t>How many hour do you spent daily on your skill development?</t>
  </si>
  <si>
    <t>What is you interested area?</t>
  </si>
  <si>
    <t>What is your relationship status?</t>
  </si>
  <si>
    <t>Are you engaged with any co-curriculum activities?</t>
  </si>
  <si>
    <t>With whom you are living with?</t>
  </si>
  <si>
    <t>Do you have any health issues?</t>
  </si>
  <si>
    <t>What was your previous SGPA?</t>
  </si>
  <si>
    <t>Do you have any physical disabilities?</t>
  </si>
  <si>
    <t>What is your current CGPA?</t>
  </si>
  <si>
    <t>How many Credit did you have completed?</t>
  </si>
  <si>
    <t>What is your monthly family income?</t>
  </si>
  <si>
    <t>Performance</t>
  </si>
  <si>
    <t>Risk Flag</t>
  </si>
  <si>
    <t>Engagement Score</t>
  </si>
  <si>
    <t>Male</t>
  </si>
  <si>
    <t>BCSE</t>
  </si>
  <si>
    <t>Yes</t>
  </si>
  <si>
    <t>No</t>
  </si>
  <si>
    <t>Offline</t>
  </si>
  <si>
    <t>Intermediate</t>
  </si>
  <si>
    <t>Software Development</t>
  </si>
  <si>
    <t>Data Science</t>
  </si>
  <si>
    <t>Single</t>
  </si>
  <si>
    <t>Bachelor</t>
  </si>
  <si>
    <t>Online</t>
  </si>
  <si>
    <t>Basic</t>
  </si>
  <si>
    <t>Event management</t>
  </si>
  <si>
    <t>Family</t>
  </si>
  <si>
    <t>Female</t>
  </si>
  <si>
    <t>Artificial Intelligence</t>
  </si>
  <si>
    <t>Relationship</t>
  </si>
  <si>
    <t>Networking</t>
  </si>
  <si>
    <t>Machine Learning</t>
  </si>
  <si>
    <t>Advance</t>
  </si>
  <si>
    <t>Content creation</t>
  </si>
  <si>
    <t>Other</t>
  </si>
  <si>
    <t>Married</t>
  </si>
  <si>
    <t>Engaged</t>
  </si>
  <si>
    <t>Graphics Designing</t>
  </si>
  <si>
    <t>Hardware</t>
  </si>
  <si>
    <t>Database</t>
  </si>
  <si>
    <t>Cyber security</t>
  </si>
  <si>
    <t>Web Development</t>
  </si>
  <si>
    <t>Blockchain</t>
  </si>
  <si>
    <t>App development</t>
  </si>
  <si>
    <t>Nothing</t>
  </si>
  <si>
    <t>Nothing specially</t>
  </si>
  <si>
    <t>Entrepreneur</t>
  </si>
  <si>
    <t>Networking, MIS</t>
  </si>
  <si>
    <t>Digital Marketing</t>
  </si>
  <si>
    <t>Software Development, Networking</t>
  </si>
  <si>
    <t>Software Development, Mentoring</t>
  </si>
  <si>
    <t>Not yet</t>
  </si>
  <si>
    <t>Data entry</t>
  </si>
  <si>
    <t>Photographey</t>
  </si>
  <si>
    <t>Don't have any</t>
  </si>
  <si>
    <t>I do not know this</t>
  </si>
  <si>
    <t>Nothing in this chart</t>
  </si>
  <si>
    <t>Cyber Security</t>
  </si>
  <si>
    <t>Not Any</t>
  </si>
  <si>
    <t>no skills</t>
  </si>
  <si>
    <t>learner</t>
  </si>
  <si>
    <t>No skill</t>
  </si>
  <si>
    <t>Basic knowledge</t>
  </si>
  <si>
    <t>System analysis</t>
  </si>
  <si>
    <t>No skills</t>
  </si>
  <si>
    <t>Memorizing</t>
  </si>
  <si>
    <t>Trying to learn</t>
  </si>
  <si>
    <t>Photography</t>
  </si>
  <si>
    <t>Communication</t>
  </si>
  <si>
    <t>No Skill</t>
  </si>
  <si>
    <t>94-98</t>
  </si>
  <si>
    <t>videography, video editing</t>
  </si>
  <si>
    <t>Nothing properly</t>
  </si>
  <si>
    <t>None</t>
  </si>
  <si>
    <t>Confused</t>
  </si>
  <si>
    <t>Its on learning phase</t>
  </si>
  <si>
    <t>Graphics designing</t>
  </si>
  <si>
    <t>Nothing much</t>
  </si>
  <si>
    <t>E-commerce</t>
  </si>
  <si>
    <t>Teaching</t>
  </si>
  <si>
    <t>i don't</t>
  </si>
  <si>
    <t>Video editing</t>
  </si>
  <si>
    <t>Mentoring</t>
  </si>
  <si>
    <t>Graphics design</t>
  </si>
  <si>
    <t>graphic design</t>
  </si>
  <si>
    <t>Market Analysis</t>
  </si>
  <si>
    <t>Python</t>
  </si>
  <si>
    <t>Problem solving</t>
  </si>
  <si>
    <t>Haven't started yet</t>
  </si>
  <si>
    <t>Learning frontend</t>
  </si>
  <si>
    <t>In a relationship</t>
  </si>
  <si>
    <t>no</t>
  </si>
  <si>
    <t>Software Development skill</t>
  </si>
  <si>
    <t>Count of Gender</t>
  </si>
  <si>
    <t>Grand Total</t>
  </si>
  <si>
    <t>Average of What is your current CGPA?</t>
  </si>
  <si>
    <t>At Risk</t>
  </si>
  <si>
    <t>High</t>
  </si>
  <si>
    <t>At Risk Total</t>
  </si>
  <si>
    <t>Normal</t>
  </si>
  <si>
    <t>Low</t>
  </si>
  <si>
    <t>Medium</t>
  </si>
  <si>
    <t>Normal Total</t>
  </si>
  <si>
    <t>Count of Performance</t>
  </si>
  <si>
    <t>Count of Do you have meritorious scholarship ?</t>
  </si>
  <si>
    <t>Count of What is you interested area?</t>
  </si>
  <si>
    <t>Count of Status of your English language proficiency</t>
  </si>
  <si>
    <t>Percent of Do you attend in teacher consultancy for any kind of academical problems?</t>
  </si>
  <si>
    <t>Count of Are you engaged with any co-curriculum activities?</t>
  </si>
  <si>
    <t>Percentage of Do you have any health issues?</t>
  </si>
  <si>
    <t>Percent of What is your preferable learning mode?</t>
  </si>
  <si>
    <t>Average time on skills</t>
  </si>
  <si>
    <t>Count of Do you play mobile games?</t>
  </si>
  <si>
    <t>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</si>
</sst>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pivotButton="1"/>
    <xf numFmtId="0" fontId="0" fillId="0" borderId="0" xfId="0" applyAlignment="1">
      <alignment wrapText="1"/>
    </xf>
    <xf numFmtId="0" fontId="18" fillId="0" borderId="0" xfId="42"/>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colors>
    <mruColors>
      <color rgb="FF122961"/>
      <color rgb="FF0B1A4A"/>
      <color rgb="FF193A7D"/>
      <color rgb="FF182F69"/>
      <color rgb="FF1D3675"/>
      <color rgb="FF102966"/>
      <color rgb="FF1A40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Array" Target="richData/rdarray.xml"/><Relationship Id="rId10" Type="http://schemas.openxmlformats.org/officeDocument/2006/relationships/styles" Target="styles.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Members Admitted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and Charts'!$B$1</c:f>
              <c:strCache>
                <c:ptCount val="1"/>
                <c:pt idx="0">
                  <c:v>Total</c:v>
                </c:pt>
              </c:strCache>
            </c:strRef>
          </c:tx>
          <c:spPr>
            <a:solidFill>
              <a:schemeClr val="accent1"/>
            </a:solidFill>
            <a:ln>
              <a:noFill/>
            </a:ln>
            <a:effectLst/>
          </c:spPr>
          <c:invertIfNegative val="0"/>
          <c:cat>
            <c:strRef>
              <c:f>'Pivots and Charts'!$A$2:$A$13</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'Pivots and Charts'!$B$2:$B$13</c:f>
              <c:numCache>
                <c:formatCode>General</c:formatCode>
                <c:ptCount val="11"/>
                <c:pt idx="0">
                  <c:v>1</c:v>
                </c:pt>
                <c:pt idx="1">
                  <c:v>3</c:v>
                </c:pt>
                <c:pt idx="2">
                  <c:v>5</c:v>
                </c:pt>
                <c:pt idx="3">
                  <c:v>4</c:v>
                </c:pt>
                <c:pt idx="4">
                  <c:v>12</c:v>
                </c:pt>
                <c:pt idx="5">
                  <c:v>49</c:v>
                </c:pt>
                <c:pt idx="6">
                  <c:v>178</c:v>
                </c:pt>
                <c:pt idx="7">
                  <c:v>283</c:v>
                </c:pt>
                <c:pt idx="8">
                  <c:v>328</c:v>
                </c:pt>
                <c:pt idx="9">
                  <c:v>325</c:v>
                </c:pt>
                <c:pt idx="10">
                  <c:v>6</c:v>
                </c:pt>
              </c:numCache>
            </c:numRef>
          </c:val>
          <c:extLst>
            <c:ext xmlns:c16="http://schemas.microsoft.com/office/drawing/2014/chart" uri="{C3380CC4-5D6E-409C-BE32-E72D297353CC}">
              <c16:uniqueId val="{00000000-73BB-4A9B-9013-77C750B476ED}"/>
            </c:ext>
          </c:extLst>
        </c:ser>
        <c:dLbls>
          <c:showLegendKey val="0"/>
          <c:showVal val="0"/>
          <c:showCatName val="0"/>
          <c:showSerName val="0"/>
          <c:showPercent val="0"/>
          <c:showBubbleSize val="0"/>
        </c:dLbls>
        <c:gapWidth val="150"/>
        <c:overlap val="100"/>
        <c:axId val="550892040"/>
        <c:axId val="550176264"/>
      </c:barChart>
      <c:catAx>
        <c:axId val="550892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176264"/>
        <c:crosses val="autoZero"/>
        <c:auto val="1"/>
        <c:lblAlgn val="ctr"/>
        <c:lblOffset val="100"/>
        <c:noMultiLvlLbl val="0"/>
      </c:catAx>
      <c:valAx>
        <c:axId val="550176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892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'Pivots and Charts'!$B$140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EA-4C46-9377-9E03E6A829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EA-4C46-9377-9E03E6A829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EA-4C46-9377-9E03E6A8297D}"/>
              </c:ext>
            </c:extLst>
          </c:dPt>
          <c:cat>
            <c:strRef>
              <c:f>'Pivots and Charts'!$A$141:$A$144</c:f>
              <c:strCache>
                <c:ptCount val="3"/>
                <c:pt idx="0">
                  <c:v>High</c:v>
                </c:pt>
                <c:pt idx="1">
                  <c:v>Low</c:v>
                </c:pt>
                <c:pt idx="2">
                  <c:v>Medium</c:v>
                </c:pt>
              </c:strCache>
            </c:strRef>
          </c:cat>
          <c:val>
            <c:numRef>
              <c:f>'Pivots and Charts'!$B$141:$B$144</c:f>
              <c:numCache>
                <c:formatCode>General</c:formatCode>
                <c:ptCount val="3"/>
                <c:pt idx="0">
                  <c:v>438</c:v>
                </c:pt>
                <c:pt idx="1">
                  <c:v>91</c:v>
                </c:pt>
                <c:pt idx="2">
                  <c:v>665</c:v>
                </c:pt>
              </c:numCache>
            </c:numRef>
          </c:val>
          <c:extLst>
            <c:ext xmlns:c16="http://schemas.microsoft.com/office/drawing/2014/chart" uri="{C3380CC4-5D6E-409C-BE32-E72D297353CC}">
              <c16:uniqueId val="{00000000-7723-4DF1-BD16-3091BCD391D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Scholarship provided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'Pivots and Charts'!$B$146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25-4D0F-BB11-C4C47B45E2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25-4D0F-BB11-C4C47B45E237}"/>
              </c:ext>
            </c:extLst>
          </c:dPt>
          <c:cat>
            <c:strRef>
              <c:f>'Pivots and Charts'!$A$147:$A$149</c:f>
              <c:strCache>
                <c:ptCount val="2"/>
                <c:pt idx="0">
                  <c:v>No</c:v>
                </c:pt>
                <c:pt idx="1">
                  <c:v>Yes</c:v>
                </c:pt>
              </c:strCache>
            </c:strRef>
          </c:cat>
          <c:val>
            <c:numRef>
              <c:f>'Pivots and Charts'!$B$147:$B$149</c:f>
              <c:numCache>
                <c:formatCode>General</c:formatCode>
                <c:ptCount val="2"/>
                <c:pt idx="0">
                  <c:v>671</c:v>
                </c:pt>
                <c:pt idx="1">
                  <c:v>523</c:v>
                </c:pt>
              </c:numCache>
            </c:numRef>
          </c:val>
          <c:extLst>
            <c:ext xmlns:c16="http://schemas.microsoft.com/office/drawing/2014/chart" uri="{C3380CC4-5D6E-409C-BE32-E72D297353CC}">
              <c16:uniqueId val="{00000000-62D7-4E02-9D2C-F75535C8CCE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 v/s CGPA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and Charts'!$B$56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 and Charts'!$A$57:$A$123</c:f>
              <c:strCache>
                <c:ptCount val="66"/>
                <c:pt idx="0">
                  <c:v>0</c:v>
                </c:pt>
                <c:pt idx="1">
                  <c:v>2</c:v>
                </c:pt>
                <c:pt idx="2">
                  <c:v>5</c:v>
                </c:pt>
                <c:pt idx="3">
                  <c:v>10</c:v>
                </c:pt>
                <c:pt idx="4">
                  <c:v>23</c:v>
                </c:pt>
                <c:pt idx="5">
                  <c:v>24</c:v>
                </c:pt>
                <c:pt idx="6">
                  <c:v>30</c:v>
                </c:pt>
                <c:pt idx="7">
                  <c:v>31</c:v>
                </c:pt>
                <c:pt idx="8">
                  <c:v>32</c:v>
                </c:pt>
                <c:pt idx="9">
                  <c:v>34</c:v>
                </c:pt>
                <c:pt idx="10">
                  <c:v>35</c:v>
                </c:pt>
                <c:pt idx="11">
                  <c:v>37</c:v>
                </c:pt>
                <c:pt idx="12">
                  <c:v>40</c:v>
                </c:pt>
                <c:pt idx="13">
                  <c:v>41</c:v>
                </c:pt>
                <c:pt idx="14">
                  <c:v>42</c:v>
                </c:pt>
                <c:pt idx="15">
                  <c:v>43</c:v>
                </c:pt>
                <c:pt idx="16">
                  <c:v>45</c:v>
                </c:pt>
                <c:pt idx="17">
                  <c:v>46</c:v>
                </c:pt>
                <c:pt idx="18">
                  <c:v>47</c:v>
                </c:pt>
                <c:pt idx="19">
                  <c:v>50</c:v>
                </c:pt>
                <c:pt idx="20">
                  <c:v>51</c:v>
                </c:pt>
                <c:pt idx="21">
                  <c:v>52</c:v>
                </c:pt>
                <c:pt idx="22">
                  <c:v>53</c:v>
                </c:pt>
                <c:pt idx="23">
                  <c:v>54</c:v>
                </c:pt>
                <c:pt idx="24">
                  <c:v>55</c:v>
                </c:pt>
                <c:pt idx="25">
                  <c:v>56</c:v>
                </c:pt>
                <c:pt idx="26">
                  <c:v>57</c:v>
                </c:pt>
                <c:pt idx="27">
                  <c:v>60</c:v>
                </c:pt>
                <c:pt idx="28">
                  <c:v>62</c:v>
                </c:pt>
                <c:pt idx="29">
                  <c:v>63</c:v>
                </c:pt>
                <c:pt idx="30">
                  <c:v>64</c:v>
                </c:pt>
                <c:pt idx="31">
                  <c:v>65</c:v>
                </c:pt>
                <c:pt idx="32">
                  <c:v>66</c:v>
                </c:pt>
                <c:pt idx="33">
                  <c:v>67</c:v>
                </c:pt>
                <c:pt idx="34">
                  <c:v>68</c:v>
                </c:pt>
                <c:pt idx="35">
                  <c:v>70</c:v>
                </c:pt>
                <c:pt idx="36">
                  <c:v>71</c:v>
                </c:pt>
                <c:pt idx="37">
                  <c:v>72</c:v>
                </c:pt>
                <c:pt idx="38">
                  <c:v>73</c:v>
                </c:pt>
                <c:pt idx="39">
                  <c:v>75</c:v>
                </c:pt>
                <c:pt idx="40">
                  <c:v>76</c:v>
                </c:pt>
                <c:pt idx="41">
                  <c:v>77</c:v>
                </c:pt>
                <c:pt idx="42">
                  <c:v>78</c:v>
                </c:pt>
                <c:pt idx="43">
                  <c:v>79</c:v>
                </c:pt>
                <c:pt idx="44">
                  <c:v>80</c:v>
                </c:pt>
                <c:pt idx="45">
                  <c:v>81</c:v>
                </c:pt>
                <c:pt idx="46">
                  <c:v>82</c:v>
                </c:pt>
                <c:pt idx="47">
                  <c:v>83</c:v>
                </c:pt>
                <c:pt idx="48">
                  <c:v>84</c:v>
                </c:pt>
                <c:pt idx="49">
                  <c:v>85</c:v>
                </c:pt>
                <c:pt idx="50">
                  <c:v>86</c:v>
                </c:pt>
                <c:pt idx="51">
                  <c:v>87</c:v>
                </c:pt>
                <c:pt idx="52">
                  <c:v>88</c:v>
                </c:pt>
                <c:pt idx="53">
                  <c:v>89</c:v>
                </c:pt>
                <c:pt idx="54">
                  <c:v>90</c:v>
                </c:pt>
                <c:pt idx="55">
                  <c:v>91</c:v>
                </c:pt>
                <c:pt idx="56">
                  <c:v>92</c:v>
                </c:pt>
                <c:pt idx="57">
                  <c:v>93</c:v>
                </c:pt>
                <c:pt idx="58">
                  <c:v>94</c:v>
                </c:pt>
                <c:pt idx="59">
                  <c:v>95</c:v>
                </c:pt>
                <c:pt idx="60">
                  <c:v>96</c:v>
                </c:pt>
                <c:pt idx="61">
                  <c:v>97</c:v>
                </c:pt>
                <c:pt idx="62">
                  <c:v>98</c:v>
                </c:pt>
                <c:pt idx="63">
                  <c:v>99</c:v>
                </c:pt>
                <c:pt idx="64">
                  <c:v>100</c:v>
                </c:pt>
                <c:pt idx="65">
                  <c:v>94-98</c:v>
                </c:pt>
              </c:strCache>
            </c:strRef>
          </c:cat>
          <c:val>
            <c:numRef>
              <c:f>'Pivots and Charts'!$B$57:$B$123</c:f>
              <c:numCache>
                <c:formatCode>General</c:formatCode>
                <c:ptCount val="66"/>
                <c:pt idx="0">
                  <c:v>3.15</c:v>
                </c:pt>
                <c:pt idx="1">
                  <c:v>3.04</c:v>
                </c:pt>
                <c:pt idx="2">
                  <c:v>3.15</c:v>
                </c:pt>
                <c:pt idx="3">
                  <c:v>3.68</c:v>
                </c:pt>
                <c:pt idx="4">
                  <c:v>2.88</c:v>
                </c:pt>
                <c:pt idx="5">
                  <c:v>2.93</c:v>
                </c:pt>
                <c:pt idx="6">
                  <c:v>2.813333333333333</c:v>
                </c:pt>
                <c:pt idx="7">
                  <c:v>2.4700000000000002</c:v>
                </c:pt>
                <c:pt idx="8">
                  <c:v>3.4</c:v>
                </c:pt>
                <c:pt idx="9">
                  <c:v>2.7650000000000001</c:v>
                </c:pt>
                <c:pt idx="10">
                  <c:v>2.81</c:v>
                </c:pt>
                <c:pt idx="11">
                  <c:v>3.5</c:v>
                </c:pt>
                <c:pt idx="12">
                  <c:v>2.4</c:v>
                </c:pt>
                <c:pt idx="13">
                  <c:v>3.61</c:v>
                </c:pt>
                <c:pt idx="14">
                  <c:v>2.97</c:v>
                </c:pt>
                <c:pt idx="15">
                  <c:v>3.4033333333333329</c:v>
                </c:pt>
                <c:pt idx="16">
                  <c:v>2.8075000000000001</c:v>
                </c:pt>
                <c:pt idx="17">
                  <c:v>3.4024999999999999</c:v>
                </c:pt>
                <c:pt idx="18">
                  <c:v>3.8</c:v>
                </c:pt>
                <c:pt idx="19">
                  <c:v>2.8382352941176476</c:v>
                </c:pt>
                <c:pt idx="20">
                  <c:v>3.57</c:v>
                </c:pt>
                <c:pt idx="21">
                  <c:v>3.05</c:v>
                </c:pt>
                <c:pt idx="22">
                  <c:v>3.9</c:v>
                </c:pt>
                <c:pt idx="23">
                  <c:v>3.1349999999999998</c:v>
                </c:pt>
                <c:pt idx="24">
                  <c:v>3.5033333333333334</c:v>
                </c:pt>
                <c:pt idx="25">
                  <c:v>3.1179999999999999</c:v>
                </c:pt>
                <c:pt idx="26">
                  <c:v>2.6799999999999997</c:v>
                </c:pt>
                <c:pt idx="27">
                  <c:v>2.7758333333333329</c:v>
                </c:pt>
                <c:pt idx="28">
                  <c:v>1.29</c:v>
                </c:pt>
                <c:pt idx="29">
                  <c:v>2.835</c:v>
                </c:pt>
                <c:pt idx="30">
                  <c:v>3.78</c:v>
                </c:pt>
                <c:pt idx="31">
                  <c:v>3.1950000000000003</c:v>
                </c:pt>
                <c:pt idx="32">
                  <c:v>3.2749999999999999</c:v>
                </c:pt>
                <c:pt idx="33">
                  <c:v>3.0914285714285716</c:v>
                </c:pt>
                <c:pt idx="34">
                  <c:v>3.4042857142857139</c:v>
                </c:pt>
                <c:pt idx="35">
                  <c:v>3.2746</c:v>
                </c:pt>
                <c:pt idx="36">
                  <c:v>3.49</c:v>
                </c:pt>
                <c:pt idx="37">
                  <c:v>3.77</c:v>
                </c:pt>
                <c:pt idx="38">
                  <c:v>2.835</c:v>
                </c:pt>
                <c:pt idx="39">
                  <c:v>3.05</c:v>
                </c:pt>
                <c:pt idx="40">
                  <c:v>3.1416666666666671</c:v>
                </c:pt>
                <c:pt idx="41">
                  <c:v>2.971111111111111</c:v>
                </c:pt>
                <c:pt idx="42">
                  <c:v>3.1983333333333341</c:v>
                </c:pt>
                <c:pt idx="43">
                  <c:v>3.5060000000000002</c:v>
                </c:pt>
                <c:pt idx="44">
                  <c:v>3.078602150537634</c:v>
                </c:pt>
                <c:pt idx="45">
                  <c:v>2.63</c:v>
                </c:pt>
                <c:pt idx="46">
                  <c:v>3.15</c:v>
                </c:pt>
                <c:pt idx="47">
                  <c:v>2.65</c:v>
                </c:pt>
                <c:pt idx="48">
                  <c:v>2.8</c:v>
                </c:pt>
                <c:pt idx="49">
                  <c:v>2.9886111111111111</c:v>
                </c:pt>
                <c:pt idx="50">
                  <c:v>3.2444444444444445</c:v>
                </c:pt>
                <c:pt idx="51">
                  <c:v>3.3233333333333328</c:v>
                </c:pt>
                <c:pt idx="52">
                  <c:v>3.1025000000000005</c:v>
                </c:pt>
                <c:pt idx="53">
                  <c:v>2.9787500000000002</c:v>
                </c:pt>
                <c:pt idx="54">
                  <c:v>3.2162087912087909</c:v>
                </c:pt>
                <c:pt idx="55">
                  <c:v>3.04</c:v>
                </c:pt>
                <c:pt idx="56">
                  <c:v>3.2120000000000006</c:v>
                </c:pt>
                <c:pt idx="57">
                  <c:v>3.15</c:v>
                </c:pt>
                <c:pt idx="58">
                  <c:v>3.62</c:v>
                </c:pt>
                <c:pt idx="59">
                  <c:v>3.1071962616822417</c:v>
                </c:pt>
                <c:pt idx="60">
                  <c:v>3.3649999999999998</c:v>
                </c:pt>
                <c:pt idx="61">
                  <c:v>3.0061904761904756</c:v>
                </c:pt>
                <c:pt idx="62">
                  <c:v>3.0918867924528302</c:v>
                </c:pt>
                <c:pt idx="63">
                  <c:v>3.4334042553191488</c:v>
                </c:pt>
                <c:pt idx="64">
                  <c:v>3.2128571428571422</c:v>
                </c:pt>
                <c:pt idx="65">
                  <c:v>3.06</c:v>
                </c:pt>
              </c:numCache>
            </c:numRef>
          </c:val>
          <c:smooth val="0"/>
          <c:extLst>
            <c:ext xmlns:c16="http://schemas.microsoft.com/office/drawing/2014/chart" uri="{C3380CC4-5D6E-409C-BE32-E72D297353CC}">
              <c16:uniqueId val="{00000000-E3A6-4B8B-A9C1-D02A8B30DACD}"/>
            </c:ext>
          </c:extLst>
        </c:ser>
        <c:dLbls>
          <c:showLegendKey val="0"/>
          <c:showVal val="0"/>
          <c:showCatName val="0"/>
          <c:showSerName val="0"/>
          <c:showPercent val="0"/>
          <c:showBubbleSize val="0"/>
        </c:dLbls>
        <c:marker val="1"/>
        <c:smooth val="0"/>
        <c:axId val="1580197895"/>
        <c:axId val="1972573191"/>
      </c:lineChart>
      <c:catAx>
        <c:axId val="1580197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73191"/>
        <c:crosses val="autoZero"/>
        <c:auto val="1"/>
        <c:lblAlgn val="ctr"/>
        <c:lblOffset val="100"/>
        <c:noMultiLvlLbl val="0"/>
      </c:catAx>
      <c:valAx>
        <c:axId val="1972573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97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 Interests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and Charts'!$B$152</c:f>
              <c:strCache>
                <c:ptCount val="1"/>
                <c:pt idx="0">
                  <c:v>Total</c:v>
                </c:pt>
              </c:strCache>
            </c:strRef>
          </c:tx>
          <c:spPr>
            <a:solidFill>
              <a:schemeClr val="accent1"/>
            </a:solidFill>
            <a:ln>
              <a:noFill/>
            </a:ln>
            <a:effectLst/>
          </c:spPr>
          <c:invertIfNegative val="0"/>
          <c:cat>
            <c:strRef>
              <c:f>'Pivots and Charts'!$A$153:$A$166</c:f>
              <c:strCache>
                <c:ptCount val="13"/>
                <c:pt idx="0">
                  <c:v>Artificial Intelligence</c:v>
                </c:pt>
                <c:pt idx="1">
                  <c:v>Blockchain</c:v>
                </c:pt>
                <c:pt idx="2">
                  <c:v>Cyber Security</c:v>
                </c:pt>
                <c:pt idx="3">
                  <c:v>Data Science</c:v>
                </c:pt>
                <c:pt idx="4">
                  <c:v>Entrepreneur</c:v>
                </c:pt>
                <c:pt idx="5">
                  <c:v>Event management</c:v>
                </c:pt>
                <c:pt idx="6">
                  <c:v>Hardware</c:v>
                </c:pt>
                <c:pt idx="7">
                  <c:v>Machine Learning</c:v>
                </c:pt>
                <c:pt idx="8">
                  <c:v>Networking</c:v>
                </c:pt>
                <c:pt idx="9">
                  <c:v>Teaching</c:v>
                </c:pt>
                <c:pt idx="10">
                  <c:v>Web Development</c:v>
                </c:pt>
                <c:pt idx="11">
                  <c:v>Software Development</c:v>
                </c:pt>
                <c:pt idx="12">
                  <c:v>Confused</c:v>
                </c:pt>
              </c:strCache>
            </c:strRef>
          </c:cat>
          <c:val>
            <c:numRef>
              <c:f>'Pivots and Charts'!$B$153:$B$166</c:f>
              <c:numCache>
                <c:formatCode>General</c:formatCode>
                <c:ptCount val="13"/>
                <c:pt idx="0">
                  <c:v>29</c:v>
                </c:pt>
                <c:pt idx="1">
                  <c:v>1</c:v>
                </c:pt>
                <c:pt idx="2">
                  <c:v>5</c:v>
                </c:pt>
                <c:pt idx="3">
                  <c:v>133</c:v>
                </c:pt>
                <c:pt idx="4">
                  <c:v>1</c:v>
                </c:pt>
                <c:pt idx="5">
                  <c:v>1</c:v>
                </c:pt>
                <c:pt idx="6">
                  <c:v>165</c:v>
                </c:pt>
                <c:pt idx="7">
                  <c:v>56</c:v>
                </c:pt>
                <c:pt idx="8">
                  <c:v>60</c:v>
                </c:pt>
                <c:pt idx="9">
                  <c:v>1</c:v>
                </c:pt>
                <c:pt idx="10">
                  <c:v>85</c:v>
                </c:pt>
                <c:pt idx="11">
                  <c:v>656</c:v>
                </c:pt>
                <c:pt idx="12">
                  <c:v>1</c:v>
                </c:pt>
              </c:numCache>
            </c:numRef>
          </c:val>
          <c:extLst>
            <c:ext xmlns:c16="http://schemas.microsoft.com/office/drawing/2014/chart" uri="{C3380CC4-5D6E-409C-BE32-E72D297353CC}">
              <c16:uniqueId val="{00000000-DAFE-4EAA-90C1-0D06F0E2065D}"/>
            </c:ext>
          </c:extLst>
        </c:ser>
        <c:dLbls>
          <c:showLegendKey val="0"/>
          <c:showVal val="0"/>
          <c:showCatName val="0"/>
          <c:showSerName val="0"/>
          <c:showPercent val="0"/>
          <c:showBubbleSize val="0"/>
        </c:dLbls>
        <c:gapWidth val="219"/>
        <c:axId val="1312822791"/>
        <c:axId val="1317826567"/>
      </c:barChart>
      <c:catAx>
        <c:axId val="1312822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826567"/>
        <c:crosses val="autoZero"/>
        <c:auto val="1"/>
        <c:lblAlgn val="ctr"/>
        <c:lblOffset val="100"/>
        <c:noMultiLvlLbl val="0"/>
      </c:catAx>
      <c:valAx>
        <c:axId val="1317826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22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English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 and Charts'!$B$174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83-453F-8875-9FA5C5DA39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83-453F-8875-9FA5C5DA39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83-453F-8875-9FA5C5DA391F}"/>
              </c:ext>
            </c:extLst>
          </c:dPt>
          <c:cat>
            <c:strRef>
              <c:f>'Pivots and Charts'!$A$175:$A$178</c:f>
              <c:strCache>
                <c:ptCount val="3"/>
                <c:pt idx="0">
                  <c:v>Advance</c:v>
                </c:pt>
                <c:pt idx="1">
                  <c:v>Basic</c:v>
                </c:pt>
                <c:pt idx="2">
                  <c:v>Intermediate</c:v>
                </c:pt>
              </c:strCache>
            </c:strRef>
          </c:cat>
          <c:val>
            <c:numRef>
              <c:f>'Pivots and Charts'!$B$175:$B$178</c:f>
              <c:numCache>
                <c:formatCode>General</c:formatCode>
                <c:ptCount val="3"/>
                <c:pt idx="0">
                  <c:v>220</c:v>
                </c:pt>
                <c:pt idx="1">
                  <c:v>304</c:v>
                </c:pt>
                <c:pt idx="2">
                  <c:v>670</c:v>
                </c:pt>
              </c:numCache>
            </c:numRef>
          </c:val>
          <c:extLst>
            <c:ext xmlns:c16="http://schemas.microsoft.com/office/drawing/2014/chart" uri="{C3380CC4-5D6E-409C-BE32-E72D297353CC}">
              <c16:uniqueId val="{00000000-5808-4649-BF40-2C7A67CD929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Physical Activities Interest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'Pivots and Charts'!$B$187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CB-4532-850C-72DE5B1EF9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CB-4532-850C-72DE5B1EF9D7}"/>
              </c:ext>
            </c:extLst>
          </c:dPt>
          <c:cat>
            <c:strRef>
              <c:f>'Pivots and Charts'!$A$188:$A$190</c:f>
              <c:strCache>
                <c:ptCount val="2"/>
                <c:pt idx="0">
                  <c:v>No</c:v>
                </c:pt>
                <c:pt idx="1">
                  <c:v>Yes</c:v>
                </c:pt>
              </c:strCache>
            </c:strRef>
          </c:cat>
          <c:val>
            <c:numRef>
              <c:f>'Pivots and Charts'!$B$188:$B$190</c:f>
              <c:numCache>
                <c:formatCode>General</c:formatCode>
                <c:ptCount val="2"/>
                <c:pt idx="0">
                  <c:v>689</c:v>
                </c:pt>
                <c:pt idx="1">
                  <c:v>505</c:v>
                </c:pt>
              </c:numCache>
            </c:numRef>
          </c:val>
          <c:extLst>
            <c:ext xmlns:c16="http://schemas.microsoft.com/office/drawing/2014/chart" uri="{C3380CC4-5D6E-409C-BE32-E72D297353CC}">
              <c16:uniqueId val="{00000000-989D-4D93-B330-2C065C747E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Stundents playing Mobile Tournaments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and Charts'!$B$205</c:f>
              <c:strCache>
                <c:ptCount val="1"/>
                <c:pt idx="0">
                  <c:v>Total</c:v>
                </c:pt>
              </c:strCache>
            </c:strRef>
          </c:tx>
          <c:spPr>
            <a:solidFill>
              <a:schemeClr val="accent1"/>
            </a:solidFill>
            <a:ln>
              <a:noFill/>
            </a:ln>
            <a:effectLst/>
          </c:spPr>
          <c:invertIfNegative val="0"/>
          <c:cat>
            <c:strRef>
              <c:f>'Pivots and Charts'!$A$206:$A$208</c:f>
              <c:strCache>
                <c:ptCount val="2"/>
                <c:pt idx="0">
                  <c:v>No</c:v>
                </c:pt>
                <c:pt idx="1">
                  <c:v>Yes</c:v>
                </c:pt>
              </c:strCache>
            </c:strRef>
          </c:cat>
          <c:val>
            <c:numRef>
              <c:f>'Pivots and Charts'!$B$206:$B$208</c:f>
              <c:numCache>
                <c:formatCode>General</c:formatCode>
                <c:ptCount val="2"/>
                <c:pt idx="0">
                  <c:v>16</c:v>
                </c:pt>
                <c:pt idx="1">
                  <c:v>1178</c:v>
                </c:pt>
              </c:numCache>
            </c:numRef>
          </c:val>
          <c:extLst>
            <c:ext xmlns:c16="http://schemas.microsoft.com/office/drawing/2014/chart" uri="{C3380CC4-5D6E-409C-BE32-E72D297353CC}">
              <c16:uniqueId val="{00000000-9055-4C3A-969B-1E66D349A6A5}"/>
            </c:ext>
          </c:extLst>
        </c:ser>
        <c:dLbls>
          <c:showLegendKey val="0"/>
          <c:showVal val="0"/>
          <c:showCatName val="0"/>
          <c:showSerName val="0"/>
          <c:showPercent val="0"/>
          <c:showBubbleSize val="0"/>
        </c:dLbls>
        <c:gapWidth val="182"/>
        <c:axId val="43254791"/>
        <c:axId val="43256839"/>
      </c:barChart>
      <c:catAx>
        <c:axId val="43254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6839"/>
        <c:crosses val="autoZero"/>
        <c:auto val="1"/>
        <c:lblAlgn val="ctr"/>
        <c:lblOffset val="100"/>
        <c:noMultiLvlLbl val="0"/>
      </c:catAx>
      <c:valAx>
        <c:axId val="43256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4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 v/s CGPA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and Charts'!$B$56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 and Charts'!$A$57:$A$123</c:f>
              <c:strCache>
                <c:ptCount val="66"/>
                <c:pt idx="0">
                  <c:v>0</c:v>
                </c:pt>
                <c:pt idx="1">
                  <c:v>2</c:v>
                </c:pt>
                <c:pt idx="2">
                  <c:v>5</c:v>
                </c:pt>
                <c:pt idx="3">
                  <c:v>10</c:v>
                </c:pt>
                <c:pt idx="4">
                  <c:v>23</c:v>
                </c:pt>
                <c:pt idx="5">
                  <c:v>24</c:v>
                </c:pt>
                <c:pt idx="6">
                  <c:v>30</c:v>
                </c:pt>
                <c:pt idx="7">
                  <c:v>31</c:v>
                </c:pt>
                <c:pt idx="8">
                  <c:v>32</c:v>
                </c:pt>
                <c:pt idx="9">
                  <c:v>34</c:v>
                </c:pt>
                <c:pt idx="10">
                  <c:v>35</c:v>
                </c:pt>
                <c:pt idx="11">
                  <c:v>37</c:v>
                </c:pt>
                <c:pt idx="12">
                  <c:v>40</c:v>
                </c:pt>
                <c:pt idx="13">
                  <c:v>41</c:v>
                </c:pt>
                <c:pt idx="14">
                  <c:v>42</c:v>
                </c:pt>
                <c:pt idx="15">
                  <c:v>43</c:v>
                </c:pt>
                <c:pt idx="16">
                  <c:v>45</c:v>
                </c:pt>
                <c:pt idx="17">
                  <c:v>46</c:v>
                </c:pt>
                <c:pt idx="18">
                  <c:v>47</c:v>
                </c:pt>
                <c:pt idx="19">
                  <c:v>50</c:v>
                </c:pt>
                <c:pt idx="20">
                  <c:v>51</c:v>
                </c:pt>
                <c:pt idx="21">
                  <c:v>52</c:v>
                </c:pt>
                <c:pt idx="22">
                  <c:v>53</c:v>
                </c:pt>
                <c:pt idx="23">
                  <c:v>54</c:v>
                </c:pt>
                <c:pt idx="24">
                  <c:v>55</c:v>
                </c:pt>
                <c:pt idx="25">
                  <c:v>56</c:v>
                </c:pt>
                <c:pt idx="26">
                  <c:v>57</c:v>
                </c:pt>
                <c:pt idx="27">
                  <c:v>60</c:v>
                </c:pt>
                <c:pt idx="28">
                  <c:v>62</c:v>
                </c:pt>
                <c:pt idx="29">
                  <c:v>63</c:v>
                </c:pt>
                <c:pt idx="30">
                  <c:v>64</c:v>
                </c:pt>
                <c:pt idx="31">
                  <c:v>65</c:v>
                </c:pt>
                <c:pt idx="32">
                  <c:v>66</c:v>
                </c:pt>
                <c:pt idx="33">
                  <c:v>67</c:v>
                </c:pt>
                <c:pt idx="34">
                  <c:v>68</c:v>
                </c:pt>
                <c:pt idx="35">
                  <c:v>70</c:v>
                </c:pt>
                <c:pt idx="36">
                  <c:v>71</c:v>
                </c:pt>
                <c:pt idx="37">
                  <c:v>72</c:v>
                </c:pt>
                <c:pt idx="38">
                  <c:v>73</c:v>
                </c:pt>
                <c:pt idx="39">
                  <c:v>75</c:v>
                </c:pt>
                <c:pt idx="40">
                  <c:v>76</c:v>
                </c:pt>
                <c:pt idx="41">
                  <c:v>77</c:v>
                </c:pt>
                <c:pt idx="42">
                  <c:v>78</c:v>
                </c:pt>
                <c:pt idx="43">
                  <c:v>79</c:v>
                </c:pt>
                <c:pt idx="44">
                  <c:v>80</c:v>
                </c:pt>
                <c:pt idx="45">
                  <c:v>81</c:v>
                </c:pt>
                <c:pt idx="46">
                  <c:v>82</c:v>
                </c:pt>
                <c:pt idx="47">
                  <c:v>83</c:v>
                </c:pt>
                <c:pt idx="48">
                  <c:v>84</c:v>
                </c:pt>
                <c:pt idx="49">
                  <c:v>85</c:v>
                </c:pt>
                <c:pt idx="50">
                  <c:v>86</c:v>
                </c:pt>
                <c:pt idx="51">
                  <c:v>87</c:v>
                </c:pt>
                <c:pt idx="52">
                  <c:v>88</c:v>
                </c:pt>
                <c:pt idx="53">
                  <c:v>89</c:v>
                </c:pt>
                <c:pt idx="54">
                  <c:v>90</c:v>
                </c:pt>
                <c:pt idx="55">
                  <c:v>91</c:v>
                </c:pt>
                <c:pt idx="56">
                  <c:v>92</c:v>
                </c:pt>
                <c:pt idx="57">
                  <c:v>93</c:v>
                </c:pt>
                <c:pt idx="58">
                  <c:v>94</c:v>
                </c:pt>
                <c:pt idx="59">
                  <c:v>95</c:v>
                </c:pt>
                <c:pt idx="60">
                  <c:v>96</c:v>
                </c:pt>
                <c:pt idx="61">
                  <c:v>97</c:v>
                </c:pt>
                <c:pt idx="62">
                  <c:v>98</c:v>
                </c:pt>
                <c:pt idx="63">
                  <c:v>99</c:v>
                </c:pt>
                <c:pt idx="64">
                  <c:v>100</c:v>
                </c:pt>
                <c:pt idx="65">
                  <c:v>94-98</c:v>
                </c:pt>
              </c:strCache>
            </c:strRef>
          </c:cat>
          <c:val>
            <c:numRef>
              <c:f>'Pivots and Charts'!$B$57:$B$123</c:f>
              <c:numCache>
                <c:formatCode>General</c:formatCode>
                <c:ptCount val="66"/>
                <c:pt idx="0">
                  <c:v>3.15</c:v>
                </c:pt>
                <c:pt idx="1">
                  <c:v>3.04</c:v>
                </c:pt>
                <c:pt idx="2">
                  <c:v>3.15</c:v>
                </c:pt>
                <c:pt idx="3">
                  <c:v>3.68</c:v>
                </c:pt>
                <c:pt idx="4">
                  <c:v>2.88</c:v>
                </c:pt>
                <c:pt idx="5">
                  <c:v>2.93</c:v>
                </c:pt>
                <c:pt idx="6">
                  <c:v>2.813333333333333</c:v>
                </c:pt>
                <c:pt idx="7">
                  <c:v>2.4700000000000002</c:v>
                </c:pt>
                <c:pt idx="8">
                  <c:v>3.4</c:v>
                </c:pt>
                <c:pt idx="9">
                  <c:v>2.7650000000000001</c:v>
                </c:pt>
                <c:pt idx="10">
                  <c:v>2.81</c:v>
                </c:pt>
                <c:pt idx="11">
                  <c:v>3.5</c:v>
                </c:pt>
                <c:pt idx="12">
                  <c:v>2.4</c:v>
                </c:pt>
                <c:pt idx="13">
                  <c:v>3.61</c:v>
                </c:pt>
                <c:pt idx="14">
                  <c:v>2.97</c:v>
                </c:pt>
                <c:pt idx="15">
                  <c:v>3.4033333333333329</c:v>
                </c:pt>
                <c:pt idx="16">
                  <c:v>2.8075000000000001</c:v>
                </c:pt>
                <c:pt idx="17">
                  <c:v>3.4024999999999999</c:v>
                </c:pt>
                <c:pt idx="18">
                  <c:v>3.8</c:v>
                </c:pt>
                <c:pt idx="19">
                  <c:v>2.8382352941176476</c:v>
                </c:pt>
                <c:pt idx="20">
                  <c:v>3.57</c:v>
                </c:pt>
                <c:pt idx="21">
                  <c:v>3.05</c:v>
                </c:pt>
                <c:pt idx="22">
                  <c:v>3.9</c:v>
                </c:pt>
                <c:pt idx="23">
                  <c:v>3.1349999999999998</c:v>
                </c:pt>
                <c:pt idx="24">
                  <c:v>3.5033333333333334</c:v>
                </c:pt>
                <c:pt idx="25">
                  <c:v>3.1179999999999999</c:v>
                </c:pt>
                <c:pt idx="26">
                  <c:v>2.6799999999999997</c:v>
                </c:pt>
                <c:pt idx="27">
                  <c:v>2.7758333333333329</c:v>
                </c:pt>
                <c:pt idx="28">
                  <c:v>1.29</c:v>
                </c:pt>
                <c:pt idx="29">
                  <c:v>2.835</c:v>
                </c:pt>
                <c:pt idx="30">
                  <c:v>3.78</c:v>
                </c:pt>
                <c:pt idx="31">
                  <c:v>3.1950000000000003</c:v>
                </c:pt>
                <c:pt idx="32">
                  <c:v>3.2749999999999999</c:v>
                </c:pt>
                <c:pt idx="33">
                  <c:v>3.0914285714285716</c:v>
                </c:pt>
                <c:pt idx="34">
                  <c:v>3.4042857142857139</c:v>
                </c:pt>
                <c:pt idx="35">
                  <c:v>3.2746</c:v>
                </c:pt>
                <c:pt idx="36">
                  <c:v>3.49</c:v>
                </c:pt>
                <c:pt idx="37">
                  <c:v>3.77</c:v>
                </c:pt>
                <c:pt idx="38">
                  <c:v>2.835</c:v>
                </c:pt>
                <c:pt idx="39">
                  <c:v>3.05</c:v>
                </c:pt>
                <c:pt idx="40">
                  <c:v>3.1416666666666671</c:v>
                </c:pt>
                <c:pt idx="41">
                  <c:v>2.971111111111111</c:v>
                </c:pt>
                <c:pt idx="42">
                  <c:v>3.1983333333333341</c:v>
                </c:pt>
                <c:pt idx="43">
                  <c:v>3.5060000000000002</c:v>
                </c:pt>
                <c:pt idx="44">
                  <c:v>3.078602150537634</c:v>
                </c:pt>
                <c:pt idx="45">
                  <c:v>2.63</c:v>
                </c:pt>
                <c:pt idx="46">
                  <c:v>3.15</c:v>
                </c:pt>
                <c:pt idx="47">
                  <c:v>2.65</c:v>
                </c:pt>
                <c:pt idx="48">
                  <c:v>2.8</c:v>
                </c:pt>
                <c:pt idx="49">
                  <c:v>2.9886111111111111</c:v>
                </c:pt>
                <c:pt idx="50">
                  <c:v>3.2444444444444445</c:v>
                </c:pt>
                <c:pt idx="51">
                  <c:v>3.3233333333333328</c:v>
                </c:pt>
                <c:pt idx="52">
                  <c:v>3.1025000000000005</c:v>
                </c:pt>
                <c:pt idx="53">
                  <c:v>2.9787500000000002</c:v>
                </c:pt>
                <c:pt idx="54">
                  <c:v>3.2162087912087909</c:v>
                </c:pt>
                <c:pt idx="55">
                  <c:v>3.04</c:v>
                </c:pt>
                <c:pt idx="56">
                  <c:v>3.2120000000000006</c:v>
                </c:pt>
                <c:pt idx="57">
                  <c:v>3.15</c:v>
                </c:pt>
                <c:pt idx="58">
                  <c:v>3.62</c:v>
                </c:pt>
                <c:pt idx="59">
                  <c:v>3.1071962616822417</c:v>
                </c:pt>
                <c:pt idx="60">
                  <c:v>3.3649999999999998</c:v>
                </c:pt>
                <c:pt idx="61">
                  <c:v>3.0061904761904756</c:v>
                </c:pt>
                <c:pt idx="62">
                  <c:v>3.0918867924528302</c:v>
                </c:pt>
                <c:pt idx="63">
                  <c:v>3.4334042553191488</c:v>
                </c:pt>
                <c:pt idx="64">
                  <c:v>3.2128571428571422</c:v>
                </c:pt>
                <c:pt idx="65">
                  <c:v>3.06</c:v>
                </c:pt>
              </c:numCache>
            </c:numRef>
          </c:val>
          <c:smooth val="0"/>
          <c:extLst>
            <c:ext xmlns:c16="http://schemas.microsoft.com/office/drawing/2014/chart" uri="{C3380CC4-5D6E-409C-BE32-E72D297353CC}">
              <c16:uniqueId val="{00000000-79E5-429C-8205-BC83D7A5A012}"/>
            </c:ext>
          </c:extLst>
        </c:ser>
        <c:dLbls>
          <c:showLegendKey val="0"/>
          <c:showVal val="0"/>
          <c:showCatName val="0"/>
          <c:showSerName val="0"/>
          <c:showPercent val="0"/>
          <c:showBubbleSize val="0"/>
        </c:dLbls>
        <c:marker val="1"/>
        <c:smooth val="0"/>
        <c:axId val="1580197895"/>
        <c:axId val="1972573191"/>
      </c:lineChart>
      <c:catAx>
        <c:axId val="1580197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73191"/>
        <c:crosses val="autoZero"/>
        <c:auto val="1"/>
        <c:lblAlgn val="ctr"/>
        <c:lblOffset val="100"/>
        <c:noMultiLvlLbl val="0"/>
      </c:catAx>
      <c:valAx>
        <c:axId val="1972573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97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with Risk of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and Charts'!$AD$123</c:f>
              <c:strCache>
                <c:ptCount val="1"/>
                <c:pt idx="0">
                  <c:v>Total</c:v>
                </c:pt>
              </c:strCache>
            </c:strRef>
          </c:tx>
          <c:spPr>
            <a:solidFill>
              <a:schemeClr val="accent1"/>
            </a:solidFill>
            <a:ln>
              <a:noFill/>
            </a:ln>
            <a:effectLst/>
          </c:spPr>
          <c:invertIfNegative val="0"/>
          <c:cat>
            <c:multiLvlStrRef>
              <c:f>'Pivots and Charts'!$AB$124:$AC$130</c:f>
              <c:multiLvlStrCache>
                <c:ptCount val="4"/>
                <c:lvl>
                  <c:pt idx="0">
                    <c:v>High</c:v>
                  </c:pt>
                  <c:pt idx="1">
                    <c:v>High</c:v>
                  </c:pt>
                  <c:pt idx="2">
                    <c:v>Low</c:v>
                  </c:pt>
                  <c:pt idx="3">
                    <c:v>Medium</c:v>
                  </c:pt>
                </c:lvl>
                <c:lvl>
                  <c:pt idx="0">
                    <c:v>At Risk</c:v>
                  </c:pt>
                  <c:pt idx="1">
                    <c:v>Normal</c:v>
                  </c:pt>
                </c:lvl>
              </c:multiLvlStrCache>
            </c:multiLvlStrRef>
          </c:cat>
          <c:val>
            <c:numRef>
              <c:f>'Pivots and Charts'!$AD$124:$AD$130</c:f>
              <c:numCache>
                <c:formatCode>General</c:formatCode>
                <c:ptCount val="4"/>
                <c:pt idx="0">
                  <c:v>2</c:v>
                </c:pt>
                <c:pt idx="1">
                  <c:v>436</c:v>
                </c:pt>
                <c:pt idx="2">
                  <c:v>91</c:v>
                </c:pt>
                <c:pt idx="3">
                  <c:v>665</c:v>
                </c:pt>
              </c:numCache>
            </c:numRef>
          </c:val>
          <c:extLst>
            <c:ext xmlns:c16="http://schemas.microsoft.com/office/drawing/2014/chart" uri="{C3380CC4-5D6E-409C-BE32-E72D297353CC}">
              <c16:uniqueId val="{00000000-C0B6-43B8-BDB9-4D9502C46DE1}"/>
            </c:ext>
          </c:extLst>
        </c:ser>
        <c:dLbls>
          <c:showLegendKey val="0"/>
          <c:showVal val="0"/>
          <c:showCatName val="0"/>
          <c:showSerName val="0"/>
          <c:showPercent val="0"/>
          <c:showBubbleSize val="0"/>
        </c:dLbls>
        <c:gapWidth val="219"/>
        <c:overlap val="-27"/>
        <c:axId val="1352677895"/>
        <c:axId val="1352860167"/>
      </c:barChart>
      <c:catAx>
        <c:axId val="1352677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860167"/>
        <c:crosses val="autoZero"/>
        <c:auto val="1"/>
        <c:lblAlgn val="ctr"/>
        <c:lblOffset val="100"/>
        <c:noMultiLvlLbl val="0"/>
      </c:catAx>
      <c:valAx>
        <c:axId val="1352860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77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 Interests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and Charts'!$B$152</c:f>
              <c:strCache>
                <c:ptCount val="1"/>
                <c:pt idx="0">
                  <c:v>Total</c:v>
                </c:pt>
              </c:strCache>
            </c:strRef>
          </c:tx>
          <c:spPr>
            <a:solidFill>
              <a:schemeClr val="accent1"/>
            </a:solidFill>
            <a:ln>
              <a:noFill/>
            </a:ln>
            <a:effectLst/>
          </c:spPr>
          <c:invertIfNegative val="0"/>
          <c:cat>
            <c:strRef>
              <c:f>'Pivots and Charts'!$A$153:$A$166</c:f>
              <c:strCache>
                <c:ptCount val="13"/>
                <c:pt idx="0">
                  <c:v>Artificial Intelligence</c:v>
                </c:pt>
                <c:pt idx="1">
                  <c:v>Blockchain</c:v>
                </c:pt>
                <c:pt idx="2">
                  <c:v>Cyber Security</c:v>
                </c:pt>
                <c:pt idx="3">
                  <c:v>Data Science</c:v>
                </c:pt>
                <c:pt idx="4">
                  <c:v>Entrepreneur</c:v>
                </c:pt>
                <c:pt idx="5">
                  <c:v>Event management</c:v>
                </c:pt>
                <c:pt idx="6">
                  <c:v>Hardware</c:v>
                </c:pt>
                <c:pt idx="7">
                  <c:v>Machine Learning</c:v>
                </c:pt>
                <c:pt idx="8">
                  <c:v>Networking</c:v>
                </c:pt>
                <c:pt idx="9">
                  <c:v>Teaching</c:v>
                </c:pt>
                <c:pt idx="10">
                  <c:v>Web Development</c:v>
                </c:pt>
                <c:pt idx="11">
                  <c:v>Software Development</c:v>
                </c:pt>
                <c:pt idx="12">
                  <c:v>Confused</c:v>
                </c:pt>
              </c:strCache>
            </c:strRef>
          </c:cat>
          <c:val>
            <c:numRef>
              <c:f>'Pivots and Charts'!$B$153:$B$166</c:f>
              <c:numCache>
                <c:formatCode>General</c:formatCode>
                <c:ptCount val="13"/>
                <c:pt idx="0">
                  <c:v>29</c:v>
                </c:pt>
                <c:pt idx="1">
                  <c:v>1</c:v>
                </c:pt>
                <c:pt idx="2">
                  <c:v>5</c:v>
                </c:pt>
                <c:pt idx="3">
                  <c:v>133</c:v>
                </c:pt>
                <c:pt idx="4">
                  <c:v>1</c:v>
                </c:pt>
                <c:pt idx="5">
                  <c:v>1</c:v>
                </c:pt>
                <c:pt idx="6">
                  <c:v>165</c:v>
                </c:pt>
                <c:pt idx="7">
                  <c:v>56</c:v>
                </c:pt>
                <c:pt idx="8">
                  <c:v>60</c:v>
                </c:pt>
                <c:pt idx="9">
                  <c:v>1</c:v>
                </c:pt>
                <c:pt idx="10">
                  <c:v>85</c:v>
                </c:pt>
                <c:pt idx="11">
                  <c:v>656</c:v>
                </c:pt>
                <c:pt idx="12">
                  <c:v>1</c:v>
                </c:pt>
              </c:numCache>
            </c:numRef>
          </c:val>
          <c:extLst>
            <c:ext xmlns:c16="http://schemas.microsoft.com/office/drawing/2014/chart" uri="{C3380CC4-5D6E-409C-BE32-E72D297353CC}">
              <c16:uniqueId val="{00000000-5BEA-4FCC-9190-BB7048A8F58A}"/>
            </c:ext>
          </c:extLst>
        </c:ser>
        <c:dLbls>
          <c:showLegendKey val="0"/>
          <c:showVal val="0"/>
          <c:showCatName val="0"/>
          <c:showSerName val="0"/>
          <c:showPercent val="0"/>
          <c:showBubbleSize val="0"/>
        </c:dLbls>
        <c:gapWidth val="219"/>
        <c:axId val="1312822791"/>
        <c:axId val="1317826567"/>
      </c:barChart>
      <c:catAx>
        <c:axId val="1312822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826567"/>
        <c:crosses val="autoZero"/>
        <c:auto val="1"/>
        <c:lblAlgn val="ctr"/>
        <c:lblOffset val="100"/>
        <c:noMultiLvlLbl val="0"/>
      </c:catAx>
      <c:valAx>
        <c:axId val="1317826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22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English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'Pivots and Charts'!$B$174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4C-4493-BFB6-F59FCB6E2A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4C-4493-BFB6-F59FCB6E2A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4C-4493-BFB6-F59FCB6E2A30}"/>
              </c:ext>
            </c:extLst>
          </c:dPt>
          <c:cat>
            <c:strRef>
              <c:f>'Pivots and Charts'!$A$175:$A$178</c:f>
              <c:strCache>
                <c:ptCount val="3"/>
                <c:pt idx="0">
                  <c:v>Advance</c:v>
                </c:pt>
                <c:pt idx="1">
                  <c:v>Basic</c:v>
                </c:pt>
                <c:pt idx="2">
                  <c:v>Intermediate</c:v>
                </c:pt>
              </c:strCache>
            </c:strRef>
          </c:cat>
          <c:val>
            <c:numRef>
              <c:f>'Pivots and Charts'!$B$175:$B$178</c:f>
              <c:numCache>
                <c:formatCode>General</c:formatCode>
                <c:ptCount val="3"/>
                <c:pt idx="0">
                  <c:v>220</c:v>
                </c:pt>
                <c:pt idx="1">
                  <c:v>304</c:v>
                </c:pt>
                <c:pt idx="2">
                  <c:v>670</c:v>
                </c:pt>
              </c:numCache>
            </c:numRef>
          </c:val>
          <c:extLst>
            <c:ext xmlns:c16="http://schemas.microsoft.com/office/drawing/2014/chart" uri="{C3380CC4-5D6E-409C-BE32-E72D297353CC}">
              <c16:uniqueId val="{00000006-604C-4493-BFB6-F59FCB6E2A3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Physical Activities Interest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'Pivots and Charts'!$B$187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38-4665-BB6B-2FED79ABAD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38-4665-BB6B-2FED79ABADA7}"/>
              </c:ext>
            </c:extLst>
          </c:dPt>
          <c:cat>
            <c:strRef>
              <c:f>'Pivots and Charts'!$A$188:$A$190</c:f>
              <c:strCache>
                <c:ptCount val="2"/>
                <c:pt idx="0">
                  <c:v>No</c:v>
                </c:pt>
                <c:pt idx="1">
                  <c:v>Yes</c:v>
                </c:pt>
              </c:strCache>
            </c:strRef>
          </c:cat>
          <c:val>
            <c:numRef>
              <c:f>'Pivots and Charts'!$B$188:$B$190</c:f>
              <c:numCache>
                <c:formatCode>General</c:formatCode>
                <c:ptCount val="2"/>
                <c:pt idx="0">
                  <c:v>689</c:v>
                </c:pt>
                <c:pt idx="1">
                  <c:v>505</c:v>
                </c:pt>
              </c:numCache>
            </c:numRef>
          </c:val>
          <c:extLst>
            <c:ext xmlns:c16="http://schemas.microsoft.com/office/drawing/2014/chart" uri="{C3380CC4-5D6E-409C-BE32-E72D297353CC}">
              <c16:uniqueId val="{00000004-B438-4665-BB6B-2FED79ABADA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Stundents playing Mobile Tournaments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and Charts'!$B$205</c:f>
              <c:strCache>
                <c:ptCount val="1"/>
                <c:pt idx="0">
                  <c:v>Total</c:v>
                </c:pt>
              </c:strCache>
            </c:strRef>
          </c:tx>
          <c:spPr>
            <a:solidFill>
              <a:schemeClr val="accent1"/>
            </a:solidFill>
            <a:ln>
              <a:noFill/>
            </a:ln>
            <a:effectLst/>
          </c:spPr>
          <c:invertIfNegative val="0"/>
          <c:cat>
            <c:strRef>
              <c:f>'Pivots and Charts'!$A$206:$A$208</c:f>
              <c:strCache>
                <c:ptCount val="2"/>
                <c:pt idx="0">
                  <c:v>No</c:v>
                </c:pt>
                <c:pt idx="1">
                  <c:v>Yes</c:v>
                </c:pt>
              </c:strCache>
            </c:strRef>
          </c:cat>
          <c:val>
            <c:numRef>
              <c:f>'Pivots and Charts'!$B$206:$B$208</c:f>
              <c:numCache>
                <c:formatCode>General</c:formatCode>
                <c:ptCount val="2"/>
                <c:pt idx="0">
                  <c:v>16</c:v>
                </c:pt>
                <c:pt idx="1">
                  <c:v>1178</c:v>
                </c:pt>
              </c:numCache>
            </c:numRef>
          </c:val>
          <c:extLst>
            <c:ext xmlns:c16="http://schemas.microsoft.com/office/drawing/2014/chart" uri="{C3380CC4-5D6E-409C-BE32-E72D297353CC}">
              <c16:uniqueId val="{00000000-F0DC-4446-BB40-CAAC48997A35}"/>
            </c:ext>
          </c:extLst>
        </c:ser>
        <c:dLbls>
          <c:showLegendKey val="0"/>
          <c:showVal val="0"/>
          <c:showCatName val="0"/>
          <c:showSerName val="0"/>
          <c:showPercent val="0"/>
          <c:showBubbleSize val="0"/>
        </c:dLbls>
        <c:gapWidth val="182"/>
        <c:axId val="43254791"/>
        <c:axId val="43256839"/>
      </c:barChart>
      <c:catAx>
        <c:axId val="43254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6839"/>
        <c:crosses val="autoZero"/>
        <c:auto val="1"/>
        <c:lblAlgn val="ctr"/>
        <c:lblOffset val="100"/>
        <c:noMultiLvlLbl val="0"/>
      </c:catAx>
      <c:valAx>
        <c:axId val="43256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4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'Pivots and Charts'!$B$140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26-48E5-A61B-40DEDEC8F8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26-48E5-A61B-40DEDEC8F8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26-48E5-A61B-40DEDEC8F843}"/>
              </c:ext>
            </c:extLst>
          </c:dPt>
          <c:cat>
            <c:strRef>
              <c:f>'Pivots and Charts'!$A$141:$A$144</c:f>
              <c:strCache>
                <c:ptCount val="3"/>
                <c:pt idx="0">
                  <c:v>High</c:v>
                </c:pt>
                <c:pt idx="1">
                  <c:v>Low</c:v>
                </c:pt>
                <c:pt idx="2">
                  <c:v>Medium</c:v>
                </c:pt>
              </c:strCache>
            </c:strRef>
          </c:cat>
          <c:val>
            <c:numRef>
              <c:f>'Pivots and Charts'!$B$141:$B$144</c:f>
              <c:numCache>
                <c:formatCode>General</c:formatCode>
                <c:ptCount val="3"/>
                <c:pt idx="0">
                  <c:v>438</c:v>
                </c:pt>
                <c:pt idx="1">
                  <c:v>91</c:v>
                </c:pt>
                <c:pt idx="2">
                  <c:v>665</c:v>
                </c:pt>
              </c:numCache>
            </c:numRef>
          </c:val>
          <c:extLst>
            <c:ext xmlns:c16="http://schemas.microsoft.com/office/drawing/2014/chart" uri="{C3380CC4-5D6E-409C-BE32-E72D297353CC}">
              <c16:uniqueId val="{00000006-C526-48E5-A61B-40DEDEC8F84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Members Admitted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and Charts'!$B$1</c:f>
              <c:strCache>
                <c:ptCount val="1"/>
                <c:pt idx="0">
                  <c:v>Total</c:v>
                </c:pt>
              </c:strCache>
            </c:strRef>
          </c:tx>
          <c:spPr>
            <a:solidFill>
              <a:schemeClr val="accent1"/>
            </a:solidFill>
            <a:ln>
              <a:noFill/>
            </a:ln>
            <a:effectLst/>
          </c:spPr>
          <c:invertIfNegative val="0"/>
          <c:cat>
            <c:strRef>
              <c:f>'Pivots and Charts'!$A$2:$A$13</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'Pivots and Charts'!$B$2:$B$13</c:f>
              <c:numCache>
                <c:formatCode>General</c:formatCode>
                <c:ptCount val="11"/>
                <c:pt idx="0">
                  <c:v>1</c:v>
                </c:pt>
                <c:pt idx="1">
                  <c:v>3</c:v>
                </c:pt>
                <c:pt idx="2">
                  <c:v>5</c:v>
                </c:pt>
                <c:pt idx="3">
                  <c:v>4</c:v>
                </c:pt>
                <c:pt idx="4">
                  <c:v>12</c:v>
                </c:pt>
                <c:pt idx="5">
                  <c:v>49</c:v>
                </c:pt>
                <c:pt idx="6">
                  <c:v>178</c:v>
                </c:pt>
                <c:pt idx="7">
                  <c:v>283</c:v>
                </c:pt>
                <c:pt idx="8">
                  <c:v>328</c:v>
                </c:pt>
                <c:pt idx="9">
                  <c:v>325</c:v>
                </c:pt>
                <c:pt idx="10">
                  <c:v>6</c:v>
                </c:pt>
              </c:numCache>
            </c:numRef>
          </c:val>
          <c:extLst>
            <c:ext xmlns:c16="http://schemas.microsoft.com/office/drawing/2014/chart" uri="{C3380CC4-5D6E-409C-BE32-E72D297353CC}">
              <c16:uniqueId val="{00000000-5068-407C-98A3-535DF98E2DB7}"/>
            </c:ext>
          </c:extLst>
        </c:ser>
        <c:dLbls>
          <c:showLegendKey val="0"/>
          <c:showVal val="0"/>
          <c:showCatName val="0"/>
          <c:showSerName val="0"/>
          <c:showPercent val="0"/>
          <c:showBubbleSize val="0"/>
        </c:dLbls>
        <c:gapWidth val="150"/>
        <c:overlap val="100"/>
        <c:axId val="550892040"/>
        <c:axId val="550176264"/>
      </c:barChart>
      <c:catAx>
        <c:axId val="550892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176264"/>
        <c:crosses val="autoZero"/>
        <c:auto val="1"/>
        <c:lblAlgn val="ctr"/>
        <c:lblOffset val="100"/>
        <c:noMultiLvlLbl val="0"/>
      </c:catAx>
      <c:valAx>
        <c:axId val="550176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892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[Students_Performance_dataset.xlsx]Pivots and Charts!PivotTable10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Scholarship provided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'Pivots and Charts'!$B$146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E2-47A5-BB92-161574843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E2-47A5-BB92-1615748430FC}"/>
              </c:ext>
            </c:extLst>
          </c:dPt>
          <c:cat>
            <c:strRef>
              <c:f>'Pivots and Charts'!$A$147:$A$149</c:f>
              <c:strCache>
                <c:ptCount val="2"/>
                <c:pt idx="0">
                  <c:v>No</c:v>
                </c:pt>
                <c:pt idx="1">
                  <c:v>Yes</c:v>
                </c:pt>
              </c:strCache>
            </c:strRef>
          </c:cat>
          <c:val>
            <c:numRef>
              <c:f>'Pivots and Charts'!$B$147:$B$149</c:f>
              <c:numCache>
                <c:formatCode>General</c:formatCode>
                <c:ptCount val="2"/>
                <c:pt idx="0">
                  <c:v>671</c:v>
                </c:pt>
                <c:pt idx="1">
                  <c:v>523</c:v>
                </c:pt>
              </c:numCache>
            </c:numRef>
          </c:val>
          <c:extLst>
            <c:ext xmlns:c16="http://schemas.microsoft.com/office/drawing/2014/chart" uri="{C3380CC4-5D6E-409C-BE32-E72D297353CC}">
              <c16:uniqueId val="{00000004-CCE2-47A5-BB92-1615748430F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hyperlink" Target="#'Extra Skills'!A1"/><Relationship Id="rId7" Type="http://schemas.openxmlformats.org/officeDocument/2006/relationships/chart" Target="../charts/chart11.xml"/><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hyperlink" Target="#Students!A1"/></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7" Type="http://schemas.openxmlformats.org/officeDocument/2006/relationships/chart" Target="../charts/chart14.xml"/><Relationship Id="rId2" Type="http://schemas.openxmlformats.org/officeDocument/2006/relationships/image" Target="../media/image1.png"/><Relationship Id="rId1" Type="http://schemas.openxmlformats.org/officeDocument/2006/relationships/hyperlink" Target="#Students!A1"/><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hyperlink" Target="#'Extra Skills'!A1"/></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hyperlink" Target="#'Extra Skills'!A1"/><Relationship Id="rId2" Type="http://schemas.openxmlformats.org/officeDocument/2006/relationships/chart" Target="../charts/chart15.xml"/><Relationship Id="rId1" Type="http://schemas.openxmlformats.org/officeDocument/2006/relationships/hyperlink" Target="#Students!A1"/><Relationship Id="rId6" Type="http://schemas.openxmlformats.org/officeDocument/2006/relationships/hyperlink" Target="#Dashboard!A1"/><Relationship Id="rId5" Type="http://schemas.openxmlformats.org/officeDocument/2006/relationships/image" Target="../media/image1.png"/><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85725</xdr:colOff>
      <xdr:row>0</xdr:row>
      <xdr:rowOff>0</xdr:rowOff>
    </xdr:from>
    <xdr:to>
      <xdr:col>11</xdr:col>
      <xdr:colOff>304800</xdr:colOff>
      <xdr:row>14</xdr:row>
      <xdr:rowOff>76200</xdr:rowOff>
    </xdr:to>
    <xdr:graphicFrame macro="">
      <xdr:nvGraphicFramePr>
        <xdr:cNvPr id="2" name="Chart 1">
          <a:extLst>
            <a:ext uri="{FF2B5EF4-FFF2-40B4-BE49-F238E27FC236}">
              <a16:creationId xmlns:a16="http://schemas.microsoft.com/office/drawing/2014/main" id="{39BDE34B-F8C8-4D35-F4C6-3D4690360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371475</xdr:colOff>
      <xdr:row>126</xdr:row>
      <xdr:rowOff>123825</xdr:rowOff>
    </xdr:from>
    <xdr:to>
      <xdr:col>13</xdr:col>
      <xdr:colOff>19050</xdr:colOff>
      <xdr:row>141</xdr:row>
      <xdr:rowOff>9525</xdr:rowOff>
    </xdr:to>
    <xdr:graphicFrame macro="">
      <xdr:nvGraphicFramePr>
        <xdr:cNvPr id="3" name="Chart 2">
          <a:extLst>
            <a:ext uri="{FF2B5EF4-FFF2-40B4-BE49-F238E27FC236}">
              <a16:creationId xmlns:a16="http://schemas.microsoft.com/office/drawing/2014/main" id="{10DA759D-62C6-0EC1-DEB7-6B4406C21402}"/>
            </a:ext>
            <a:ext uri="{147F2762-F138-4A5C-976F-8EAC2B608ADB}">
              <a16:predDERef xmlns:a16="http://schemas.microsoft.com/office/drawing/2014/main" pred="{39BDE34B-F8C8-4D35-F4C6-3D4690360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104775</xdr:colOff>
      <xdr:row>142</xdr:row>
      <xdr:rowOff>66675</xdr:rowOff>
    </xdr:from>
    <xdr:to>
      <xdr:col>20</xdr:col>
      <xdr:colOff>285750</xdr:colOff>
      <xdr:row>156</xdr:row>
      <xdr:rowOff>142875</xdr:rowOff>
    </xdr:to>
    <xdr:graphicFrame macro="">
      <xdr:nvGraphicFramePr>
        <xdr:cNvPr id="5" name="Chart 4">
          <a:extLst>
            <a:ext uri="{FF2B5EF4-FFF2-40B4-BE49-F238E27FC236}">
              <a16:creationId xmlns:a16="http://schemas.microsoft.com/office/drawing/2014/main" id="{EA15CECB-52AA-E059-B933-BD6010B4349F}"/>
            </a:ext>
            <a:ext uri="{147F2762-F138-4A5C-976F-8EAC2B608ADB}">
              <a16:predDERef xmlns:a16="http://schemas.microsoft.com/office/drawing/2014/main" pred="{10DA759D-62C6-0EC1-DEB7-6B4406C21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9525</xdr:colOff>
      <xdr:row>4</xdr:row>
      <xdr:rowOff>9523</xdr:rowOff>
    </xdr:from>
    <xdr:to>
      <xdr:col>28</xdr:col>
      <xdr:colOff>417076</xdr:colOff>
      <xdr:row>7</xdr:row>
      <xdr:rowOff>158023</xdr:rowOff>
    </xdr:to>
    <mc:AlternateContent xmlns:mc="http://schemas.openxmlformats.org/markup-compatibility/2006" xmlns:a14="http://schemas.microsoft.com/office/drawing/2010/main">
      <mc:Choice Requires="a14">
        <xdr:graphicFrame macro="">
          <xdr:nvGraphicFramePr>
            <xdr:cNvPr id="6" name="University Admission year">
              <a:extLst>
                <a:ext uri="{FF2B5EF4-FFF2-40B4-BE49-F238E27FC236}">
                  <a16:creationId xmlns:a16="http://schemas.microsoft.com/office/drawing/2014/main" id="{568A1F2F-6211-30A4-0E40-48BDD85424B7}"/>
                </a:ext>
                <a:ext uri="{147F2762-F138-4A5C-976F-8EAC2B608ADB}">
                  <a16:predDERef xmlns:a16="http://schemas.microsoft.com/office/drawing/2014/main" pred="{EA15CECB-52AA-E059-B933-BD6010B4349F}"/>
                </a:ext>
              </a:extLst>
            </xdr:cNvPr>
            <xdr:cNvGraphicFramePr/>
          </xdr:nvGraphicFramePr>
          <xdr:xfrm>
            <a:off x="0" y="0"/>
            <a:ext cx="0" cy="0"/>
          </xdr:xfrm>
          <a:graphic>
            <a:graphicData uri="http://schemas.microsoft.com/office/drawing/2010/slicer">
              <sle:slicer xmlns:sle="http://schemas.microsoft.com/office/drawing/2010/slicer" name="University Admission year"/>
            </a:graphicData>
          </a:graphic>
        </xdr:graphicFrame>
      </mc:Choice>
      <mc:Fallback xmlns="">
        <xdr:sp macro="" textlink="">
          <xdr:nvSpPr>
            <xdr:cNvPr id="0" name=""/>
            <xdr:cNvSpPr>
              <a:spLocks noTextEdit="1"/>
            </xdr:cNvSpPr>
          </xdr:nvSpPr>
          <xdr:spPr>
            <a:xfrm>
              <a:off x="8382000" y="771523"/>
              <a:ext cx="7522726"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10</xdr:row>
      <xdr:rowOff>161925</xdr:rowOff>
    </xdr:from>
    <xdr:to>
      <xdr:col>16</xdr:col>
      <xdr:colOff>866775</xdr:colOff>
      <xdr:row>14</xdr:row>
      <xdr:rowOff>95250</xdr:rowOff>
    </xdr:to>
    <mc:AlternateContent xmlns:mc="http://schemas.openxmlformats.org/markup-compatibility/2006" xmlns:a14="http://schemas.microsoft.com/office/drawing/2010/main">
      <mc:Choice Requires="a14">
        <xdr:graphicFrame macro="">
          <xdr:nvGraphicFramePr>
            <xdr:cNvPr id="4" name="Program">
              <a:extLst>
                <a:ext uri="{FF2B5EF4-FFF2-40B4-BE49-F238E27FC236}">
                  <a16:creationId xmlns:a16="http://schemas.microsoft.com/office/drawing/2014/main" id="{C90DED8B-8AB3-188F-E82F-EAFFBDD3D452}"/>
                </a:ext>
                <a:ext uri="{147F2762-F138-4A5C-976F-8EAC2B608ADB}">
                  <a16:predDERef xmlns:a16="http://schemas.microsoft.com/office/drawing/2014/main" pred="{568A1F2F-6211-30A4-0E40-48BDD85424B7}"/>
                </a:ext>
              </a:extLst>
            </xdr:cNvPr>
            <xdr:cNvGraphicFramePr/>
          </xdr:nvGraphicFramePr>
          <xdr:xfrm>
            <a:off x="0" y="0"/>
            <a:ext cx="0" cy="0"/>
          </xdr:xfrm>
          <a:graphic>
            <a:graphicData uri="http://schemas.microsoft.com/office/drawing/2010/slicer">
              <sle:slicer xmlns:sle="http://schemas.microsoft.com/office/drawing/2010/slicer" name="Program"/>
            </a:graphicData>
          </a:graphic>
        </xdr:graphicFrame>
      </mc:Choice>
      <mc:Fallback xmlns="">
        <xdr:sp macro="" textlink="">
          <xdr:nvSpPr>
            <xdr:cNvPr id="0" name=""/>
            <xdr:cNvSpPr>
              <a:spLocks noTextEdit="1"/>
            </xdr:cNvSpPr>
          </xdr:nvSpPr>
          <xdr:spPr>
            <a:xfrm>
              <a:off x="8096250" y="2066925"/>
              <a:ext cx="1828800"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361950</xdr:colOff>
      <xdr:row>48</xdr:row>
      <xdr:rowOff>76200</xdr:rowOff>
    </xdr:from>
    <xdr:to>
      <xdr:col>16</xdr:col>
      <xdr:colOff>304800</xdr:colOff>
      <xdr:row>62</xdr:row>
      <xdr:rowOff>152400</xdr:rowOff>
    </xdr:to>
    <xdr:graphicFrame macro="">
      <xdr:nvGraphicFramePr>
        <xdr:cNvPr id="7" name="Chart 6">
          <a:extLst>
            <a:ext uri="{FF2B5EF4-FFF2-40B4-BE49-F238E27FC236}">
              <a16:creationId xmlns:a16="http://schemas.microsoft.com/office/drawing/2014/main" id="{E2DF2675-BABD-DFFD-F9DA-8B2EED97E8BD}"/>
            </a:ext>
            <a:ext uri="{147F2762-F138-4A5C-976F-8EAC2B608ADB}">
              <a16:predDERef xmlns:a16="http://schemas.microsoft.com/office/drawing/2014/main" pred="{C90DED8B-8AB3-188F-E82F-EAFFBDD3D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361950</xdr:colOff>
      <xdr:row>157</xdr:row>
      <xdr:rowOff>0</xdr:rowOff>
    </xdr:from>
    <xdr:to>
      <xdr:col>16</xdr:col>
      <xdr:colOff>304800</xdr:colOff>
      <xdr:row>171</xdr:row>
      <xdr:rowOff>76200</xdr:rowOff>
    </xdr:to>
    <xdr:graphicFrame macro="">
      <xdr:nvGraphicFramePr>
        <xdr:cNvPr id="10" name="Chart 9">
          <a:extLst>
            <a:ext uri="{FF2B5EF4-FFF2-40B4-BE49-F238E27FC236}">
              <a16:creationId xmlns:a16="http://schemas.microsoft.com/office/drawing/2014/main" id="{1EB5D3D6-3D9E-E90A-7425-810F2D0C566D}"/>
            </a:ext>
            <a:ext uri="{147F2762-F138-4A5C-976F-8EAC2B608ADB}">
              <a16:predDERef xmlns:a16="http://schemas.microsoft.com/office/drawing/2014/main" pred="{E2DF2675-BABD-DFFD-F9DA-8B2EED97E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85725</xdr:colOff>
      <xdr:row>172</xdr:row>
      <xdr:rowOff>142875</xdr:rowOff>
    </xdr:from>
    <xdr:to>
      <xdr:col>16</xdr:col>
      <xdr:colOff>914400</xdr:colOff>
      <xdr:row>181</xdr:row>
      <xdr:rowOff>142875</xdr:rowOff>
    </xdr:to>
    <xdr:graphicFrame macro="">
      <xdr:nvGraphicFramePr>
        <xdr:cNvPr id="8" name="Chart 7">
          <a:extLst>
            <a:ext uri="{FF2B5EF4-FFF2-40B4-BE49-F238E27FC236}">
              <a16:creationId xmlns:a16="http://schemas.microsoft.com/office/drawing/2014/main" id="{1F15514C-1ECE-2133-1B17-F62BEF00970E}"/>
            </a:ext>
            <a:ext uri="{147F2762-F138-4A5C-976F-8EAC2B608ADB}">
              <a16:predDERef xmlns:a16="http://schemas.microsoft.com/office/drawing/2014/main" pred="{1EB5D3D6-3D9E-E90A-7425-810F2D0C5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183</xdr:row>
      <xdr:rowOff>19050</xdr:rowOff>
    </xdr:from>
    <xdr:to>
      <xdr:col>15</xdr:col>
      <xdr:colOff>276225</xdr:colOff>
      <xdr:row>195</xdr:row>
      <xdr:rowOff>19050</xdr:rowOff>
    </xdr:to>
    <xdr:graphicFrame macro="">
      <xdr:nvGraphicFramePr>
        <xdr:cNvPr id="9" name="Chart 8">
          <a:extLst>
            <a:ext uri="{FF2B5EF4-FFF2-40B4-BE49-F238E27FC236}">
              <a16:creationId xmlns:a16="http://schemas.microsoft.com/office/drawing/2014/main" id="{90CEC42B-008A-0525-2662-5873B50FA755}"/>
            </a:ext>
            <a:ext uri="{147F2762-F138-4A5C-976F-8EAC2B608ADB}">
              <a16:predDERef xmlns:a16="http://schemas.microsoft.com/office/drawing/2014/main" pred="{1F15514C-1ECE-2133-1B17-F62BEF009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171450</xdr:colOff>
      <xdr:row>200</xdr:row>
      <xdr:rowOff>95250</xdr:rowOff>
    </xdr:from>
    <xdr:to>
      <xdr:col>15</xdr:col>
      <xdr:colOff>133350</xdr:colOff>
      <xdr:row>214</xdr:row>
      <xdr:rowOff>171450</xdr:rowOff>
    </xdr:to>
    <xdr:graphicFrame macro="">
      <xdr:nvGraphicFramePr>
        <xdr:cNvPr id="12" name="Chart 11">
          <a:extLst>
            <a:ext uri="{FF2B5EF4-FFF2-40B4-BE49-F238E27FC236}">
              <a16:creationId xmlns:a16="http://schemas.microsoft.com/office/drawing/2014/main" id="{972D69B6-B4B1-647D-DCBC-D9B6DBBD7EF1}"/>
            </a:ext>
            <a:ext uri="{147F2762-F138-4A5C-976F-8EAC2B608ADB}">
              <a16:predDERef xmlns:a16="http://schemas.microsoft.com/office/drawing/2014/main" pred="{90CEC42B-008A-0525-2662-5873B50FA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57150</xdr:rowOff>
    </xdr:from>
    <xdr:to>
      <xdr:col>18</xdr:col>
      <xdr:colOff>600075</xdr:colOff>
      <xdr:row>22</xdr:row>
      <xdr:rowOff>38100</xdr:rowOff>
    </xdr:to>
    <xdr:sp macro="" textlink="">
      <xdr:nvSpPr>
        <xdr:cNvPr id="2" name="Rectangle 1">
          <a:extLst>
            <a:ext uri="{FF2B5EF4-FFF2-40B4-BE49-F238E27FC236}">
              <a16:creationId xmlns:a16="http://schemas.microsoft.com/office/drawing/2014/main" id="{65A9EA7E-C2F1-4B70-A02E-B830B7DC7025}"/>
            </a:ext>
          </a:extLst>
        </xdr:cNvPr>
        <xdr:cNvSpPr/>
      </xdr:nvSpPr>
      <xdr:spPr>
        <a:xfrm>
          <a:off x="66675" y="57150"/>
          <a:ext cx="11506200" cy="417195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lt"/>
              <a:cs typeface="+mn-lt"/>
            </a:rPr>
            <a:t>ENECCCGBGBFLKCHETJIBIEBBUUNDJFBTTHKINTLTTJHL</a:t>
          </a:r>
        </a:p>
        <a:p>
          <a:pPr marL="0" indent="0" algn="l"/>
          <a:endParaRPr lang="en-US" sz="1100">
            <a:solidFill>
              <a:schemeClr val="lt1"/>
            </a:solidFill>
            <a:latin typeface="+mn-lt"/>
            <a:ea typeface="+mn-lt"/>
            <a:cs typeface="+mn-lt"/>
          </a:endParaRPr>
        </a:p>
      </xdr:txBody>
    </xdr:sp>
    <xdr:clientData/>
  </xdr:twoCellAnchor>
  <xdr:twoCellAnchor>
    <xdr:from>
      <xdr:col>2</xdr:col>
      <xdr:colOff>485775</xdr:colOff>
      <xdr:row>0</xdr:row>
      <xdr:rowOff>57150</xdr:rowOff>
    </xdr:from>
    <xdr:to>
      <xdr:col>18</xdr:col>
      <xdr:colOff>590550</xdr:colOff>
      <xdr:row>22</xdr:row>
      <xdr:rowOff>47625</xdr:rowOff>
    </xdr:to>
    <xdr:sp macro="" textlink="">
      <xdr:nvSpPr>
        <xdr:cNvPr id="3" name="Round Diagonal Corner Rectangle 3">
          <a:extLst>
            <a:ext uri="{FF2B5EF4-FFF2-40B4-BE49-F238E27FC236}">
              <a16:creationId xmlns:a16="http://schemas.microsoft.com/office/drawing/2014/main" id="{FB36B3B3-64DE-4330-A268-6E44CD6B0C3F}"/>
            </a:ext>
            <a:ext uri="{147F2762-F138-4A5C-976F-8EAC2B608ADB}">
              <a16:predDERef xmlns:a16="http://schemas.microsoft.com/office/drawing/2014/main" pred="{65A9EA7E-C2F1-4B70-A02E-B830B7DC7025}"/>
            </a:ext>
          </a:extLst>
        </xdr:cNvPr>
        <xdr:cNvSpPr/>
      </xdr:nvSpPr>
      <xdr:spPr>
        <a:xfrm>
          <a:off x="1704975" y="57150"/>
          <a:ext cx="9858375" cy="41814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lt"/>
              <a:cs typeface="+mn-lt"/>
            </a:rPr>
            <a:t>1194</a:t>
          </a:r>
        </a:p>
      </xdr:txBody>
    </xdr:sp>
    <xdr:clientData/>
  </xdr:twoCellAnchor>
  <xdr:twoCellAnchor>
    <xdr:from>
      <xdr:col>3</xdr:col>
      <xdr:colOff>19050</xdr:colOff>
      <xdr:row>5</xdr:row>
      <xdr:rowOff>66675</xdr:rowOff>
    </xdr:from>
    <xdr:to>
      <xdr:col>18</xdr:col>
      <xdr:colOff>533400</xdr:colOff>
      <xdr:row>7</xdr:row>
      <xdr:rowOff>171450</xdr:rowOff>
    </xdr:to>
    <xdr:sp macro="" textlink="">
      <xdr:nvSpPr>
        <xdr:cNvPr id="4" name="Rectangle 4">
          <a:extLst>
            <a:ext uri="{FF2B5EF4-FFF2-40B4-BE49-F238E27FC236}">
              <a16:creationId xmlns:a16="http://schemas.microsoft.com/office/drawing/2014/main" id="{3EFA9D1E-90DE-4FD7-B552-780268574B83}"/>
            </a:ext>
            <a:ext uri="{147F2762-F138-4A5C-976F-8EAC2B608ADB}">
              <a16:predDERef xmlns:a16="http://schemas.microsoft.com/office/drawing/2014/main" pred="{FB36B3B3-64DE-4330-A268-6E44CD6B0C3F}"/>
            </a:ext>
          </a:extLst>
        </xdr:cNvPr>
        <xdr:cNvSpPr/>
      </xdr:nvSpPr>
      <xdr:spPr>
        <a:xfrm>
          <a:off x="1847850" y="1019175"/>
          <a:ext cx="9658350" cy="485775"/>
        </a:xfrm>
        <a:prstGeom prst="rect">
          <a:avLst/>
        </a:prstGeom>
        <a:solidFill>
          <a:srgbClr val="12296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800" b="0" i="0">
              <a:solidFill>
                <a:schemeClr val="lt1"/>
              </a:solidFill>
              <a:latin typeface="Tw Cen MT" panose="020B0602020104020603" pitchFamily="34" charset="0"/>
            </a:rPr>
            <a:t>THE HYDERABAD PUBLIC SCHOOL</a:t>
          </a:r>
        </a:p>
      </xdr:txBody>
    </xdr:sp>
    <xdr:clientData/>
  </xdr:twoCellAnchor>
  <xdr:twoCellAnchor editAs="oneCell">
    <xdr:from>
      <xdr:col>0</xdr:col>
      <xdr:colOff>0</xdr:colOff>
      <xdr:row>1</xdr:row>
      <xdr:rowOff>0</xdr:rowOff>
    </xdr:from>
    <xdr:to>
      <xdr:col>2</xdr:col>
      <xdr:colOff>561975</xdr:colOff>
      <xdr:row>9</xdr:row>
      <xdr:rowOff>38100</xdr:rowOff>
    </xdr:to>
    <xdr:pic>
      <xdr:nvPicPr>
        <xdr:cNvPr id="8" name="Picture 2">
          <a:extLst>
            <a:ext uri="{FF2B5EF4-FFF2-40B4-BE49-F238E27FC236}">
              <a16:creationId xmlns:a16="http://schemas.microsoft.com/office/drawing/2014/main" id="{7CD72989-4529-4893-9935-7624AA96A6B7}"/>
            </a:ext>
            <a:ext uri="{147F2762-F138-4A5C-976F-8EAC2B608ADB}">
              <a16:predDERef xmlns:a16="http://schemas.microsoft.com/office/drawing/2014/main" pred="{D3DF3F5D-9038-488F-BD58-7D097CEDFEBE}"/>
            </a:ext>
          </a:extLst>
        </xdr:cNvPr>
        <xdr:cNvPicPr>
          <a:picLocks noChangeAspect="1"/>
        </xdr:cNvPicPr>
      </xdr:nvPicPr>
      <xdr:blipFill>
        <a:blip xmlns:r="http://schemas.openxmlformats.org/officeDocument/2006/relationships" r:embed="rId1"/>
        <a:stretch>
          <a:fillRect/>
        </a:stretch>
      </xdr:blipFill>
      <xdr:spPr>
        <a:xfrm>
          <a:off x="0" y="190500"/>
          <a:ext cx="1781175" cy="1562100"/>
        </a:xfrm>
        <a:prstGeom prst="rect">
          <a:avLst/>
        </a:prstGeom>
      </xdr:spPr>
    </xdr:pic>
    <xdr:clientData/>
  </xdr:twoCellAnchor>
  <xdr:twoCellAnchor>
    <xdr:from>
      <xdr:col>0</xdr:col>
      <xdr:colOff>228600</xdr:colOff>
      <xdr:row>9</xdr:row>
      <xdr:rowOff>28575</xdr:rowOff>
    </xdr:from>
    <xdr:to>
      <xdr:col>2</xdr:col>
      <xdr:colOff>361950</xdr:colOff>
      <xdr:row>11</xdr:row>
      <xdr:rowOff>133350</xdr:rowOff>
    </xdr:to>
    <xdr:sp macro="" textlink="">
      <xdr:nvSpPr>
        <xdr:cNvPr id="9" name="Rectangle 10">
          <a:hlinkClick xmlns:r="http://schemas.openxmlformats.org/officeDocument/2006/relationships" r:id="rId2"/>
          <a:extLst>
            <a:ext uri="{FF2B5EF4-FFF2-40B4-BE49-F238E27FC236}">
              <a16:creationId xmlns:a16="http://schemas.microsoft.com/office/drawing/2014/main" id="{B07D4618-4371-42DC-8BC0-8603F0E18432}"/>
            </a:ext>
            <a:ext uri="{147F2762-F138-4A5C-976F-8EAC2B608ADB}">
              <a16:predDERef xmlns:a16="http://schemas.microsoft.com/office/drawing/2014/main" pred="{7CD72989-4529-4893-9935-7624AA96A6B7}"/>
            </a:ext>
          </a:extLst>
        </xdr:cNvPr>
        <xdr:cNvSpPr/>
      </xdr:nvSpPr>
      <xdr:spPr>
        <a:xfrm>
          <a:off x="228600" y="1743075"/>
          <a:ext cx="1352550" cy="485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tx1"/>
              </a:solidFill>
              <a:latin typeface="Calibri" panose="020F0502020204030204" pitchFamily="34" charset="0"/>
              <a:ea typeface="Calibri" panose="020F0502020204030204" pitchFamily="34" charset="0"/>
              <a:cs typeface="Calibri" panose="020F0502020204030204" pitchFamily="34" charset="0"/>
            </a:rPr>
            <a:t>HOME</a:t>
          </a:r>
        </a:p>
      </xdr:txBody>
    </xdr:sp>
    <xdr:clientData/>
  </xdr:twoCellAnchor>
  <xdr:twoCellAnchor>
    <xdr:from>
      <xdr:col>0</xdr:col>
      <xdr:colOff>228600</xdr:colOff>
      <xdr:row>19</xdr:row>
      <xdr:rowOff>0</xdr:rowOff>
    </xdr:from>
    <xdr:to>
      <xdr:col>2</xdr:col>
      <xdr:colOff>361950</xdr:colOff>
      <xdr:row>21</xdr:row>
      <xdr:rowOff>104775</xdr:rowOff>
    </xdr:to>
    <xdr:sp macro="" textlink="">
      <xdr:nvSpPr>
        <xdr:cNvPr id="10" name="Rectangle 11">
          <a:extLst>
            <a:ext uri="{FF2B5EF4-FFF2-40B4-BE49-F238E27FC236}">
              <a16:creationId xmlns:a16="http://schemas.microsoft.com/office/drawing/2014/main" id="{20D2EB61-E942-4BA7-9B5D-687AC40E74BC}"/>
            </a:ext>
            <a:ext uri="{147F2762-F138-4A5C-976F-8EAC2B608ADB}">
              <a16:predDERef xmlns:a16="http://schemas.microsoft.com/office/drawing/2014/main" pred="{B07D4618-4371-42DC-8BC0-8603F0E18432}"/>
            </a:ext>
          </a:extLst>
        </xdr:cNvPr>
        <xdr:cNvSpPr/>
      </xdr:nvSpPr>
      <xdr:spPr>
        <a:xfrm>
          <a:off x="228600" y="3619500"/>
          <a:ext cx="1352550" cy="4857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tx1"/>
              </a:solidFill>
              <a:latin typeface="Calibri" panose="020F0502020204030204" pitchFamily="34" charset="0"/>
              <a:ea typeface="Calibri" panose="020F0502020204030204" pitchFamily="34" charset="0"/>
              <a:cs typeface="Calibri" panose="020F0502020204030204" pitchFamily="34" charset="0"/>
            </a:rPr>
            <a:t>ABOUT US</a:t>
          </a:r>
        </a:p>
      </xdr:txBody>
    </xdr:sp>
    <xdr:clientData/>
  </xdr:twoCellAnchor>
  <xdr:twoCellAnchor>
    <xdr:from>
      <xdr:col>0</xdr:col>
      <xdr:colOff>228600</xdr:colOff>
      <xdr:row>15</xdr:row>
      <xdr:rowOff>133350</xdr:rowOff>
    </xdr:from>
    <xdr:to>
      <xdr:col>2</xdr:col>
      <xdr:colOff>361950</xdr:colOff>
      <xdr:row>18</xdr:row>
      <xdr:rowOff>47625</xdr:rowOff>
    </xdr:to>
    <xdr:sp macro="" textlink="">
      <xdr:nvSpPr>
        <xdr:cNvPr id="11" name="Rectangle 12">
          <a:hlinkClick xmlns:r="http://schemas.openxmlformats.org/officeDocument/2006/relationships" r:id="rId3"/>
          <a:extLst>
            <a:ext uri="{FF2B5EF4-FFF2-40B4-BE49-F238E27FC236}">
              <a16:creationId xmlns:a16="http://schemas.microsoft.com/office/drawing/2014/main" id="{36790861-EE2E-47B8-8ABE-DF17D8B12EAE}"/>
            </a:ext>
            <a:ext uri="{147F2762-F138-4A5C-976F-8EAC2B608ADB}">
              <a16:predDERef xmlns:a16="http://schemas.microsoft.com/office/drawing/2014/main" pred="{20D2EB61-E942-4BA7-9B5D-687AC40E74BC}"/>
            </a:ext>
          </a:extLst>
        </xdr:cNvPr>
        <xdr:cNvSpPr/>
      </xdr:nvSpPr>
      <xdr:spPr>
        <a:xfrm>
          <a:off x="228600" y="2990850"/>
          <a:ext cx="1352550" cy="485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EXTRA SKILLS</a:t>
          </a:r>
          <a:r>
            <a:rPr lang="en-US" sz="14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M</a:t>
          </a:r>
        </a:p>
      </xdr:txBody>
    </xdr:sp>
    <xdr:clientData/>
  </xdr:twoCellAnchor>
  <xdr:twoCellAnchor>
    <xdr:from>
      <xdr:col>0</xdr:col>
      <xdr:colOff>228600</xdr:colOff>
      <xdr:row>12</xdr:row>
      <xdr:rowOff>85725</xdr:rowOff>
    </xdr:from>
    <xdr:to>
      <xdr:col>2</xdr:col>
      <xdr:colOff>361950</xdr:colOff>
      <xdr:row>15</xdr:row>
      <xdr:rowOff>0</xdr:rowOff>
    </xdr:to>
    <xdr:sp macro="" textlink="">
      <xdr:nvSpPr>
        <xdr:cNvPr id="12" name="Rectangle 13">
          <a:hlinkClick xmlns:r="http://schemas.openxmlformats.org/officeDocument/2006/relationships" r:id="rId4"/>
          <a:extLst>
            <a:ext uri="{FF2B5EF4-FFF2-40B4-BE49-F238E27FC236}">
              <a16:creationId xmlns:a16="http://schemas.microsoft.com/office/drawing/2014/main" id="{70A0CFE6-0EF4-4748-B364-02064239DA7B}"/>
            </a:ext>
            <a:ext uri="{147F2762-F138-4A5C-976F-8EAC2B608ADB}">
              <a16:predDERef xmlns:a16="http://schemas.microsoft.com/office/drawing/2014/main" pred="{36790861-EE2E-47B8-8ABE-DF17D8B12EAE}"/>
            </a:ext>
          </a:extLst>
        </xdr:cNvPr>
        <xdr:cNvSpPr/>
      </xdr:nvSpPr>
      <xdr:spPr>
        <a:xfrm>
          <a:off x="228600" y="2371725"/>
          <a:ext cx="1352550" cy="485775"/>
        </a:xfrm>
        <a:prstGeom prst="rect">
          <a:avLst/>
        </a:prstGeom>
        <a:solidFill>
          <a:srgbClr val="12296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bg1"/>
              </a:solidFill>
              <a:latin typeface="Calibri" panose="020F0502020204030204" pitchFamily="34" charset="0"/>
              <a:ea typeface="Calibri" panose="020F0502020204030204" pitchFamily="34" charset="0"/>
              <a:cs typeface="Calibri" panose="020F0502020204030204" pitchFamily="34" charset="0"/>
            </a:rPr>
            <a:t>STUDENTS</a:t>
          </a:r>
        </a:p>
      </xdr:txBody>
    </xdr:sp>
    <xdr:clientData/>
  </xdr:twoCellAnchor>
  <xdr:twoCellAnchor>
    <xdr:from>
      <xdr:col>7</xdr:col>
      <xdr:colOff>409575</xdr:colOff>
      <xdr:row>8</xdr:row>
      <xdr:rowOff>66675</xdr:rowOff>
    </xdr:from>
    <xdr:to>
      <xdr:col>13</xdr:col>
      <xdr:colOff>542925</xdr:colOff>
      <xdr:row>21</xdr:row>
      <xdr:rowOff>161925</xdr:rowOff>
    </xdr:to>
    <xdr:graphicFrame macro="">
      <xdr:nvGraphicFramePr>
        <xdr:cNvPr id="13" name="Chart 6">
          <a:extLst>
            <a:ext uri="{FF2B5EF4-FFF2-40B4-BE49-F238E27FC236}">
              <a16:creationId xmlns:a16="http://schemas.microsoft.com/office/drawing/2014/main" id="{D65E8EC3-EAF3-4E21-9750-B5FCC61F907C}"/>
            </a:ext>
            <a:ext uri="{147F2762-F138-4A5C-976F-8EAC2B608ADB}">
              <a16:predDERef xmlns:a16="http://schemas.microsoft.com/office/drawing/2014/main" pred="{70A0CFE6-0EF4-4748-B364-02064239D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28575</xdr:colOff>
      <xdr:row>8</xdr:row>
      <xdr:rowOff>57150</xdr:rowOff>
    </xdr:from>
    <xdr:to>
      <xdr:col>18</xdr:col>
      <xdr:colOff>466725</xdr:colOff>
      <xdr:row>21</xdr:row>
      <xdr:rowOff>161925</xdr:rowOff>
    </xdr:to>
    <xdr:graphicFrame macro="">
      <xdr:nvGraphicFramePr>
        <xdr:cNvPr id="17" name="Chart 16">
          <a:extLst>
            <a:ext uri="{FF2B5EF4-FFF2-40B4-BE49-F238E27FC236}">
              <a16:creationId xmlns:a16="http://schemas.microsoft.com/office/drawing/2014/main" id="{7EE15AD6-68D9-42BD-8859-FDB500CD18ED}"/>
            </a:ext>
            <a:ext uri="{147F2762-F138-4A5C-976F-8EAC2B608ADB}">
              <a16:predDERef xmlns:a16="http://schemas.microsoft.com/office/drawing/2014/main" pred="{95A00079-E809-448B-944B-11A68D1A5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xdr:colOff>
      <xdr:row>0</xdr:row>
      <xdr:rowOff>180975</xdr:rowOff>
    </xdr:from>
    <xdr:to>
      <xdr:col>6</xdr:col>
      <xdr:colOff>457200</xdr:colOff>
      <xdr:row>4</xdr:row>
      <xdr:rowOff>133350</xdr:rowOff>
    </xdr:to>
    <xdr:sp macro="" textlink="">
      <xdr:nvSpPr>
        <xdr:cNvPr id="14" name="Rectangle 13">
          <a:extLst>
            <a:ext uri="{FF2B5EF4-FFF2-40B4-BE49-F238E27FC236}">
              <a16:creationId xmlns:a16="http://schemas.microsoft.com/office/drawing/2014/main" id="{FDAC9D44-D13E-B78F-B1C7-15B391FF97C9}"/>
            </a:ext>
            <a:ext uri="{147F2762-F138-4A5C-976F-8EAC2B608ADB}">
              <a16:predDERef xmlns:a16="http://schemas.microsoft.com/office/drawing/2014/main" pred="{7EE15AD6-68D9-42BD-8859-FDB500CD18ED}"/>
            </a:ext>
          </a:extLst>
        </xdr:cNvPr>
        <xdr:cNvSpPr/>
      </xdr:nvSpPr>
      <xdr:spPr>
        <a:xfrm>
          <a:off x="1838325" y="180975"/>
          <a:ext cx="2276475" cy="7143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marR="0" indent="0" algn="ctr">
            <a:lnSpc>
              <a:spcPct val="100000"/>
            </a:lnSpc>
            <a:spcBef>
              <a:spcPts val="0"/>
            </a:spcBef>
            <a:spcAft>
              <a:spcPts val="0"/>
            </a:spcAft>
          </a:pPr>
          <a:r>
            <a:rPr lang="en-US" sz="16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Students going Tuitions</a:t>
          </a:r>
          <a:endPar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marR="0" indent="0" algn="ctr">
            <a:lnSpc>
              <a:spcPct val="100000"/>
            </a:lnSpc>
            <a:spcBef>
              <a:spcPts val="0"/>
            </a:spcBef>
            <a:spcAft>
              <a:spcPts val="0"/>
            </a:spcAft>
          </a:pPr>
          <a:r>
            <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44.81%</a:t>
          </a:r>
        </a:p>
      </xdr:txBody>
    </xdr:sp>
    <xdr:clientData/>
  </xdr:twoCellAnchor>
  <xdr:twoCellAnchor>
    <xdr:from>
      <xdr:col>7</xdr:col>
      <xdr:colOff>9525</xdr:colOff>
      <xdr:row>1</xdr:row>
      <xdr:rowOff>0</xdr:rowOff>
    </xdr:from>
    <xdr:to>
      <xdr:col>10</xdr:col>
      <xdr:colOff>514350</xdr:colOff>
      <xdr:row>4</xdr:row>
      <xdr:rowOff>123825</xdr:rowOff>
    </xdr:to>
    <xdr:sp macro="" textlink="">
      <xdr:nvSpPr>
        <xdr:cNvPr id="16" name="Rectangle 15">
          <a:extLst>
            <a:ext uri="{FF2B5EF4-FFF2-40B4-BE49-F238E27FC236}">
              <a16:creationId xmlns:a16="http://schemas.microsoft.com/office/drawing/2014/main" id="{CB2F3B9A-43BB-4146-9E00-19680A12FEE6}"/>
            </a:ext>
            <a:ext uri="{147F2762-F138-4A5C-976F-8EAC2B608ADB}">
              <a16:predDERef xmlns:a16="http://schemas.microsoft.com/office/drawing/2014/main" pred="{FDAC9D44-D13E-B78F-B1C7-15B391FF97C9}"/>
            </a:ext>
          </a:extLst>
        </xdr:cNvPr>
        <xdr:cNvSpPr/>
      </xdr:nvSpPr>
      <xdr:spPr>
        <a:xfrm>
          <a:off x="4276725" y="190500"/>
          <a:ext cx="2333625" cy="695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6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Avg. Hours given for Skills </a:t>
          </a:r>
          <a:r>
            <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2.185092127</a:t>
          </a:r>
        </a:p>
      </xdr:txBody>
    </xdr:sp>
    <xdr:clientData/>
  </xdr:twoCellAnchor>
  <xdr:twoCellAnchor>
    <xdr:from>
      <xdr:col>11</xdr:col>
      <xdr:colOff>19050</xdr:colOff>
      <xdr:row>1</xdr:row>
      <xdr:rowOff>0</xdr:rowOff>
    </xdr:from>
    <xdr:to>
      <xdr:col>14</xdr:col>
      <xdr:colOff>495300</xdr:colOff>
      <xdr:row>4</xdr:row>
      <xdr:rowOff>123825</xdr:rowOff>
    </xdr:to>
    <xdr:sp macro="" textlink="">
      <xdr:nvSpPr>
        <xdr:cNvPr id="18" name="Rectangle 17">
          <a:extLst>
            <a:ext uri="{FF2B5EF4-FFF2-40B4-BE49-F238E27FC236}">
              <a16:creationId xmlns:a16="http://schemas.microsoft.com/office/drawing/2014/main" id="{E76C5ADF-CC67-4AD6-B5AB-BCAC69C7F925}"/>
            </a:ext>
            <a:ext uri="{147F2762-F138-4A5C-976F-8EAC2B608ADB}">
              <a16:predDERef xmlns:a16="http://schemas.microsoft.com/office/drawing/2014/main" pred="{CB2F3B9A-43BB-4146-9E00-19680A12FEE6}"/>
            </a:ext>
          </a:extLst>
        </xdr:cNvPr>
        <xdr:cNvSpPr/>
      </xdr:nvSpPr>
      <xdr:spPr>
        <a:xfrm>
          <a:off x="6724650" y="190500"/>
          <a:ext cx="2305050" cy="695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6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Students learning Online </a:t>
          </a:r>
          <a:r>
            <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28.14%</a:t>
          </a:r>
        </a:p>
      </xdr:txBody>
    </xdr:sp>
    <xdr:clientData/>
  </xdr:twoCellAnchor>
  <xdr:twoCellAnchor>
    <xdr:from>
      <xdr:col>14</xdr:col>
      <xdr:colOff>600075</xdr:colOff>
      <xdr:row>0</xdr:row>
      <xdr:rowOff>180975</xdr:rowOff>
    </xdr:from>
    <xdr:to>
      <xdr:col>18</xdr:col>
      <xdr:colOff>466725</xdr:colOff>
      <xdr:row>4</xdr:row>
      <xdr:rowOff>133350</xdr:rowOff>
    </xdr:to>
    <xdr:sp macro="" textlink="">
      <xdr:nvSpPr>
        <xdr:cNvPr id="19" name="Rectangle 18">
          <a:extLst>
            <a:ext uri="{FF2B5EF4-FFF2-40B4-BE49-F238E27FC236}">
              <a16:creationId xmlns:a16="http://schemas.microsoft.com/office/drawing/2014/main" id="{9A8489D4-7327-48EA-A283-3AD0C8207B6D}"/>
            </a:ext>
            <a:ext uri="{147F2762-F138-4A5C-976F-8EAC2B608ADB}">
              <a16:predDERef xmlns:a16="http://schemas.microsoft.com/office/drawing/2014/main" pred="{E76C5ADF-CC67-4AD6-B5AB-BCAC69C7F925}"/>
            </a:ext>
          </a:extLst>
        </xdr:cNvPr>
        <xdr:cNvSpPr/>
      </xdr:nvSpPr>
      <xdr:spPr>
        <a:xfrm>
          <a:off x="9134475" y="180975"/>
          <a:ext cx="2305050" cy="7143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6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Students learning Offline </a:t>
          </a:r>
          <a:r>
            <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71.86%</a:t>
          </a:r>
        </a:p>
      </xdr:txBody>
    </xdr:sp>
    <xdr:clientData/>
  </xdr:twoCellAnchor>
  <xdr:twoCellAnchor>
    <xdr:from>
      <xdr:col>2</xdr:col>
      <xdr:colOff>600075</xdr:colOff>
      <xdr:row>8</xdr:row>
      <xdr:rowOff>66675</xdr:rowOff>
    </xdr:from>
    <xdr:to>
      <xdr:col>7</xdr:col>
      <xdr:colOff>333375</xdr:colOff>
      <xdr:row>21</xdr:row>
      <xdr:rowOff>171450</xdr:rowOff>
    </xdr:to>
    <xdr:graphicFrame macro="">
      <xdr:nvGraphicFramePr>
        <xdr:cNvPr id="20" name="Chart 19">
          <a:extLst>
            <a:ext uri="{FF2B5EF4-FFF2-40B4-BE49-F238E27FC236}">
              <a16:creationId xmlns:a16="http://schemas.microsoft.com/office/drawing/2014/main" id="{F5DC271F-C18F-47AB-9363-859D227DED7E}"/>
            </a:ext>
            <a:ext uri="{147F2762-F138-4A5C-976F-8EAC2B608ADB}">
              <a16:predDERef xmlns:a16="http://schemas.microsoft.com/office/drawing/2014/main" pred="{9A8489D4-7327-48EA-A283-3AD0C8207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0</xdr:row>
      <xdr:rowOff>66675</xdr:rowOff>
    </xdr:from>
    <xdr:to>
      <xdr:col>18</xdr:col>
      <xdr:colOff>600075</xdr:colOff>
      <xdr:row>22</xdr:row>
      <xdr:rowOff>47625</xdr:rowOff>
    </xdr:to>
    <xdr:sp macro="" textlink="">
      <xdr:nvSpPr>
        <xdr:cNvPr id="2" name="Round Single Corner Rectangle 1">
          <a:hlinkClick xmlns:r="http://schemas.openxmlformats.org/officeDocument/2006/relationships" r:id="rId1"/>
          <a:extLst>
            <a:ext uri="{FF2B5EF4-FFF2-40B4-BE49-F238E27FC236}">
              <a16:creationId xmlns:a16="http://schemas.microsoft.com/office/drawing/2014/main" id="{586C3A58-C14F-4E4F-9F28-FAA712A52AE2}"/>
            </a:ext>
          </a:extLst>
        </xdr:cNvPr>
        <xdr:cNvSpPr/>
      </xdr:nvSpPr>
      <xdr:spPr>
        <a:xfrm>
          <a:off x="66675" y="66675"/>
          <a:ext cx="11506200" cy="4171950"/>
        </a:xfrm>
        <a:prstGeom prst="round1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lt"/>
              <a:cs typeface="+mn-lt"/>
            </a:rPr>
            <a:t>ENECCCGBGBFLKCHETJIBIEBBUUNDJFBTTHKINTLTTJHL</a:t>
          </a:r>
        </a:p>
        <a:p>
          <a:pPr marL="0" indent="0" algn="l"/>
          <a:endParaRPr lang="en-US" sz="1100">
            <a:solidFill>
              <a:schemeClr val="lt1"/>
            </a:solidFill>
            <a:latin typeface="+mn-lt"/>
            <a:ea typeface="+mn-lt"/>
            <a:cs typeface="+mn-lt"/>
          </a:endParaRPr>
        </a:p>
      </xdr:txBody>
    </xdr:sp>
    <xdr:clientData/>
  </xdr:twoCellAnchor>
  <xdr:twoCellAnchor>
    <xdr:from>
      <xdr:col>2</xdr:col>
      <xdr:colOff>514350</xdr:colOff>
      <xdr:row>0</xdr:row>
      <xdr:rowOff>57150</xdr:rowOff>
    </xdr:from>
    <xdr:to>
      <xdr:col>19</xdr:col>
      <xdr:colOff>9525</xdr:colOff>
      <xdr:row>22</xdr:row>
      <xdr:rowOff>47625</xdr:rowOff>
    </xdr:to>
    <xdr:sp macro="" textlink="">
      <xdr:nvSpPr>
        <xdr:cNvPr id="3" name="Round Diagonal Corner Rectangle 3">
          <a:extLst>
            <a:ext uri="{FF2B5EF4-FFF2-40B4-BE49-F238E27FC236}">
              <a16:creationId xmlns:a16="http://schemas.microsoft.com/office/drawing/2014/main" id="{0A1F75EF-54E1-4676-9DDB-2531FF5620A5}"/>
            </a:ext>
            <a:ext uri="{147F2762-F138-4A5C-976F-8EAC2B608ADB}">
              <a16:predDERef xmlns:a16="http://schemas.microsoft.com/office/drawing/2014/main" pred="{586C3A58-C14F-4E4F-9F28-FAA712A52AE2}"/>
            </a:ext>
          </a:extLst>
        </xdr:cNvPr>
        <xdr:cNvSpPr/>
      </xdr:nvSpPr>
      <xdr:spPr>
        <a:xfrm>
          <a:off x="1733550" y="57150"/>
          <a:ext cx="9858375" cy="41814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lt"/>
              <a:cs typeface="+mn-lt"/>
            </a:rPr>
            <a:t>1194</a:t>
          </a:r>
        </a:p>
      </xdr:txBody>
    </xdr:sp>
    <xdr:clientData/>
  </xdr:twoCellAnchor>
  <xdr:twoCellAnchor>
    <xdr:from>
      <xdr:col>3</xdr:col>
      <xdr:colOff>19050</xdr:colOff>
      <xdr:row>5</xdr:row>
      <xdr:rowOff>66675</xdr:rowOff>
    </xdr:from>
    <xdr:to>
      <xdr:col>18</xdr:col>
      <xdr:colOff>533400</xdr:colOff>
      <xdr:row>7</xdr:row>
      <xdr:rowOff>171450</xdr:rowOff>
    </xdr:to>
    <xdr:sp macro="" textlink="">
      <xdr:nvSpPr>
        <xdr:cNvPr id="4" name="Rectangle 4">
          <a:extLst>
            <a:ext uri="{FF2B5EF4-FFF2-40B4-BE49-F238E27FC236}">
              <a16:creationId xmlns:a16="http://schemas.microsoft.com/office/drawing/2014/main" id="{6B92F1B1-B4CB-4310-8D04-049BD33AF2B4}"/>
            </a:ext>
            <a:ext uri="{147F2762-F138-4A5C-976F-8EAC2B608ADB}">
              <a16:predDERef xmlns:a16="http://schemas.microsoft.com/office/drawing/2014/main" pred="{0A1F75EF-54E1-4676-9DDB-2531FF5620A5}"/>
            </a:ext>
          </a:extLst>
        </xdr:cNvPr>
        <xdr:cNvSpPr/>
      </xdr:nvSpPr>
      <xdr:spPr>
        <a:xfrm>
          <a:off x="1847850" y="1019175"/>
          <a:ext cx="9658350" cy="485775"/>
        </a:xfrm>
        <a:prstGeom prst="rect">
          <a:avLst/>
        </a:prstGeom>
        <a:solidFill>
          <a:srgbClr val="182F69"/>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800" b="0" i="0">
              <a:solidFill>
                <a:schemeClr val="lt1"/>
              </a:solidFill>
              <a:latin typeface="Tw Cen MT" panose="020B0602020104020603" pitchFamily="34" charset="0"/>
            </a:rPr>
            <a:t>THE HYDERABAD PUBLIC SCHOOL</a:t>
          </a:r>
        </a:p>
      </xdr:txBody>
    </xdr:sp>
    <xdr:clientData/>
  </xdr:twoCellAnchor>
  <xdr:twoCellAnchor editAs="oneCell">
    <xdr:from>
      <xdr:col>0</xdr:col>
      <xdr:colOff>0</xdr:colOff>
      <xdr:row>1</xdr:row>
      <xdr:rowOff>0</xdr:rowOff>
    </xdr:from>
    <xdr:to>
      <xdr:col>2</xdr:col>
      <xdr:colOff>561975</xdr:colOff>
      <xdr:row>9</xdr:row>
      <xdr:rowOff>38100</xdr:rowOff>
    </xdr:to>
    <xdr:pic>
      <xdr:nvPicPr>
        <xdr:cNvPr id="8" name="Picture 2">
          <a:extLst>
            <a:ext uri="{FF2B5EF4-FFF2-40B4-BE49-F238E27FC236}">
              <a16:creationId xmlns:a16="http://schemas.microsoft.com/office/drawing/2014/main" id="{739B0B8F-3B4B-41A4-B71B-5CDF34235CFB}"/>
            </a:ext>
            <a:ext uri="{147F2762-F138-4A5C-976F-8EAC2B608ADB}">
              <a16:predDERef xmlns:a16="http://schemas.microsoft.com/office/drawing/2014/main" pred="{74A303A9-A520-49B4-8F5F-E87240FE53A5}"/>
            </a:ext>
          </a:extLst>
        </xdr:cNvPr>
        <xdr:cNvPicPr>
          <a:picLocks noChangeAspect="1"/>
        </xdr:cNvPicPr>
      </xdr:nvPicPr>
      <xdr:blipFill>
        <a:blip xmlns:r="http://schemas.openxmlformats.org/officeDocument/2006/relationships" r:embed="rId2"/>
        <a:stretch>
          <a:fillRect/>
        </a:stretch>
      </xdr:blipFill>
      <xdr:spPr>
        <a:xfrm>
          <a:off x="0" y="190500"/>
          <a:ext cx="1781175" cy="1562100"/>
        </a:xfrm>
        <a:prstGeom prst="rect">
          <a:avLst/>
        </a:prstGeom>
      </xdr:spPr>
    </xdr:pic>
    <xdr:clientData/>
  </xdr:twoCellAnchor>
  <xdr:twoCellAnchor>
    <xdr:from>
      <xdr:col>0</xdr:col>
      <xdr:colOff>238125</xdr:colOff>
      <xdr:row>9</xdr:row>
      <xdr:rowOff>38100</xdr:rowOff>
    </xdr:from>
    <xdr:to>
      <xdr:col>2</xdr:col>
      <xdr:colOff>371475</xdr:colOff>
      <xdr:row>11</xdr:row>
      <xdr:rowOff>142875</xdr:rowOff>
    </xdr:to>
    <xdr:sp macro="" textlink="">
      <xdr:nvSpPr>
        <xdr:cNvPr id="9" name="Rectangle 10">
          <a:hlinkClick xmlns:r="http://schemas.openxmlformats.org/officeDocument/2006/relationships" r:id="rId3"/>
          <a:extLst>
            <a:ext uri="{FF2B5EF4-FFF2-40B4-BE49-F238E27FC236}">
              <a16:creationId xmlns:a16="http://schemas.microsoft.com/office/drawing/2014/main" id="{BC48A281-0A75-4F59-8D65-3F31657D130F}"/>
            </a:ext>
            <a:ext uri="{147F2762-F138-4A5C-976F-8EAC2B608ADB}">
              <a16:predDERef xmlns:a16="http://schemas.microsoft.com/office/drawing/2014/main" pred="{739B0B8F-3B4B-41A4-B71B-5CDF34235CFB}"/>
            </a:ext>
          </a:extLst>
        </xdr:cNvPr>
        <xdr:cNvSpPr/>
      </xdr:nvSpPr>
      <xdr:spPr>
        <a:xfrm>
          <a:off x="238125" y="1752600"/>
          <a:ext cx="1352550" cy="4857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tx1"/>
              </a:solidFill>
              <a:latin typeface="Calibri" panose="020F0502020204030204" pitchFamily="34" charset="0"/>
              <a:ea typeface="Calibri" panose="020F0502020204030204" pitchFamily="34" charset="0"/>
              <a:cs typeface="Calibri" panose="020F0502020204030204" pitchFamily="34" charset="0"/>
            </a:rPr>
            <a:t>HOME</a:t>
          </a:r>
        </a:p>
      </xdr:txBody>
    </xdr:sp>
    <xdr:clientData/>
  </xdr:twoCellAnchor>
  <xdr:twoCellAnchor>
    <xdr:from>
      <xdr:col>0</xdr:col>
      <xdr:colOff>228600</xdr:colOff>
      <xdr:row>19</xdr:row>
      <xdr:rowOff>0</xdr:rowOff>
    </xdr:from>
    <xdr:to>
      <xdr:col>2</xdr:col>
      <xdr:colOff>361950</xdr:colOff>
      <xdr:row>21</xdr:row>
      <xdr:rowOff>104775</xdr:rowOff>
    </xdr:to>
    <xdr:sp macro="" textlink="">
      <xdr:nvSpPr>
        <xdr:cNvPr id="10" name="Rectangle 11">
          <a:extLst>
            <a:ext uri="{FF2B5EF4-FFF2-40B4-BE49-F238E27FC236}">
              <a16:creationId xmlns:a16="http://schemas.microsoft.com/office/drawing/2014/main" id="{0303FDBB-145B-4782-A451-791CC41ADBE8}"/>
            </a:ext>
            <a:ext uri="{147F2762-F138-4A5C-976F-8EAC2B608ADB}">
              <a16:predDERef xmlns:a16="http://schemas.microsoft.com/office/drawing/2014/main" pred="{BC48A281-0A75-4F59-8D65-3F31657D130F}"/>
            </a:ext>
          </a:extLst>
        </xdr:cNvPr>
        <xdr:cNvSpPr/>
      </xdr:nvSpPr>
      <xdr:spPr>
        <a:xfrm>
          <a:off x="228600" y="3619500"/>
          <a:ext cx="1352550" cy="4857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tx1"/>
              </a:solidFill>
              <a:latin typeface="Calibri" panose="020F0502020204030204" pitchFamily="34" charset="0"/>
              <a:ea typeface="Calibri" panose="020F0502020204030204" pitchFamily="34" charset="0"/>
              <a:cs typeface="Calibri" panose="020F0502020204030204" pitchFamily="34" charset="0"/>
            </a:rPr>
            <a:t>ABOUT US</a:t>
          </a:r>
        </a:p>
      </xdr:txBody>
    </xdr:sp>
    <xdr:clientData/>
  </xdr:twoCellAnchor>
  <xdr:twoCellAnchor>
    <xdr:from>
      <xdr:col>0</xdr:col>
      <xdr:colOff>228600</xdr:colOff>
      <xdr:row>15</xdr:row>
      <xdr:rowOff>133350</xdr:rowOff>
    </xdr:from>
    <xdr:to>
      <xdr:col>2</xdr:col>
      <xdr:colOff>361950</xdr:colOff>
      <xdr:row>18</xdr:row>
      <xdr:rowOff>47625</xdr:rowOff>
    </xdr:to>
    <xdr:sp macro="" textlink="">
      <xdr:nvSpPr>
        <xdr:cNvPr id="11" name="Rectangle 12">
          <a:hlinkClick xmlns:r="http://schemas.openxmlformats.org/officeDocument/2006/relationships" r:id="rId4"/>
          <a:extLst>
            <a:ext uri="{FF2B5EF4-FFF2-40B4-BE49-F238E27FC236}">
              <a16:creationId xmlns:a16="http://schemas.microsoft.com/office/drawing/2014/main" id="{8A0476AF-74C7-4F72-8B6A-9CD9F60F0FCC}"/>
            </a:ext>
            <a:ext uri="{147F2762-F138-4A5C-976F-8EAC2B608ADB}">
              <a16:predDERef xmlns:a16="http://schemas.microsoft.com/office/drawing/2014/main" pred="{0303FDBB-145B-4782-A451-791CC41ADBE8}"/>
            </a:ext>
          </a:extLst>
        </xdr:cNvPr>
        <xdr:cNvSpPr/>
      </xdr:nvSpPr>
      <xdr:spPr>
        <a:xfrm>
          <a:off x="228600" y="2990850"/>
          <a:ext cx="1352550" cy="485775"/>
        </a:xfrm>
        <a:prstGeom prst="rect">
          <a:avLst/>
        </a:prstGeom>
        <a:solidFill>
          <a:srgbClr val="12296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bg1"/>
              </a:solidFill>
              <a:latin typeface="Calibri" panose="020F0502020204030204" pitchFamily="34" charset="0"/>
              <a:ea typeface="Calibri" panose="020F0502020204030204" pitchFamily="34" charset="0"/>
              <a:cs typeface="Calibri" panose="020F0502020204030204" pitchFamily="34" charset="0"/>
            </a:rPr>
            <a:t>EXTRA SKILLS</a:t>
          </a:r>
        </a:p>
      </xdr:txBody>
    </xdr:sp>
    <xdr:clientData/>
  </xdr:twoCellAnchor>
  <xdr:twoCellAnchor>
    <xdr:from>
      <xdr:col>0</xdr:col>
      <xdr:colOff>238125</xdr:colOff>
      <xdr:row>12</xdr:row>
      <xdr:rowOff>85725</xdr:rowOff>
    </xdr:from>
    <xdr:to>
      <xdr:col>2</xdr:col>
      <xdr:colOff>371475</xdr:colOff>
      <xdr:row>15</xdr:row>
      <xdr:rowOff>0</xdr:rowOff>
    </xdr:to>
    <xdr:sp macro="" textlink="">
      <xdr:nvSpPr>
        <xdr:cNvPr id="12" name="Rectangle 13">
          <a:hlinkClick xmlns:r="http://schemas.openxmlformats.org/officeDocument/2006/relationships" r:id="rId1"/>
          <a:extLst>
            <a:ext uri="{FF2B5EF4-FFF2-40B4-BE49-F238E27FC236}">
              <a16:creationId xmlns:a16="http://schemas.microsoft.com/office/drawing/2014/main" id="{4FD70CA8-69FE-4C41-B375-42399D2ECCB9}"/>
            </a:ext>
            <a:ext uri="{147F2762-F138-4A5C-976F-8EAC2B608ADB}">
              <a16:predDERef xmlns:a16="http://schemas.microsoft.com/office/drawing/2014/main" pred="{8A0476AF-74C7-4F72-8B6A-9CD9F60F0FCC}"/>
            </a:ext>
          </a:extLst>
        </xdr:cNvPr>
        <xdr:cNvSpPr/>
      </xdr:nvSpPr>
      <xdr:spPr>
        <a:xfrm>
          <a:off x="238125" y="2371725"/>
          <a:ext cx="1352550" cy="485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tx1"/>
              </a:solidFill>
              <a:latin typeface="Calibri" panose="020F0502020204030204" pitchFamily="34" charset="0"/>
              <a:ea typeface="Calibri" panose="020F0502020204030204" pitchFamily="34" charset="0"/>
              <a:cs typeface="Calibri" panose="020F0502020204030204" pitchFamily="34" charset="0"/>
            </a:rPr>
            <a:t>STUDENTS</a:t>
          </a:r>
        </a:p>
      </xdr:txBody>
    </xdr:sp>
    <xdr:clientData/>
  </xdr:twoCellAnchor>
  <xdr:twoCellAnchor>
    <xdr:from>
      <xdr:col>3</xdr:col>
      <xdr:colOff>9525</xdr:colOff>
      <xdr:row>8</xdr:row>
      <xdr:rowOff>66675</xdr:rowOff>
    </xdr:from>
    <xdr:to>
      <xdr:col>7</xdr:col>
      <xdr:colOff>409575</xdr:colOff>
      <xdr:row>21</xdr:row>
      <xdr:rowOff>152400</xdr:rowOff>
    </xdr:to>
    <xdr:graphicFrame macro="">
      <xdr:nvGraphicFramePr>
        <xdr:cNvPr id="6" name="Chart 5">
          <a:extLst>
            <a:ext uri="{FF2B5EF4-FFF2-40B4-BE49-F238E27FC236}">
              <a16:creationId xmlns:a16="http://schemas.microsoft.com/office/drawing/2014/main" id="{6F36E940-8F89-414D-B110-1AF7CF9892B8}"/>
            </a:ext>
            <a:ext uri="{147F2762-F138-4A5C-976F-8EAC2B608ADB}">
              <a16:predDERef xmlns:a16="http://schemas.microsoft.com/office/drawing/2014/main" pred="{4FD70CA8-69FE-4C41-B375-42399D2EC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428625</xdr:colOff>
      <xdr:row>8</xdr:row>
      <xdr:rowOff>123825</xdr:rowOff>
    </xdr:from>
    <xdr:to>
      <xdr:col>18</xdr:col>
      <xdr:colOff>533400</xdr:colOff>
      <xdr:row>21</xdr:row>
      <xdr:rowOff>142875</xdr:rowOff>
    </xdr:to>
    <xdr:graphicFrame macro="">
      <xdr:nvGraphicFramePr>
        <xdr:cNvPr id="7" name="Chart 8">
          <a:extLst>
            <a:ext uri="{FF2B5EF4-FFF2-40B4-BE49-F238E27FC236}">
              <a16:creationId xmlns:a16="http://schemas.microsoft.com/office/drawing/2014/main" id="{382A54FD-BDC4-439E-A1E7-B7068FFD4F37}"/>
            </a:ext>
            <a:ext uri="{147F2762-F138-4A5C-976F-8EAC2B608ADB}">
              <a16:predDERef xmlns:a16="http://schemas.microsoft.com/office/drawing/2014/main" pred="{6F36E940-8F89-414D-B110-1AF7CF989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19050</xdr:colOff>
      <xdr:row>1</xdr:row>
      <xdr:rowOff>0</xdr:rowOff>
    </xdr:from>
    <xdr:to>
      <xdr:col>10</xdr:col>
      <xdr:colOff>457200</xdr:colOff>
      <xdr:row>4</xdr:row>
      <xdr:rowOff>123825</xdr:rowOff>
    </xdr:to>
    <xdr:sp macro="" textlink="">
      <xdr:nvSpPr>
        <xdr:cNvPr id="13" name="Rectangle 12">
          <a:extLst>
            <a:ext uri="{FF2B5EF4-FFF2-40B4-BE49-F238E27FC236}">
              <a16:creationId xmlns:a16="http://schemas.microsoft.com/office/drawing/2014/main" id="{895EF4C9-3261-4178-B1A3-FBC175763F21}"/>
            </a:ext>
            <a:ext uri="{147F2762-F138-4A5C-976F-8EAC2B608ADB}">
              <a16:predDERef xmlns:a16="http://schemas.microsoft.com/office/drawing/2014/main" pred="{382A54FD-BDC4-439E-A1E7-B7068FFD4F37}"/>
            </a:ext>
          </a:extLst>
        </xdr:cNvPr>
        <xdr:cNvSpPr/>
      </xdr:nvSpPr>
      <xdr:spPr>
        <a:xfrm>
          <a:off x="1847850" y="190500"/>
          <a:ext cx="4705350" cy="695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6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Healthy Students Percentage   :  </a:t>
          </a:r>
          <a:r>
            <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82.66%</a:t>
          </a:r>
        </a:p>
      </xdr:txBody>
    </xdr:sp>
    <xdr:clientData/>
  </xdr:twoCellAnchor>
  <xdr:twoCellAnchor>
    <xdr:from>
      <xdr:col>10</xdr:col>
      <xdr:colOff>600075</xdr:colOff>
      <xdr:row>1</xdr:row>
      <xdr:rowOff>9525</xdr:rowOff>
    </xdr:from>
    <xdr:to>
      <xdr:col>18</xdr:col>
      <xdr:colOff>542925</xdr:colOff>
      <xdr:row>4</xdr:row>
      <xdr:rowOff>133350</xdr:rowOff>
    </xdr:to>
    <xdr:sp macro="" textlink="">
      <xdr:nvSpPr>
        <xdr:cNvPr id="14" name="Rectangle 13">
          <a:extLst>
            <a:ext uri="{FF2B5EF4-FFF2-40B4-BE49-F238E27FC236}">
              <a16:creationId xmlns:a16="http://schemas.microsoft.com/office/drawing/2014/main" id="{0184ECC5-E629-4983-A13D-00E12D302D2E}"/>
            </a:ext>
            <a:ext uri="{147F2762-F138-4A5C-976F-8EAC2B608ADB}">
              <a16:predDERef xmlns:a16="http://schemas.microsoft.com/office/drawing/2014/main" pred="{895EF4C9-3261-4178-B1A3-FBC175763F21}"/>
            </a:ext>
          </a:extLst>
        </xdr:cNvPr>
        <xdr:cNvSpPr/>
      </xdr:nvSpPr>
      <xdr:spPr>
        <a:xfrm>
          <a:off x="6696075" y="200025"/>
          <a:ext cx="4819650" cy="695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6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Unhealthy Students Percentage  :  </a:t>
          </a:r>
          <a:r>
            <a:rPr lang="en-US" sz="16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17.34%</a:t>
          </a:r>
        </a:p>
      </xdr:txBody>
    </xdr:sp>
    <xdr:clientData/>
  </xdr:twoCellAnchor>
  <xdr:twoCellAnchor>
    <xdr:from>
      <xdr:col>7</xdr:col>
      <xdr:colOff>571500</xdr:colOff>
      <xdr:row>8</xdr:row>
      <xdr:rowOff>114300</xdr:rowOff>
    </xdr:from>
    <xdr:to>
      <xdr:col>13</xdr:col>
      <xdr:colOff>314325</xdr:colOff>
      <xdr:row>21</xdr:row>
      <xdr:rowOff>142875</xdr:rowOff>
    </xdr:to>
    <xdr:graphicFrame macro="">
      <xdr:nvGraphicFramePr>
        <xdr:cNvPr id="15" name="Chart 11">
          <a:extLst>
            <a:ext uri="{FF2B5EF4-FFF2-40B4-BE49-F238E27FC236}">
              <a16:creationId xmlns:a16="http://schemas.microsoft.com/office/drawing/2014/main" id="{623541EB-A9FE-48B9-8261-169CE341265E}"/>
            </a:ext>
            <a:ext uri="{147F2762-F138-4A5C-976F-8EAC2B608ADB}">
              <a16:predDERef xmlns:a16="http://schemas.microsoft.com/office/drawing/2014/main" pred="{0184ECC5-E629-4983-A13D-00E12D302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xdr:colOff>
      <xdr:row>0</xdr:row>
      <xdr:rowOff>66675</xdr:rowOff>
    </xdr:from>
    <xdr:to>
      <xdr:col>18</xdr:col>
      <xdr:colOff>600075</xdr:colOff>
      <xdr:row>22</xdr:row>
      <xdr:rowOff>47625</xdr:rowOff>
    </xdr:to>
    <xdr:sp macro="" textlink="">
      <xdr:nvSpPr>
        <xdr:cNvPr id="2" name="Round Single Corner Rectangle 1">
          <a:hlinkClick xmlns:r="http://schemas.openxmlformats.org/officeDocument/2006/relationships" r:id="rId1"/>
          <a:extLst>
            <a:ext uri="{FF2B5EF4-FFF2-40B4-BE49-F238E27FC236}">
              <a16:creationId xmlns:a16="http://schemas.microsoft.com/office/drawing/2014/main" id="{89971C41-B880-8F36-2D98-59CFDF4C3353}"/>
            </a:ext>
          </a:extLst>
        </xdr:cNvPr>
        <xdr:cNvSpPr/>
      </xdr:nvSpPr>
      <xdr:spPr>
        <a:xfrm>
          <a:off x="66675" y="66675"/>
          <a:ext cx="11506200" cy="4171950"/>
        </a:xfrm>
        <a:prstGeom prst="round1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lt"/>
              <a:cs typeface="+mn-lt"/>
            </a:rPr>
            <a:t>ENECCCGBGBFLKCHETJIBIEBBUUNDJFBTTHKINTLTTJHL</a:t>
          </a:r>
        </a:p>
        <a:p>
          <a:pPr marL="0" indent="0" algn="l"/>
          <a:endParaRPr lang="en-US" sz="1100">
            <a:solidFill>
              <a:schemeClr val="lt1"/>
            </a:solidFill>
            <a:latin typeface="+mn-lt"/>
            <a:ea typeface="+mn-lt"/>
            <a:cs typeface="+mn-lt"/>
          </a:endParaRPr>
        </a:p>
      </xdr:txBody>
    </xdr:sp>
    <xdr:clientData/>
  </xdr:twoCellAnchor>
  <xdr:twoCellAnchor>
    <xdr:from>
      <xdr:col>2</xdr:col>
      <xdr:colOff>485775</xdr:colOff>
      <xdr:row>0</xdr:row>
      <xdr:rowOff>57150</xdr:rowOff>
    </xdr:from>
    <xdr:to>
      <xdr:col>18</xdr:col>
      <xdr:colOff>590550</xdr:colOff>
      <xdr:row>22</xdr:row>
      <xdr:rowOff>47625</xdr:rowOff>
    </xdr:to>
    <xdr:sp macro="" textlink="">
      <xdr:nvSpPr>
        <xdr:cNvPr id="4" name="Rectangle 3">
          <a:extLst>
            <a:ext uri="{FF2B5EF4-FFF2-40B4-BE49-F238E27FC236}">
              <a16:creationId xmlns:a16="http://schemas.microsoft.com/office/drawing/2014/main" id="{C5D11A3F-4661-4754-BDDC-26B4827F4EBC}"/>
            </a:ext>
            <a:ext uri="{147F2762-F138-4A5C-976F-8EAC2B608ADB}">
              <a16:predDERef xmlns:a16="http://schemas.microsoft.com/office/drawing/2014/main" pred="{89971C41-B880-8F36-2D98-59CFDF4C3353}"/>
            </a:ext>
          </a:extLst>
        </xdr:cNvPr>
        <xdr:cNvSpPr/>
      </xdr:nvSpPr>
      <xdr:spPr>
        <a:xfrm>
          <a:off x="1704975" y="57150"/>
          <a:ext cx="9858375" cy="418147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lt"/>
              <a:cs typeface="+mn-lt"/>
            </a:rPr>
            <a:t>1194</a:t>
          </a:r>
        </a:p>
      </xdr:txBody>
    </xdr:sp>
    <xdr:clientData/>
  </xdr:twoCellAnchor>
  <xdr:twoCellAnchor>
    <xdr:from>
      <xdr:col>3</xdr:col>
      <xdr:colOff>19050</xdr:colOff>
      <xdr:row>5</xdr:row>
      <xdr:rowOff>66675</xdr:rowOff>
    </xdr:from>
    <xdr:to>
      <xdr:col>18</xdr:col>
      <xdr:colOff>533400</xdr:colOff>
      <xdr:row>7</xdr:row>
      <xdr:rowOff>171450</xdr:rowOff>
    </xdr:to>
    <xdr:sp macro="" textlink="">
      <xdr:nvSpPr>
        <xdr:cNvPr id="5" name="Rectangle 4">
          <a:extLst>
            <a:ext uri="{FF2B5EF4-FFF2-40B4-BE49-F238E27FC236}">
              <a16:creationId xmlns:a16="http://schemas.microsoft.com/office/drawing/2014/main" id="{FCEBEA28-342E-BA1C-F5F2-8CB7C225CE8D}"/>
            </a:ext>
            <a:ext uri="{147F2762-F138-4A5C-976F-8EAC2B608ADB}">
              <a16:predDERef xmlns:a16="http://schemas.microsoft.com/office/drawing/2014/main" pred="{C5D11A3F-4661-4754-BDDC-26B4827F4EBC}"/>
            </a:ext>
          </a:extLst>
        </xdr:cNvPr>
        <xdr:cNvSpPr/>
      </xdr:nvSpPr>
      <xdr:spPr>
        <a:xfrm>
          <a:off x="1847850" y="1019175"/>
          <a:ext cx="9658350" cy="485775"/>
        </a:xfrm>
        <a:prstGeom prst="rect">
          <a:avLst/>
        </a:prstGeom>
        <a:solidFill>
          <a:srgbClr val="182F69"/>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800" b="0" i="0">
              <a:solidFill>
                <a:schemeClr val="lt1"/>
              </a:solidFill>
              <a:latin typeface="Tw Cen MT" panose="020B0602020104020603" pitchFamily="34" charset="0"/>
            </a:rPr>
            <a:t>THE HYDERABAD PUBLIC SCHOOL</a:t>
          </a:r>
        </a:p>
      </xdr:txBody>
    </xdr:sp>
    <xdr:clientData/>
  </xdr:twoCellAnchor>
  <xdr:twoCellAnchor>
    <xdr:from>
      <xdr:col>14</xdr:col>
      <xdr:colOff>180975</xdr:colOff>
      <xdr:row>8</xdr:row>
      <xdr:rowOff>142875</xdr:rowOff>
    </xdr:from>
    <xdr:to>
      <xdr:col>18</xdr:col>
      <xdr:colOff>457200</xdr:colOff>
      <xdr:row>20</xdr:row>
      <xdr:rowOff>161925</xdr:rowOff>
    </xdr:to>
    <xdr:graphicFrame macro="">
      <xdr:nvGraphicFramePr>
        <xdr:cNvPr id="6" name="Chart 2">
          <a:extLst>
            <a:ext uri="{FF2B5EF4-FFF2-40B4-BE49-F238E27FC236}">
              <a16:creationId xmlns:a16="http://schemas.microsoft.com/office/drawing/2014/main" id="{B009AA65-FC1F-4D72-8353-73465C5FA4C5}"/>
            </a:ext>
            <a:ext uri="{147F2762-F138-4A5C-976F-8EAC2B608ADB}">
              <a16:predDERef xmlns:a16="http://schemas.microsoft.com/office/drawing/2014/main" pred="{FCEBEA28-342E-BA1C-F5F2-8CB7C225C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228600</xdr:colOff>
      <xdr:row>8</xdr:row>
      <xdr:rowOff>142875</xdr:rowOff>
    </xdr:from>
    <xdr:to>
      <xdr:col>14</xdr:col>
      <xdr:colOff>28575</xdr:colOff>
      <xdr:row>21</xdr:row>
      <xdr:rowOff>85725</xdr:rowOff>
    </xdr:to>
    <xdr:graphicFrame macro="">
      <xdr:nvGraphicFramePr>
        <xdr:cNvPr id="7" name="Chart 1">
          <a:extLst>
            <a:ext uri="{FF2B5EF4-FFF2-40B4-BE49-F238E27FC236}">
              <a16:creationId xmlns:a16="http://schemas.microsoft.com/office/drawing/2014/main" id="{296863A1-0B16-4901-AE67-9465E096FD58}"/>
            </a:ext>
            <a:ext uri="{147F2762-F138-4A5C-976F-8EAC2B608ADB}">
              <a16:predDERef xmlns:a16="http://schemas.microsoft.com/office/drawing/2014/main" pred="{B009AA65-FC1F-4D72-8353-73465C5FA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8</xdr:row>
      <xdr:rowOff>142875</xdr:rowOff>
    </xdr:from>
    <xdr:to>
      <xdr:col>7</xdr:col>
      <xdr:colOff>104775</xdr:colOff>
      <xdr:row>21</xdr:row>
      <xdr:rowOff>76200</xdr:rowOff>
    </xdr:to>
    <xdr:graphicFrame macro="">
      <xdr:nvGraphicFramePr>
        <xdr:cNvPr id="8" name="Chart 4">
          <a:extLst>
            <a:ext uri="{FF2B5EF4-FFF2-40B4-BE49-F238E27FC236}">
              <a16:creationId xmlns:a16="http://schemas.microsoft.com/office/drawing/2014/main" id="{3E1A5337-6EA8-44A7-863F-5858847F59E3}"/>
            </a:ext>
            <a:ext uri="{147F2762-F138-4A5C-976F-8EAC2B608ADB}">
              <a16:predDERef xmlns:a16="http://schemas.microsoft.com/office/drawing/2014/main" pred="{296863A1-0B16-4901-AE67-9465E096F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0</xdr:rowOff>
    </xdr:from>
    <xdr:to>
      <xdr:col>2</xdr:col>
      <xdr:colOff>561975</xdr:colOff>
      <xdr:row>9</xdr:row>
      <xdr:rowOff>38100</xdr:rowOff>
    </xdr:to>
    <xdr:pic>
      <xdr:nvPicPr>
        <xdr:cNvPr id="3" name="Picture 2">
          <a:extLst>
            <a:ext uri="{FF2B5EF4-FFF2-40B4-BE49-F238E27FC236}">
              <a16:creationId xmlns:a16="http://schemas.microsoft.com/office/drawing/2014/main" id="{03C1E866-E33D-D269-7FAA-A08BB28299E4}"/>
            </a:ext>
            <a:ext uri="{147F2762-F138-4A5C-976F-8EAC2B608ADB}">
              <a16:predDERef xmlns:a16="http://schemas.microsoft.com/office/drawing/2014/main" pred="{3E1A5337-6EA8-44A7-863F-5858847F59E3}"/>
            </a:ext>
          </a:extLst>
        </xdr:cNvPr>
        <xdr:cNvPicPr>
          <a:picLocks noChangeAspect="1"/>
        </xdr:cNvPicPr>
      </xdr:nvPicPr>
      <xdr:blipFill>
        <a:blip xmlns:r="http://schemas.openxmlformats.org/officeDocument/2006/relationships" r:embed="rId5"/>
        <a:stretch>
          <a:fillRect/>
        </a:stretch>
      </xdr:blipFill>
      <xdr:spPr>
        <a:xfrm>
          <a:off x="0" y="190500"/>
          <a:ext cx="1781175" cy="1562100"/>
        </a:xfrm>
        <a:prstGeom prst="rect">
          <a:avLst/>
        </a:prstGeom>
      </xdr:spPr>
    </xdr:pic>
    <xdr:clientData/>
  </xdr:twoCellAnchor>
  <xdr:twoCellAnchor>
    <xdr:from>
      <xdr:col>0</xdr:col>
      <xdr:colOff>238125</xdr:colOff>
      <xdr:row>9</xdr:row>
      <xdr:rowOff>38100</xdr:rowOff>
    </xdr:from>
    <xdr:to>
      <xdr:col>2</xdr:col>
      <xdr:colOff>371475</xdr:colOff>
      <xdr:row>11</xdr:row>
      <xdr:rowOff>142875</xdr:rowOff>
    </xdr:to>
    <xdr:sp macro="" textlink="">
      <xdr:nvSpPr>
        <xdr:cNvPr id="11" name="Rectangle 10">
          <a:hlinkClick xmlns:r="http://schemas.openxmlformats.org/officeDocument/2006/relationships" r:id="rId6"/>
          <a:extLst>
            <a:ext uri="{FF2B5EF4-FFF2-40B4-BE49-F238E27FC236}">
              <a16:creationId xmlns:a16="http://schemas.microsoft.com/office/drawing/2014/main" id="{AAE7AB42-A3A5-4651-8A88-037C5163B9DB}"/>
            </a:ext>
            <a:ext uri="{147F2762-F138-4A5C-976F-8EAC2B608ADB}">
              <a16:predDERef xmlns:a16="http://schemas.microsoft.com/office/drawing/2014/main" pred="{03C1E866-E33D-D269-7FAA-A08BB28299E4}"/>
            </a:ext>
          </a:extLst>
        </xdr:cNvPr>
        <xdr:cNvSpPr/>
      </xdr:nvSpPr>
      <xdr:spPr>
        <a:xfrm>
          <a:off x="238125" y="1752600"/>
          <a:ext cx="1352550" cy="485775"/>
        </a:xfrm>
        <a:prstGeom prst="rect">
          <a:avLst/>
        </a:prstGeom>
        <a:solidFill>
          <a:srgbClr val="182F69"/>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lt1"/>
              </a:solidFill>
              <a:latin typeface="Calibri" panose="020F0502020204030204" pitchFamily="34" charset="0"/>
              <a:ea typeface="Calibri" panose="020F0502020204030204" pitchFamily="34" charset="0"/>
              <a:cs typeface="Calibri" panose="020F0502020204030204" pitchFamily="34" charset="0"/>
            </a:rPr>
            <a:t>HOME</a:t>
          </a:r>
        </a:p>
      </xdr:txBody>
    </xdr:sp>
    <xdr:clientData/>
  </xdr:twoCellAnchor>
  <xdr:twoCellAnchor>
    <xdr:from>
      <xdr:col>0</xdr:col>
      <xdr:colOff>228600</xdr:colOff>
      <xdr:row>19</xdr:row>
      <xdr:rowOff>0</xdr:rowOff>
    </xdr:from>
    <xdr:to>
      <xdr:col>2</xdr:col>
      <xdr:colOff>361950</xdr:colOff>
      <xdr:row>21</xdr:row>
      <xdr:rowOff>104775</xdr:rowOff>
    </xdr:to>
    <xdr:sp macro="" textlink="">
      <xdr:nvSpPr>
        <xdr:cNvPr id="12" name="Rectangle 11">
          <a:extLst>
            <a:ext uri="{FF2B5EF4-FFF2-40B4-BE49-F238E27FC236}">
              <a16:creationId xmlns:a16="http://schemas.microsoft.com/office/drawing/2014/main" id="{B9E212CB-9E02-4A21-A348-900E2F8A21C4}"/>
            </a:ext>
            <a:ext uri="{147F2762-F138-4A5C-976F-8EAC2B608ADB}">
              <a16:predDERef xmlns:a16="http://schemas.microsoft.com/office/drawing/2014/main" pred="{AAE7AB42-A3A5-4651-8A88-037C5163B9DB}"/>
            </a:ext>
          </a:extLst>
        </xdr:cNvPr>
        <xdr:cNvSpPr/>
      </xdr:nvSpPr>
      <xdr:spPr>
        <a:xfrm>
          <a:off x="228600" y="3619500"/>
          <a:ext cx="1352550" cy="4857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tx1"/>
              </a:solidFill>
              <a:latin typeface="Calibri" panose="020F0502020204030204" pitchFamily="34" charset="0"/>
              <a:ea typeface="Calibri" panose="020F0502020204030204" pitchFamily="34" charset="0"/>
              <a:cs typeface="Calibri" panose="020F0502020204030204" pitchFamily="34" charset="0"/>
            </a:rPr>
            <a:t>ABOUT US</a:t>
          </a:r>
        </a:p>
      </xdr:txBody>
    </xdr:sp>
    <xdr:clientData/>
  </xdr:twoCellAnchor>
  <xdr:twoCellAnchor>
    <xdr:from>
      <xdr:col>0</xdr:col>
      <xdr:colOff>228600</xdr:colOff>
      <xdr:row>15</xdr:row>
      <xdr:rowOff>133350</xdr:rowOff>
    </xdr:from>
    <xdr:to>
      <xdr:col>2</xdr:col>
      <xdr:colOff>361950</xdr:colOff>
      <xdr:row>18</xdr:row>
      <xdr:rowOff>47625</xdr:rowOff>
    </xdr:to>
    <xdr:sp macro="" textlink="">
      <xdr:nvSpPr>
        <xdr:cNvPr id="13" name="Rectangle 12">
          <a:hlinkClick xmlns:r="http://schemas.openxmlformats.org/officeDocument/2006/relationships" r:id="rId7"/>
          <a:extLst>
            <a:ext uri="{FF2B5EF4-FFF2-40B4-BE49-F238E27FC236}">
              <a16:creationId xmlns:a16="http://schemas.microsoft.com/office/drawing/2014/main" id="{32199F08-1ECF-4655-9CB0-64DA48395130}"/>
            </a:ext>
            <a:ext uri="{147F2762-F138-4A5C-976F-8EAC2B608ADB}">
              <a16:predDERef xmlns:a16="http://schemas.microsoft.com/office/drawing/2014/main" pred="{B9E212CB-9E02-4A21-A348-900E2F8A21C4}"/>
            </a:ext>
          </a:extLst>
        </xdr:cNvPr>
        <xdr:cNvSpPr/>
      </xdr:nvSpPr>
      <xdr:spPr>
        <a:xfrm>
          <a:off x="228600" y="2990850"/>
          <a:ext cx="1352550" cy="485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tx1"/>
              </a:solidFill>
              <a:latin typeface="Calibri" panose="020F0502020204030204" pitchFamily="34" charset="0"/>
              <a:ea typeface="Calibri" panose="020F0502020204030204" pitchFamily="34" charset="0"/>
              <a:cs typeface="Calibri" panose="020F0502020204030204" pitchFamily="34" charset="0"/>
            </a:rPr>
            <a:t>EXTRA SKILLS</a:t>
          </a:r>
        </a:p>
      </xdr:txBody>
    </xdr:sp>
    <xdr:clientData/>
  </xdr:twoCellAnchor>
  <xdr:twoCellAnchor>
    <xdr:from>
      <xdr:col>0</xdr:col>
      <xdr:colOff>238125</xdr:colOff>
      <xdr:row>12</xdr:row>
      <xdr:rowOff>95250</xdr:rowOff>
    </xdr:from>
    <xdr:to>
      <xdr:col>2</xdr:col>
      <xdr:colOff>371475</xdr:colOff>
      <xdr:row>15</xdr:row>
      <xdr:rowOff>9525</xdr:rowOff>
    </xdr:to>
    <xdr:sp macro="" textlink="">
      <xdr:nvSpPr>
        <xdr:cNvPr id="14" name="Rectangle 13">
          <a:hlinkClick xmlns:r="http://schemas.openxmlformats.org/officeDocument/2006/relationships" r:id="rId1"/>
          <a:extLst>
            <a:ext uri="{FF2B5EF4-FFF2-40B4-BE49-F238E27FC236}">
              <a16:creationId xmlns:a16="http://schemas.microsoft.com/office/drawing/2014/main" id="{DA675748-E6A0-410A-868C-719F953BC194}"/>
            </a:ext>
            <a:ext uri="{147F2762-F138-4A5C-976F-8EAC2B608ADB}">
              <a16:predDERef xmlns:a16="http://schemas.microsoft.com/office/drawing/2014/main" pred="{32199F08-1ECF-4655-9CB0-64DA48395130}"/>
            </a:ext>
          </a:extLst>
        </xdr:cNvPr>
        <xdr:cNvSpPr/>
      </xdr:nvSpPr>
      <xdr:spPr>
        <a:xfrm>
          <a:off x="238125" y="2381250"/>
          <a:ext cx="1352550" cy="485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a:solidFill>
                <a:schemeClr val="tx1"/>
              </a:solidFill>
              <a:latin typeface="Calibri" panose="020F0502020204030204" pitchFamily="34" charset="0"/>
              <a:ea typeface="Calibri" panose="020F0502020204030204" pitchFamily="34" charset="0"/>
              <a:cs typeface="Calibri" panose="020F0502020204030204" pitchFamily="34" charset="0"/>
            </a:rPr>
            <a:t>STUDENTS</a:t>
          </a:r>
        </a:p>
      </xdr:txBody>
    </xdr:sp>
    <xdr:clientData/>
  </xdr:twoCellAnchor>
  <xdr:twoCellAnchor editAs="oneCell">
    <xdr:from>
      <xdr:col>15</xdr:col>
      <xdr:colOff>447675</xdr:colOff>
      <xdr:row>0</xdr:row>
      <xdr:rowOff>180975</xdr:rowOff>
    </xdr:from>
    <xdr:to>
      <xdr:col>18</xdr:col>
      <xdr:colOff>447675</xdr:colOff>
      <xdr:row>4</xdr:row>
      <xdr:rowOff>114300</xdr:rowOff>
    </xdr:to>
    <mc:AlternateContent xmlns:mc="http://schemas.openxmlformats.org/markup-compatibility/2006" xmlns:a14="http://schemas.microsoft.com/office/drawing/2010/main">
      <mc:Choice Requires="a14">
        <xdr:graphicFrame macro="">
          <xdr:nvGraphicFramePr>
            <xdr:cNvPr id="9" name="Program 1">
              <a:extLst>
                <a:ext uri="{FF2B5EF4-FFF2-40B4-BE49-F238E27FC236}">
                  <a16:creationId xmlns:a16="http://schemas.microsoft.com/office/drawing/2014/main" id="{AAE422E3-3F4B-450E-8579-948DC0CC3145}"/>
                </a:ext>
                <a:ext uri="{147F2762-F138-4A5C-976F-8EAC2B608ADB}">
                  <a16:predDERef xmlns:a16="http://schemas.microsoft.com/office/drawing/2014/main" pred="{568A1F2F-6211-30A4-0E40-48BDD85424B7}"/>
                </a:ext>
              </a:extLst>
            </xdr:cNvPr>
            <xdr:cNvGraphicFramePr/>
          </xdr:nvGraphicFramePr>
          <xdr:xfrm>
            <a:off x="0" y="0"/>
            <a:ext cx="0" cy="0"/>
          </xdr:xfrm>
          <a:graphic>
            <a:graphicData uri="http://schemas.microsoft.com/office/drawing/2010/slicer">
              <sle:slicer xmlns:sle="http://schemas.microsoft.com/office/drawing/2010/slicer" name="Program 1"/>
            </a:graphicData>
          </a:graphic>
        </xdr:graphicFrame>
      </mc:Choice>
      <mc:Fallback xmlns="">
        <xdr:sp macro="" textlink="">
          <xdr:nvSpPr>
            <xdr:cNvPr id="0" name=""/>
            <xdr:cNvSpPr>
              <a:spLocks noTextEdit="1"/>
            </xdr:cNvSpPr>
          </xdr:nvSpPr>
          <xdr:spPr>
            <a:xfrm>
              <a:off x="9591675" y="180975"/>
              <a:ext cx="1828800"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xdr:colOff>
      <xdr:row>0</xdr:row>
      <xdr:rowOff>114299</xdr:rowOff>
    </xdr:from>
    <xdr:to>
      <xdr:col>15</xdr:col>
      <xdr:colOff>389626</xdr:colOff>
      <xdr:row>5</xdr:row>
      <xdr:rowOff>28575</xdr:rowOff>
    </xdr:to>
    <mc:AlternateContent xmlns:mc="http://schemas.openxmlformats.org/markup-compatibility/2006" xmlns:a14="http://schemas.microsoft.com/office/drawing/2010/main">
      <mc:Choice Requires="a14">
        <xdr:graphicFrame macro="">
          <xdr:nvGraphicFramePr>
            <xdr:cNvPr id="16" name="University Admission year 1">
              <a:extLst>
                <a:ext uri="{FF2B5EF4-FFF2-40B4-BE49-F238E27FC236}">
                  <a16:creationId xmlns:a16="http://schemas.microsoft.com/office/drawing/2014/main" id="{EA0A4832-D226-4B3A-BF91-271FD118CC21}"/>
                </a:ext>
                <a:ext uri="{147F2762-F138-4A5C-976F-8EAC2B608ADB}">
                  <a16:predDERef xmlns:a16="http://schemas.microsoft.com/office/drawing/2014/main" pred="{EA15CECB-52AA-E059-B933-BD6010B4349F}"/>
                </a:ext>
              </a:extLst>
            </xdr:cNvPr>
            <xdr:cNvGraphicFramePr/>
          </xdr:nvGraphicFramePr>
          <xdr:xfrm>
            <a:off x="0" y="0"/>
            <a:ext cx="0" cy="0"/>
          </xdr:xfrm>
          <a:graphic>
            <a:graphicData uri="http://schemas.microsoft.com/office/drawing/2010/slicer">
              <sle:slicer xmlns:sle="http://schemas.microsoft.com/office/drawing/2010/slicer" name="University Admission year 1"/>
            </a:graphicData>
          </a:graphic>
        </xdr:graphicFrame>
      </mc:Choice>
      <mc:Fallback xmlns="">
        <xdr:sp macro="" textlink="">
          <xdr:nvSpPr>
            <xdr:cNvPr id="0" name=""/>
            <xdr:cNvSpPr>
              <a:spLocks noTextEdit="1"/>
            </xdr:cNvSpPr>
          </xdr:nvSpPr>
          <xdr:spPr>
            <a:xfrm>
              <a:off x="1866900" y="114299"/>
              <a:ext cx="7666726" cy="866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richPivotRecords" Target="richPivotRecords1.xm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134.538320601852" createdVersion="8" refreshedVersion="8" minRefreshableVersion="3" recordCount="1194" xr:uid="{0DB0E0AD-8EBF-4629-AB28-F6F92AFA7EAE}">
  <cacheSource type="worksheet">
    <worksheetSource name="Table1"/>
  </cacheSource>
  <cacheFields count="34">
    <cacheField name="University Admission year" numFmtId="0">
      <sharedItems containsSemiMixedTypes="0" containsString="0" containsNumber="1" containsInteger="1" minValue="2013" maxValue="2023" count="11">
        <n v="2018"/>
        <n v="2021"/>
        <n v="2020"/>
        <n v="2022"/>
        <n v="2019"/>
        <n v="2017"/>
        <n v="2015"/>
        <n v="2016"/>
        <n v="2014"/>
        <n v="2013"/>
        <n v="2023"/>
      </sharedItems>
    </cacheField>
    <cacheField name="Gender" numFmtId="0">
      <sharedItems count="2">
        <s v="Male"/>
        <s v="Female"/>
      </sharedItems>
    </cacheField>
    <cacheField name="Age" numFmtId="0">
      <sharedItems containsSemiMixedTypes="0" containsString="0" containsNumber="1" containsInteger="1" minValue="18" maxValue="27"/>
    </cacheField>
    <cacheField name="H.S.C passing year" numFmtId="0">
      <sharedItems containsSemiMixedTypes="0" containsString="0" containsNumber="1" containsInteger="1" minValue="2012" maxValue="2022"/>
    </cacheField>
    <cacheField name="Program" numFmtId="0">
      <sharedItems count="1">
        <s v="BCSE"/>
      </sharedItems>
    </cacheField>
    <cacheField name="Current Semester" numFmtId="0">
      <sharedItems containsSemiMixedTypes="0" containsString="0" containsNumber="1" containsInteger="1" minValue="1" maxValue="24"/>
    </cacheField>
    <cacheField name="Do you have meritorious scholarship ?" numFmtId="0">
      <sharedItems count="2">
        <s v="Yes"/>
        <s v="No"/>
      </sharedItems>
    </cacheField>
    <cacheField name="Do you use University transportation?" numFmtId="0">
      <sharedItems/>
    </cacheField>
    <cacheField name="How many hour do you study daily?" numFmtId="0">
      <sharedItems containsSemiMixedTypes="0" containsString="0" containsNumber="1" containsInteger="1" minValue="0" maxValue="13" count="12">
        <n v="3"/>
        <n v="1"/>
        <n v="2"/>
        <n v="5"/>
        <n v="6"/>
        <n v="4"/>
        <n v="8"/>
        <n v="7"/>
        <n v="9"/>
        <n v="0"/>
        <n v="10"/>
        <n v="13"/>
      </sharedItems>
    </cacheField>
    <cacheField name="How many times do you seat for study in a day?" numFmtId="0">
      <sharedItems containsSemiMixedTypes="0" containsString="0" containsNumber="1" containsInteger="1" minValue="0" maxValue="7"/>
    </cacheField>
    <cacheField name="What is your preferable learning mode?" numFmtId="0">
      <sharedItems count="2">
        <s v="Offline"/>
        <s v="Online"/>
      </sharedItems>
    </cacheField>
    <cacheField name="Do you play mobile games?" numFmtId="0">
      <sharedItems count="2">
        <s v="Yes"/>
        <s v="No"/>
      </sharedItems>
    </cacheField>
    <cacheField name="Do you have personal Computer?" numFmtId="0">
      <sharedItems/>
    </cacheField>
    <cacheField name="How many hour do you spent daily in social media?" numFmtId="0">
      <sharedItems containsSemiMixedTypes="0" containsString="0" containsNumber="1" containsInteger="1" minValue="0" maxValue="20" count="16">
        <n v="5"/>
        <n v="3"/>
        <n v="2"/>
        <n v="1"/>
        <n v="4"/>
        <n v="6"/>
        <n v="7"/>
        <n v="8"/>
        <n v="15"/>
        <n v="10"/>
        <n v="12"/>
        <n v="0"/>
        <n v="20"/>
        <n v="16"/>
        <n v="11"/>
        <n v="9"/>
      </sharedItems>
    </cacheField>
    <cacheField name="Status of your English language proficiency" numFmtId="0">
      <sharedItems count="3">
        <s v="Intermediate"/>
        <s v="Basic"/>
        <s v="Advance"/>
      </sharedItems>
    </cacheField>
    <cacheField name="Average attendance on class" numFmtId="0">
      <sharedItems containsMixedTypes="1" containsNumber="1" containsInteger="1" minValue="0" maxValue="100" count="66">
        <n v="90"/>
        <n v="96"/>
        <n v="80"/>
        <n v="88"/>
        <n v="95"/>
        <n v="100"/>
        <n v="97"/>
        <n v="70"/>
        <n v="98"/>
        <n v="85"/>
        <n v="99"/>
        <n v="75"/>
        <n v="82"/>
        <n v="92"/>
        <n v="50"/>
        <n v="73"/>
        <n v="2"/>
        <n v="87"/>
        <n v="40"/>
        <n v="5"/>
        <n v="52"/>
        <n v="65"/>
        <n v="77"/>
        <n v="60"/>
        <s v="94-98"/>
        <n v="10"/>
        <n v="37"/>
        <n v="93"/>
        <n v="78"/>
        <n v="57"/>
        <n v="91"/>
        <n v="86"/>
        <n v="62"/>
        <n v="0"/>
        <n v="94"/>
        <n v="54"/>
        <n v="68"/>
        <n v="45"/>
        <n v="46"/>
        <n v="51"/>
        <n v="34"/>
        <n v="56"/>
        <n v="76"/>
        <n v="63"/>
        <n v="89"/>
        <n v="79"/>
        <n v="35"/>
        <n v="41"/>
        <n v="83"/>
        <n v="84"/>
        <n v="67"/>
        <n v="72"/>
        <n v="42"/>
        <n v="47"/>
        <n v="23"/>
        <n v="55"/>
        <n v="32"/>
        <n v="66"/>
        <n v="30"/>
        <n v="43"/>
        <n v="71"/>
        <n v="31"/>
        <n v="64"/>
        <n v="24"/>
        <n v="81"/>
        <n v="53"/>
      </sharedItems>
    </cacheField>
    <cacheField name="Did you ever fall in probation?" numFmtId="0">
      <sharedItems/>
    </cacheField>
    <cacheField name="Did you ever got suspension?" numFmtId="0">
      <sharedItems/>
    </cacheField>
    <cacheField name="Do you attend in teacher consultancy for any kind of academical problems?" numFmtId="0">
      <sharedItems count="2">
        <s v="Yes"/>
        <s v="No"/>
      </sharedItems>
    </cacheField>
    <cacheField name="What are the skills do you have ?" numFmtId="0">
      <sharedItems/>
    </cacheField>
    <cacheField name="How many hour do you spent daily on your skill development?" numFmtId="0">
      <sharedItems containsSemiMixedTypes="0" containsString="0" containsNumber="1" containsInteger="1" minValue="0" maxValue="12"/>
    </cacheField>
    <cacheField name="What is you interested area?" numFmtId="0">
      <sharedItems count="27">
        <s v="Data Science"/>
        <s v="Event management"/>
        <s v="Software Development"/>
        <s v="Artificial Intelligence"/>
        <s v="Networking"/>
        <s v="Machine Learning"/>
        <s v="Hardware"/>
        <s v="Web Development"/>
        <s v="Blockchain"/>
        <s v="Entrepreneur"/>
        <s v="Cyber Security"/>
        <s v="Confused"/>
        <s v="Teaching"/>
        <s v="confuse" u="1"/>
        <s v="Competitive Software Development" u="1"/>
        <s v="Software Development Development" u="1"/>
        <s v="Competitive Software Development Development" u="1"/>
        <s v="Data Schince" u="1"/>
        <s v="Cybersecurity" u="1"/>
        <s v="Software" u="1"/>
        <s v="programming" u="1"/>
        <s v="UI/UX" u="1"/>
        <s v="Syber Security" u="1"/>
        <s v="Full stack web development" u="1"/>
        <s v="Creating a game using a program language" u="1"/>
        <s v="Web developing" u="1"/>
        <s v="Competitive programming" u="1"/>
      </sharedItems>
    </cacheField>
    <cacheField name="What is your relationship status?" numFmtId="0">
      <sharedItems/>
    </cacheField>
    <cacheField name="Are you engaged with any co-curriculum activities?" numFmtId="0">
      <sharedItems count="2">
        <s v="Yes"/>
        <s v="No"/>
      </sharedItems>
    </cacheField>
    <cacheField name="With whom you are living with?" numFmtId="0">
      <sharedItems/>
    </cacheField>
    <cacheField name="Do you have any health issues?" numFmtId="0">
      <sharedItems count="3">
        <s v="No"/>
        <s v="Yes"/>
        <s v="N" u="1"/>
      </sharedItems>
    </cacheField>
    <cacheField name="What was your previous SGPA?" numFmtId="0">
      <sharedItems containsSemiMixedTypes="0" containsString="0" containsNumber="1" minValue="0" maxValue="4"/>
    </cacheField>
    <cacheField name="Do you have any physical disabilities?" numFmtId="0">
      <sharedItems/>
    </cacheField>
    <cacheField name="What is your current CGPA?" numFmtId="0">
      <sharedItems containsSemiMixedTypes="0" containsString="0" containsNumber="1" minValue="0" maxValue="4"/>
    </cacheField>
    <cacheField name="How many Credit did you have completed?" numFmtId="0">
      <sharedItems containsSemiMixedTypes="0" containsString="0" containsNumber="1" containsInteger="1" minValue="0" maxValue="145"/>
    </cacheField>
    <cacheField name="What is your monthly family income?" numFmtId="0">
      <sharedItems containsSemiMixedTypes="0" containsString="0" containsNumber="1" containsInteger="1" minValue="4000" maxValue="2000000"/>
    </cacheField>
    <cacheField name="Performance" numFmtId="0">
      <sharedItems count="3">
        <s v="Medium"/>
        <s v="High"/>
        <s v="Low"/>
      </sharedItems>
    </cacheField>
    <cacheField name="Risk Flag" numFmtId="0">
      <sharedItems count="3">
        <s v="Normal"/>
        <s v="At Risk"/>
        <s v="=IF(AND([@[Average attendance on class]]&lt;75,[@[How many hour do you study daily?]]&lt;1&quot;At Risk&quot;,&quot;Normal&quot;)" u="1"/>
      </sharedItems>
    </cacheField>
    <cacheField name="Engagement Score" numFmtId="0">
      <sharedItems containsMixedTypes="1" containsNumber="1" minValue="16" maxValue="88"/>
    </cacheField>
  </cacheFields>
  <extLst>
    <ext xmlns:x14="http://schemas.microsoft.com/office/spreadsheetml/2009/9/main" uri="{725AE2AE-9491-48be-B2B4-4EB974FC3084}">
      <x14:pivotCacheDefinition pivotCacheId="970667180"/>
    </ext>
    <ext xmlns:xprd="http://schemas.microsoft.com/office/spreadsheetml/2022/pivotRichData" uri="{2C874A73-7782-4A18-856F-96AC7E287872}">
      <xprd:richInfo pivotCacheGuid="{0DB0E0AD-8EBF-4629-AB28-F6F92AFA7EAE}" pivotIgnoreInvalidCache="1" r:id="rId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x v="0"/>
    <n v="24"/>
    <n v="2016"/>
    <x v="0"/>
    <n v="12"/>
    <x v="0"/>
    <s v="No"/>
    <x v="0"/>
    <n v="2"/>
    <x v="0"/>
    <x v="0"/>
    <s v="Yes"/>
    <x v="0"/>
    <x v="0"/>
    <x v="0"/>
    <s v="No"/>
    <s v="No"/>
    <x v="0"/>
    <s v="Software Development"/>
    <n v="2"/>
    <x v="0"/>
    <s v="Single"/>
    <x v="0"/>
    <s v="Bachelor"/>
    <x v="0"/>
    <n v="2.68"/>
    <s v="No"/>
    <n v="3.15"/>
    <n v="75"/>
    <n v="25000"/>
    <x v="0"/>
    <x v="0"/>
    <n v="51"/>
  </r>
  <r>
    <x v="1"/>
    <x v="0"/>
    <n v="22"/>
    <n v="2020"/>
    <x v="0"/>
    <n v="4"/>
    <x v="0"/>
    <s v="Yes"/>
    <x v="0"/>
    <n v="2"/>
    <x v="1"/>
    <x v="0"/>
    <s v="Yes"/>
    <x v="1"/>
    <x v="1"/>
    <x v="1"/>
    <s v="Yes"/>
    <s v="No"/>
    <x v="1"/>
    <s v="Software Development"/>
    <n v="2"/>
    <x v="1"/>
    <s v="Single"/>
    <x v="0"/>
    <s v="Family"/>
    <x v="0"/>
    <n v="2.68"/>
    <s v="No"/>
    <n v="3.15"/>
    <n v="36"/>
    <n v="100000"/>
    <x v="0"/>
    <x v="0"/>
    <n v="53.400000000000006"/>
  </r>
  <r>
    <x v="2"/>
    <x v="1"/>
    <n v="21"/>
    <n v="2019"/>
    <x v="0"/>
    <n v="5"/>
    <x v="1"/>
    <s v="No"/>
    <x v="0"/>
    <n v="3"/>
    <x v="0"/>
    <x v="0"/>
    <s v="Yes"/>
    <x v="1"/>
    <x v="0"/>
    <x v="2"/>
    <s v="No"/>
    <s v="No"/>
    <x v="0"/>
    <s v="Software Development"/>
    <n v="1"/>
    <x v="2"/>
    <s v="Single"/>
    <x v="1"/>
    <s v="Bachelor"/>
    <x v="0"/>
    <n v="2.68"/>
    <s v="No"/>
    <n v="3.15"/>
    <n v="50"/>
    <n v="50000"/>
    <x v="0"/>
    <x v="0"/>
    <n v="44"/>
  </r>
  <r>
    <x v="1"/>
    <x v="0"/>
    <n v="20"/>
    <n v="2020"/>
    <x v="0"/>
    <n v="4"/>
    <x v="0"/>
    <s v="No"/>
    <x v="1"/>
    <n v="3"/>
    <x v="0"/>
    <x v="0"/>
    <s v="Yes"/>
    <x v="2"/>
    <x v="0"/>
    <x v="3"/>
    <s v="No"/>
    <s v="No"/>
    <x v="0"/>
    <s v="Software Development"/>
    <n v="1"/>
    <x v="3"/>
    <s v="Single"/>
    <x v="1"/>
    <s v="Bachelor"/>
    <x v="1"/>
    <n v="2.68"/>
    <s v="No"/>
    <n v="3.15"/>
    <n v="36"/>
    <n v="62488"/>
    <x v="0"/>
    <x v="0"/>
    <n v="41.2"/>
  </r>
  <r>
    <x v="1"/>
    <x v="0"/>
    <n v="22"/>
    <n v="2019"/>
    <x v="0"/>
    <n v="4"/>
    <x v="0"/>
    <s v="No"/>
    <x v="0"/>
    <n v="1"/>
    <x v="1"/>
    <x v="0"/>
    <s v="Yes"/>
    <x v="2"/>
    <x v="0"/>
    <x v="2"/>
    <s v="No"/>
    <s v="No"/>
    <x v="0"/>
    <s v="Software Development"/>
    <n v="1"/>
    <x v="2"/>
    <s v="Relationship"/>
    <x v="1"/>
    <s v="Bachelor"/>
    <x v="1"/>
    <n v="2.68"/>
    <s v="No"/>
    <n v="3.15"/>
    <n v="36"/>
    <n v="50000"/>
    <x v="0"/>
    <x v="0"/>
    <n v="44"/>
  </r>
  <r>
    <x v="1"/>
    <x v="0"/>
    <n v="20"/>
    <n v="2020"/>
    <x v="0"/>
    <n v="4"/>
    <x v="0"/>
    <s v="Yes"/>
    <x v="2"/>
    <n v="2"/>
    <x v="0"/>
    <x v="0"/>
    <s v="Yes"/>
    <x v="3"/>
    <x v="0"/>
    <x v="4"/>
    <s v="No"/>
    <s v="No"/>
    <x v="0"/>
    <s v="Software Development"/>
    <n v="2"/>
    <x v="2"/>
    <s v="Single"/>
    <x v="0"/>
    <s v="Family"/>
    <x v="0"/>
    <n v="2.68"/>
    <s v="No"/>
    <n v="3.15"/>
    <n v="36"/>
    <n v="30000"/>
    <x v="0"/>
    <x v="0"/>
    <n v="50"/>
  </r>
  <r>
    <x v="1"/>
    <x v="0"/>
    <n v="22"/>
    <n v="2018"/>
    <x v="0"/>
    <n v="4"/>
    <x v="0"/>
    <s v="No"/>
    <x v="2"/>
    <n v="4"/>
    <x v="1"/>
    <x v="0"/>
    <s v="Yes"/>
    <x v="2"/>
    <x v="0"/>
    <x v="2"/>
    <s v="No"/>
    <s v="No"/>
    <x v="1"/>
    <s v="Software Development"/>
    <n v="6"/>
    <x v="2"/>
    <s v="Single"/>
    <x v="1"/>
    <s v="Bachelor"/>
    <x v="1"/>
    <n v="2.68"/>
    <s v="No"/>
    <n v="3.15"/>
    <n v="36"/>
    <n v="20000"/>
    <x v="0"/>
    <x v="0"/>
    <n v="56"/>
  </r>
  <r>
    <x v="1"/>
    <x v="1"/>
    <n v="22"/>
    <n v="2019"/>
    <x v="0"/>
    <n v="4"/>
    <x v="0"/>
    <s v="No"/>
    <x v="2"/>
    <n v="2"/>
    <x v="0"/>
    <x v="0"/>
    <s v="Yes"/>
    <x v="2"/>
    <x v="1"/>
    <x v="5"/>
    <s v="Yes"/>
    <s v="No"/>
    <x v="0"/>
    <s v="Software Development"/>
    <n v="1"/>
    <x v="4"/>
    <s v="Single"/>
    <x v="1"/>
    <s v="Bachelor"/>
    <x v="0"/>
    <n v="3.8"/>
    <s v="No"/>
    <n v="3.64"/>
    <n v="35"/>
    <n v="32500"/>
    <x v="1"/>
    <x v="0"/>
    <n v="49"/>
  </r>
  <r>
    <x v="1"/>
    <x v="0"/>
    <n v="20"/>
    <n v="2020"/>
    <x v="0"/>
    <n v="4"/>
    <x v="0"/>
    <s v="No"/>
    <x v="0"/>
    <n v="2"/>
    <x v="0"/>
    <x v="0"/>
    <s v="Yes"/>
    <x v="2"/>
    <x v="0"/>
    <x v="0"/>
    <s v="No"/>
    <s v="No"/>
    <x v="1"/>
    <s v="Software Development"/>
    <n v="3"/>
    <x v="2"/>
    <s v="Single"/>
    <x v="1"/>
    <s v="Bachelor"/>
    <x v="0"/>
    <n v="2.68"/>
    <s v="No"/>
    <n v="3.15"/>
    <n v="36"/>
    <n v="20000"/>
    <x v="0"/>
    <x v="0"/>
    <n v="54"/>
  </r>
  <r>
    <x v="1"/>
    <x v="1"/>
    <n v="22"/>
    <n v="2020"/>
    <x v="0"/>
    <n v="4"/>
    <x v="0"/>
    <s v="Yes"/>
    <x v="3"/>
    <n v="2"/>
    <x v="0"/>
    <x v="0"/>
    <s v="Yes"/>
    <x v="2"/>
    <x v="0"/>
    <x v="5"/>
    <s v="No"/>
    <s v="No"/>
    <x v="0"/>
    <s v="Software Development"/>
    <n v="1"/>
    <x v="3"/>
    <s v="Single"/>
    <x v="1"/>
    <s v="Family"/>
    <x v="0"/>
    <n v="2.68"/>
    <s v="No"/>
    <n v="3.15"/>
    <n v="36"/>
    <n v="25000"/>
    <x v="0"/>
    <x v="0"/>
    <n v="58"/>
  </r>
  <r>
    <x v="1"/>
    <x v="0"/>
    <n v="22"/>
    <n v="2019"/>
    <x v="0"/>
    <n v="4"/>
    <x v="0"/>
    <s v="Yes"/>
    <x v="0"/>
    <n v="2"/>
    <x v="1"/>
    <x v="0"/>
    <s v="Yes"/>
    <x v="1"/>
    <x v="0"/>
    <x v="0"/>
    <s v="No"/>
    <s v="No"/>
    <x v="0"/>
    <s v="Software Development"/>
    <n v="1"/>
    <x v="2"/>
    <s v="Single"/>
    <x v="0"/>
    <s v="Family"/>
    <x v="0"/>
    <n v="2.68"/>
    <s v="No"/>
    <n v="3.15"/>
    <n v="36"/>
    <n v="50000"/>
    <x v="0"/>
    <x v="0"/>
    <n v="48"/>
  </r>
  <r>
    <x v="1"/>
    <x v="0"/>
    <n v="22"/>
    <n v="2019"/>
    <x v="0"/>
    <n v="4"/>
    <x v="1"/>
    <s v="No"/>
    <x v="0"/>
    <n v="2"/>
    <x v="0"/>
    <x v="0"/>
    <s v="Yes"/>
    <x v="2"/>
    <x v="1"/>
    <x v="0"/>
    <s v="No"/>
    <s v="No"/>
    <x v="1"/>
    <s v="Software Development"/>
    <n v="2"/>
    <x v="2"/>
    <s v="Single"/>
    <x v="1"/>
    <s v="Bachelor"/>
    <x v="1"/>
    <n v="3.4"/>
    <s v="No"/>
    <n v="3.53"/>
    <n v="35"/>
    <n v="20000"/>
    <x v="1"/>
    <x v="0"/>
    <n v="51"/>
  </r>
  <r>
    <x v="1"/>
    <x v="1"/>
    <n v="22"/>
    <n v="2020"/>
    <x v="0"/>
    <n v="4"/>
    <x v="1"/>
    <s v="Yes"/>
    <x v="1"/>
    <n v="1"/>
    <x v="0"/>
    <x v="0"/>
    <s v="Yes"/>
    <x v="3"/>
    <x v="1"/>
    <x v="5"/>
    <s v="No"/>
    <s v="No"/>
    <x v="0"/>
    <s v="Software Development"/>
    <n v="2"/>
    <x v="2"/>
    <s v="Single"/>
    <x v="1"/>
    <s v="Family"/>
    <x v="0"/>
    <n v="2.68"/>
    <s v="No"/>
    <n v="3.15"/>
    <n v="36"/>
    <n v="50000"/>
    <x v="0"/>
    <x v="0"/>
    <n v="49"/>
  </r>
  <r>
    <x v="1"/>
    <x v="1"/>
    <n v="21"/>
    <n v="2019"/>
    <x v="0"/>
    <n v="4"/>
    <x v="0"/>
    <s v="No"/>
    <x v="0"/>
    <n v="2"/>
    <x v="0"/>
    <x v="0"/>
    <s v="Yes"/>
    <x v="3"/>
    <x v="0"/>
    <x v="0"/>
    <s v="No"/>
    <s v="No"/>
    <x v="1"/>
    <s v="Software Development"/>
    <n v="1"/>
    <x v="2"/>
    <s v="Single"/>
    <x v="1"/>
    <s v="Bachelor"/>
    <x v="0"/>
    <n v="2.68"/>
    <s v="No"/>
    <n v="3.15"/>
    <n v="36"/>
    <n v="24000"/>
    <x v="0"/>
    <x v="0"/>
    <n v="48"/>
  </r>
  <r>
    <x v="1"/>
    <x v="1"/>
    <n v="21"/>
    <n v="2018"/>
    <x v="0"/>
    <n v="4"/>
    <x v="1"/>
    <s v="Yes"/>
    <x v="2"/>
    <n v="2"/>
    <x v="0"/>
    <x v="0"/>
    <s v="Yes"/>
    <x v="3"/>
    <x v="1"/>
    <x v="6"/>
    <s v="No"/>
    <s v="No"/>
    <x v="1"/>
    <s v="Software Development"/>
    <n v="2"/>
    <x v="2"/>
    <s v="Single"/>
    <x v="1"/>
    <s v="Family"/>
    <x v="0"/>
    <n v="2.68"/>
    <s v="No"/>
    <n v="3.15"/>
    <n v="36"/>
    <n v="70000"/>
    <x v="0"/>
    <x v="0"/>
    <n v="50.800000000000004"/>
  </r>
  <r>
    <x v="1"/>
    <x v="0"/>
    <n v="20"/>
    <n v="2020"/>
    <x v="0"/>
    <n v="4"/>
    <x v="0"/>
    <s v="Yes"/>
    <x v="2"/>
    <n v="1"/>
    <x v="0"/>
    <x v="0"/>
    <s v="Yes"/>
    <x v="3"/>
    <x v="1"/>
    <x v="4"/>
    <s v="No"/>
    <s v="No"/>
    <x v="0"/>
    <s v="Software Development"/>
    <n v="3"/>
    <x v="2"/>
    <s v="Single"/>
    <x v="0"/>
    <s v="Family"/>
    <x v="0"/>
    <n v="3.93"/>
    <s v="No"/>
    <n v="3.89"/>
    <n v="35"/>
    <n v="30000"/>
    <x v="1"/>
    <x v="0"/>
    <n v="53"/>
  </r>
  <r>
    <x v="1"/>
    <x v="0"/>
    <n v="22"/>
    <n v="2019"/>
    <x v="0"/>
    <n v="4"/>
    <x v="0"/>
    <s v="Yes"/>
    <x v="3"/>
    <n v="3"/>
    <x v="1"/>
    <x v="0"/>
    <s v="Yes"/>
    <x v="3"/>
    <x v="0"/>
    <x v="4"/>
    <s v="No"/>
    <s v="No"/>
    <x v="0"/>
    <s v="Software Development"/>
    <n v="2"/>
    <x v="5"/>
    <s v="Single"/>
    <x v="0"/>
    <s v="Family"/>
    <x v="0"/>
    <n v="2.68"/>
    <s v="No"/>
    <n v="3.15"/>
    <n v="36"/>
    <n v="40000"/>
    <x v="0"/>
    <x v="0"/>
    <n v="59"/>
  </r>
  <r>
    <x v="1"/>
    <x v="1"/>
    <n v="21"/>
    <n v="2020"/>
    <x v="0"/>
    <n v="4"/>
    <x v="0"/>
    <s v="No"/>
    <x v="3"/>
    <n v="1"/>
    <x v="0"/>
    <x v="0"/>
    <s v="Yes"/>
    <x v="2"/>
    <x v="1"/>
    <x v="6"/>
    <s v="No"/>
    <s v="No"/>
    <x v="1"/>
    <s v="Software Development"/>
    <n v="2"/>
    <x v="2"/>
    <s v="Single"/>
    <x v="1"/>
    <s v="Family"/>
    <x v="0"/>
    <n v="2.68"/>
    <s v="No"/>
    <n v="3.15"/>
    <n v="36"/>
    <n v="50000"/>
    <x v="0"/>
    <x v="0"/>
    <n v="59.800000000000004"/>
  </r>
  <r>
    <x v="1"/>
    <x v="0"/>
    <n v="21"/>
    <n v="2020"/>
    <x v="0"/>
    <n v="4"/>
    <x v="0"/>
    <s v="No"/>
    <x v="1"/>
    <n v="2"/>
    <x v="1"/>
    <x v="0"/>
    <s v="Yes"/>
    <x v="1"/>
    <x v="2"/>
    <x v="7"/>
    <s v="No"/>
    <s v="No"/>
    <x v="0"/>
    <s v="Software Development"/>
    <n v="2"/>
    <x v="2"/>
    <s v="Relationship"/>
    <x v="1"/>
    <s v="Family"/>
    <x v="0"/>
    <n v="3.1"/>
    <s v="No"/>
    <n v="3.5"/>
    <n v="35"/>
    <n v="62488"/>
    <x v="1"/>
    <x v="0"/>
    <n v="37"/>
  </r>
  <r>
    <x v="1"/>
    <x v="0"/>
    <n v="19"/>
    <n v="2020"/>
    <x v="0"/>
    <n v="4"/>
    <x v="1"/>
    <s v="Yes"/>
    <x v="0"/>
    <n v="2"/>
    <x v="1"/>
    <x v="0"/>
    <s v="Yes"/>
    <x v="2"/>
    <x v="0"/>
    <x v="7"/>
    <s v="Yes"/>
    <s v="No"/>
    <x v="0"/>
    <s v="Software Development"/>
    <n v="2"/>
    <x v="2"/>
    <s v="Single"/>
    <x v="1"/>
    <s v="Family"/>
    <x v="0"/>
    <n v="2.68"/>
    <s v="No"/>
    <n v="3.15"/>
    <n v="36"/>
    <n v="20000"/>
    <x v="0"/>
    <x v="0"/>
    <n v="43"/>
  </r>
  <r>
    <x v="1"/>
    <x v="1"/>
    <n v="21"/>
    <n v="2019"/>
    <x v="0"/>
    <n v="4"/>
    <x v="0"/>
    <s v="No"/>
    <x v="0"/>
    <n v="2"/>
    <x v="0"/>
    <x v="0"/>
    <s v="Yes"/>
    <x v="2"/>
    <x v="0"/>
    <x v="1"/>
    <s v="No"/>
    <s v="No"/>
    <x v="0"/>
    <s v="Software Development"/>
    <n v="1"/>
    <x v="2"/>
    <s v="Single"/>
    <x v="0"/>
    <s v="Bachelor"/>
    <x v="0"/>
    <n v="3.81"/>
    <s v="No"/>
    <n v="3.65"/>
    <n v="34"/>
    <n v="30000"/>
    <x v="1"/>
    <x v="0"/>
    <n v="50.400000000000006"/>
  </r>
  <r>
    <x v="1"/>
    <x v="0"/>
    <n v="21"/>
    <n v="2020"/>
    <x v="0"/>
    <n v="4"/>
    <x v="0"/>
    <s v="No"/>
    <x v="0"/>
    <n v="3"/>
    <x v="0"/>
    <x v="0"/>
    <s v="Yes"/>
    <x v="2"/>
    <x v="0"/>
    <x v="2"/>
    <s v="Yes"/>
    <s v="No"/>
    <x v="1"/>
    <s v="Networking"/>
    <n v="2"/>
    <x v="4"/>
    <s v="Single"/>
    <x v="1"/>
    <s v="Bachelor"/>
    <x v="0"/>
    <n v="2.68"/>
    <s v="No"/>
    <n v="3.15"/>
    <n v="36"/>
    <n v="50000"/>
    <x v="0"/>
    <x v="0"/>
    <n v="47"/>
  </r>
  <r>
    <x v="1"/>
    <x v="0"/>
    <n v="22"/>
    <n v="2020"/>
    <x v="0"/>
    <n v="4"/>
    <x v="0"/>
    <s v="No"/>
    <x v="2"/>
    <n v="1"/>
    <x v="0"/>
    <x v="0"/>
    <s v="Yes"/>
    <x v="2"/>
    <x v="0"/>
    <x v="8"/>
    <s v="No"/>
    <s v="No"/>
    <x v="0"/>
    <s v="Software Development"/>
    <n v="2"/>
    <x v="2"/>
    <s v="Single"/>
    <x v="0"/>
    <s v="Bachelor"/>
    <x v="0"/>
    <n v="2.68"/>
    <s v="No"/>
    <n v="3.15"/>
    <n v="36"/>
    <n v="20000"/>
    <x v="0"/>
    <x v="0"/>
    <n v="51.2"/>
  </r>
  <r>
    <x v="2"/>
    <x v="1"/>
    <n v="21"/>
    <n v="2019"/>
    <x v="0"/>
    <n v="4"/>
    <x v="1"/>
    <s v="Yes"/>
    <x v="4"/>
    <n v="3"/>
    <x v="0"/>
    <x v="0"/>
    <s v="Yes"/>
    <x v="1"/>
    <x v="0"/>
    <x v="4"/>
    <s v="No"/>
    <s v="No"/>
    <x v="1"/>
    <s v="Software Development"/>
    <n v="3"/>
    <x v="2"/>
    <s v="Single"/>
    <x v="0"/>
    <s v="Family"/>
    <x v="0"/>
    <n v="2.68"/>
    <s v="No"/>
    <n v="3.15"/>
    <n v="36"/>
    <n v="25000"/>
    <x v="0"/>
    <x v="0"/>
    <n v="65"/>
  </r>
  <r>
    <x v="1"/>
    <x v="0"/>
    <n v="21"/>
    <n v="2020"/>
    <x v="0"/>
    <n v="4"/>
    <x v="0"/>
    <s v="Yes"/>
    <x v="1"/>
    <n v="1"/>
    <x v="1"/>
    <x v="0"/>
    <s v="Yes"/>
    <x v="3"/>
    <x v="2"/>
    <x v="9"/>
    <s v="No"/>
    <s v="No"/>
    <x v="0"/>
    <s v="Content creation"/>
    <n v="2"/>
    <x v="5"/>
    <s v="Single"/>
    <x v="0"/>
    <s v="Bachelor"/>
    <x v="1"/>
    <n v="3.89"/>
    <s v="No"/>
    <n v="3.81"/>
    <n v="35"/>
    <n v="35000"/>
    <x v="1"/>
    <x v="0"/>
    <n v="43"/>
  </r>
  <r>
    <x v="1"/>
    <x v="1"/>
    <n v="20"/>
    <n v="2020"/>
    <x v="0"/>
    <n v="4"/>
    <x v="1"/>
    <s v="No"/>
    <x v="0"/>
    <n v="2"/>
    <x v="0"/>
    <x v="0"/>
    <s v="Yes"/>
    <x v="3"/>
    <x v="1"/>
    <x v="6"/>
    <s v="No"/>
    <s v="No"/>
    <x v="0"/>
    <s v="Software Development"/>
    <n v="2"/>
    <x v="2"/>
    <s v="Single"/>
    <x v="1"/>
    <s v="Family"/>
    <x v="0"/>
    <n v="3.79"/>
    <s v="No"/>
    <n v="3.82"/>
    <n v="39"/>
    <n v="50000"/>
    <x v="1"/>
    <x v="0"/>
    <n v="53.800000000000004"/>
  </r>
  <r>
    <x v="1"/>
    <x v="0"/>
    <n v="20"/>
    <n v="2020"/>
    <x v="0"/>
    <n v="4"/>
    <x v="1"/>
    <s v="No"/>
    <x v="5"/>
    <n v="3"/>
    <x v="0"/>
    <x v="0"/>
    <s v="No"/>
    <x v="1"/>
    <x v="1"/>
    <x v="4"/>
    <s v="No"/>
    <s v="No"/>
    <x v="1"/>
    <s v="Software Development"/>
    <n v="2"/>
    <x v="2"/>
    <s v="Single"/>
    <x v="0"/>
    <s v="Bachelor"/>
    <x v="0"/>
    <n v="2.68"/>
    <s v="No"/>
    <n v="3.15"/>
    <n v="36"/>
    <n v="4000"/>
    <x v="0"/>
    <x v="0"/>
    <n v="56"/>
  </r>
  <r>
    <x v="1"/>
    <x v="0"/>
    <n v="19"/>
    <n v="2020"/>
    <x v="0"/>
    <n v="4"/>
    <x v="0"/>
    <s v="Yes"/>
    <x v="2"/>
    <n v="1"/>
    <x v="1"/>
    <x v="0"/>
    <s v="Yes"/>
    <x v="4"/>
    <x v="0"/>
    <x v="7"/>
    <s v="Yes"/>
    <s v="No"/>
    <x v="0"/>
    <s v="Software Development"/>
    <n v="4"/>
    <x v="3"/>
    <s v="Single"/>
    <x v="0"/>
    <s v="Family"/>
    <x v="1"/>
    <n v="3.55"/>
    <s v="No"/>
    <n v="3.48"/>
    <n v="35"/>
    <n v="40000"/>
    <x v="0"/>
    <x v="0"/>
    <n v="46"/>
  </r>
  <r>
    <x v="1"/>
    <x v="0"/>
    <n v="21"/>
    <n v="2020"/>
    <x v="0"/>
    <n v="4"/>
    <x v="0"/>
    <s v="Yes"/>
    <x v="2"/>
    <n v="1"/>
    <x v="1"/>
    <x v="0"/>
    <s v="Yes"/>
    <x v="2"/>
    <x v="0"/>
    <x v="4"/>
    <s v="No"/>
    <s v="No"/>
    <x v="0"/>
    <s v="Software Development"/>
    <n v="2"/>
    <x v="2"/>
    <s v="Single"/>
    <x v="0"/>
    <s v="Bachelor"/>
    <x v="1"/>
    <n v="3.28"/>
    <s v="No"/>
    <n v="3.32"/>
    <n v="36"/>
    <n v="8000"/>
    <x v="0"/>
    <x v="0"/>
    <n v="50"/>
  </r>
  <r>
    <x v="1"/>
    <x v="0"/>
    <n v="25"/>
    <n v="2020"/>
    <x v="0"/>
    <n v="4"/>
    <x v="0"/>
    <s v="No"/>
    <x v="0"/>
    <n v="3"/>
    <x v="0"/>
    <x v="0"/>
    <s v="Yes"/>
    <x v="2"/>
    <x v="0"/>
    <x v="5"/>
    <s v="No"/>
    <s v="No"/>
    <x v="0"/>
    <s v="Software Development"/>
    <n v="3"/>
    <x v="2"/>
    <s v="Single"/>
    <x v="0"/>
    <s v="Bachelor"/>
    <x v="0"/>
    <n v="2.68"/>
    <s v="No"/>
    <n v="3.15"/>
    <n v="36"/>
    <n v="47972"/>
    <x v="0"/>
    <x v="0"/>
    <n v="58"/>
  </r>
  <r>
    <x v="3"/>
    <x v="0"/>
    <n v="20"/>
    <n v="2020"/>
    <x v="0"/>
    <n v="2"/>
    <x v="0"/>
    <s v="Yes"/>
    <x v="0"/>
    <n v="3"/>
    <x v="1"/>
    <x v="0"/>
    <s v="Yes"/>
    <x v="4"/>
    <x v="0"/>
    <x v="0"/>
    <s v="No"/>
    <s v="No"/>
    <x v="0"/>
    <s v="Software Development"/>
    <n v="2"/>
    <x v="5"/>
    <s v="Single"/>
    <x v="1"/>
    <s v="Family"/>
    <x v="0"/>
    <n v="2.68"/>
    <s v="No"/>
    <n v="3.15"/>
    <n v="11"/>
    <n v="30000"/>
    <x v="0"/>
    <x v="0"/>
    <n v="51"/>
  </r>
  <r>
    <x v="3"/>
    <x v="0"/>
    <n v="20"/>
    <n v="2020"/>
    <x v="0"/>
    <n v="2"/>
    <x v="0"/>
    <s v="Yes"/>
    <x v="5"/>
    <n v="2"/>
    <x v="0"/>
    <x v="0"/>
    <s v="Yes"/>
    <x v="2"/>
    <x v="0"/>
    <x v="4"/>
    <s v="No"/>
    <s v="No"/>
    <x v="0"/>
    <s v="Software Development"/>
    <n v="3"/>
    <x v="2"/>
    <s v="Single"/>
    <x v="0"/>
    <s v="Family"/>
    <x v="0"/>
    <n v="2.68"/>
    <s v="No"/>
    <n v="3.15"/>
    <n v="11"/>
    <n v="90000"/>
    <x v="0"/>
    <x v="0"/>
    <n v="59"/>
  </r>
  <r>
    <x v="3"/>
    <x v="0"/>
    <n v="21"/>
    <n v="2021"/>
    <x v="0"/>
    <n v="2"/>
    <x v="1"/>
    <s v="No"/>
    <x v="3"/>
    <n v="5"/>
    <x v="0"/>
    <x v="0"/>
    <s v="Yes"/>
    <x v="2"/>
    <x v="0"/>
    <x v="0"/>
    <s v="No"/>
    <s v="No"/>
    <x v="1"/>
    <s v="Software Development"/>
    <n v="1"/>
    <x v="2"/>
    <s v="Single"/>
    <x v="1"/>
    <s v="Bachelor"/>
    <x v="0"/>
    <n v="2.68"/>
    <s v="No"/>
    <n v="3.15"/>
    <n v="11"/>
    <n v="30000"/>
    <x v="0"/>
    <x v="0"/>
    <n v="54"/>
  </r>
  <r>
    <x v="1"/>
    <x v="0"/>
    <n v="23"/>
    <n v="2018"/>
    <x v="0"/>
    <n v="4"/>
    <x v="0"/>
    <s v="No"/>
    <x v="6"/>
    <n v="4"/>
    <x v="0"/>
    <x v="0"/>
    <s v="Yes"/>
    <x v="2"/>
    <x v="0"/>
    <x v="5"/>
    <s v="No"/>
    <s v="No"/>
    <x v="1"/>
    <s v="Software Development"/>
    <n v="2"/>
    <x v="2"/>
    <s v="Single"/>
    <x v="0"/>
    <s v="Bachelor"/>
    <x v="0"/>
    <n v="2.68"/>
    <s v="No"/>
    <n v="3.15"/>
    <n v="36"/>
    <n v="37000"/>
    <x v="0"/>
    <x v="0"/>
    <n v="70"/>
  </r>
  <r>
    <x v="3"/>
    <x v="0"/>
    <n v="20"/>
    <n v="2020"/>
    <x v="0"/>
    <n v="2"/>
    <x v="0"/>
    <s v="Yes"/>
    <x v="1"/>
    <n v="1"/>
    <x v="0"/>
    <x v="0"/>
    <s v="Yes"/>
    <x v="2"/>
    <x v="1"/>
    <x v="4"/>
    <s v="No"/>
    <s v="No"/>
    <x v="1"/>
    <s v="Software Development"/>
    <n v="1"/>
    <x v="2"/>
    <s v="Single"/>
    <x v="0"/>
    <s v="Family"/>
    <x v="0"/>
    <n v="2.68"/>
    <s v="No"/>
    <n v="3.15"/>
    <n v="11"/>
    <n v="35000"/>
    <x v="0"/>
    <x v="0"/>
    <n v="44"/>
  </r>
  <r>
    <x v="3"/>
    <x v="1"/>
    <n v="20"/>
    <n v="2020"/>
    <x v="0"/>
    <n v="2"/>
    <x v="0"/>
    <s v="Yes"/>
    <x v="0"/>
    <n v="1"/>
    <x v="1"/>
    <x v="0"/>
    <s v="No"/>
    <x v="3"/>
    <x v="0"/>
    <x v="2"/>
    <s v="No"/>
    <s v="No"/>
    <x v="1"/>
    <s v="Software Development"/>
    <n v="2"/>
    <x v="2"/>
    <s v="Single"/>
    <x v="0"/>
    <s v="Family"/>
    <x v="0"/>
    <n v="2.68"/>
    <s v="No"/>
    <n v="3.15"/>
    <n v="11"/>
    <n v="50000"/>
    <x v="0"/>
    <x v="0"/>
    <n v="47"/>
  </r>
  <r>
    <x v="3"/>
    <x v="1"/>
    <n v="21"/>
    <n v="2019"/>
    <x v="0"/>
    <n v="2"/>
    <x v="0"/>
    <s v="No"/>
    <x v="2"/>
    <n v="1"/>
    <x v="0"/>
    <x v="0"/>
    <s v="Yes"/>
    <x v="1"/>
    <x v="1"/>
    <x v="10"/>
    <s v="No"/>
    <s v="No"/>
    <x v="0"/>
    <s v="Software Development"/>
    <n v="2"/>
    <x v="3"/>
    <s v="Single"/>
    <x v="1"/>
    <s v="Bachelor"/>
    <x v="0"/>
    <n v="2.68"/>
    <s v="No"/>
    <n v="3.15"/>
    <n v="11"/>
    <n v="30000"/>
    <x v="0"/>
    <x v="0"/>
    <n v="51.6"/>
  </r>
  <r>
    <x v="4"/>
    <x v="0"/>
    <n v="24"/>
    <n v="2016"/>
    <x v="0"/>
    <n v="11"/>
    <x v="1"/>
    <s v="No"/>
    <x v="2"/>
    <n v="2"/>
    <x v="1"/>
    <x v="0"/>
    <s v="Yes"/>
    <x v="0"/>
    <x v="1"/>
    <x v="7"/>
    <s v="Yes"/>
    <s v="No"/>
    <x v="0"/>
    <s v="Software Development"/>
    <n v="4"/>
    <x v="2"/>
    <s v="Single"/>
    <x v="1"/>
    <s v="Bachelor"/>
    <x v="1"/>
    <n v="2.68"/>
    <s v="No"/>
    <n v="3.15"/>
    <n v="126"/>
    <n v="20000"/>
    <x v="0"/>
    <x v="0"/>
    <n v="46"/>
  </r>
  <r>
    <x v="3"/>
    <x v="1"/>
    <n v="20"/>
    <n v="2020"/>
    <x v="0"/>
    <n v="2"/>
    <x v="0"/>
    <s v="Yes"/>
    <x v="5"/>
    <n v="2"/>
    <x v="0"/>
    <x v="0"/>
    <s v="Yes"/>
    <x v="4"/>
    <x v="0"/>
    <x v="5"/>
    <s v="No"/>
    <s v="No"/>
    <x v="0"/>
    <s v="Software Development"/>
    <n v="1"/>
    <x v="2"/>
    <s v="Single"/>
    <x v="1"/>
    <s v="Family"/>
    <x v="0"/>
    <n v="2.68"/>
    <s v="No"/>
    <n v="3.15"/>
    <n v="11"/>
    <n v="80000"/>
    <x v="0"/>
    <x v="0"/>
    <n v="55"/>
  </r>
  <r>
    <x v="1"/>
    <x v="1"/>
    <n v="22"/>
    <n v="2019"/>
    <x v="0"/>
    <n v="2"/>
    <x v="0"/>
    <s v="Yes"/>
    <x v="3"/>
    <n v="2"/>
    <x v="0"/>
    <x v="0"/>
    <s v="Yes"/>
    <x v="1"/>
    <x v="2"/>
    <x v="8"/>
    <s v="No"/>
    <s v="No"/>
    <x v="0"/>
    <s v="Software Development"/>
    <n v="2"/>
    <x v="2"/>
    <s v="Single"/>
    <x v="0"/>
    <s v="Bachelor"/>
    <x v="0"/>
    <n v="2.68"/>
    <s v="No"/>
    <n v="3.15"/>
    <n v="11"/>
    <n v="40000"/>
    <x v="0"/>
    <x v="0"/>
    <n v="60.2"/>
  </r>
  <r>
    <x v="3"/>
    <x v="0"/>
    <n v="20"/>
    <n v="2020"/>
    <x v="0"/>
    <n v="2"/>
    <x v="0"/>
    <s v="No"/>
    <x v="3"/>
    <n v="5"/>
    <x v="0"/>
    <x v="0"/>
    <s v="Yes"/>
    <x v="5"/>
    <x v="1"/>
    <x v="5"/>
    <s v="No"/>
    <s v="No"/>
    <x v="0"/>
    <s v="Software Development"/>
    <n v="3"/>
    <x v="5"/>
    <s v="Single"/>
    <x v="1"/>
    <s v="Bachelor"/>
    <x v="0"/>
    <n v="2.68"/>
    <s v="No"/>
    <n v="3.15"/>
    <n v="11"/>
    <n v="20000"/>
    <x v="0"/>
    <x v="0"/>
    <n v="64"/>
  </r>
  <r>
    <x v="3"/>
    <x v="0"/>
    <n v="21"/>
    <n v="2020"/>
    <x v="0"/>
    <n v="2"/>
    <x v="1"/>
    <s v="No"/>
    <x v="0"/>
    <n v="2"/>
    <x v="0"/>
    <x v="0"/>
    <s v="Yes"/>
    <x v="2"/>
    <x v="1"/>
    <x v="6"/>
    <s v="No"/>
    <s v="No"/>
    <x v="0"/>
    <s v="Software Development"/>
    <n v="2"/>
    <x v="2"/>
    <s v="Single"/>
    <x v="0"/>
    <s v="Bachelor"/>
    <x v="0"/>
    <n v="2.68"/>
    <s v="No"/>
    <n v="3.15"/>
    <n v="11"/>
    <n v="10000"/>
    <x v="0"/>
    <x v="0"/>
    <n v="53.800000000000004"/>
  </r>
  <r>
    <x v="3"/>
    <x v="0"/>
    <n v="21"/>
    <n v="2020"/>
    <x v="0"/>
    <n v="2"/>
    <x v="0"/>
    <s v="Yes"/>
    <x v="0"/>
    <n v="3"/>
    <x v="0"/>
    <x v="0"/>
    <s v="Yes"/>
    <x v="3"/>
    <x v="1"/>
    <x v="8"/>
    <s v="No"/>
    <s v="No"/>
    <x v="0"/>
    <s v="Software Development"/>
    <n v="4"/>
    <x v="2"/>
    <s v="Single"/>
    <x v="1"/>
    <s v="Bachelor"/>
    <x v="0"/>
    <n v="2.68"/>
    <s v="No"/>
    <n v="3.15"/>
    <n v="11"/>
    <n v="10000"/>
    <x v="0"/>
    <x v="0"/>
    <n v="60.2"/>
  </r>
  <r>
    <x v="3"/>
    <x v="0"/>
    <n v="19"/>
    <n v="2020"/>
    <x v="0"/>
    <n v="2"/>
    <x v="0"/>
    <s v="Yes"/>
    <x v="3"/>
    <n v="3"/>
    <x v="1"/>
    <x v="0"/>
    <s v="Yes"/>
    <x v="5"/>
    <x v="0"/>
    <x v="0"/>
    <s v="No"/>
    <s v="No"/>
    <x v="0"/>
    <s v="Software Development"/>
    <n v="1"/>
    <x v="2"/>
    <s v="Single"/>
    <x v="0"/>
    <s v="Family"/>
    <x v="0"/>
    <n v="2.68"/>
    <s v="No"/>
    <n v="3.15"/>
    <n v="11"/>
    <n v="40000"/>
    <x v="0"/>
    <x v="0"/>
    <n v="54"/>
  </r>
  <r>
    <x v="3"/>
    <x v="0"/>
    <n v="19"/>
    <n v="2020"/>
    <x v="0"/>
    <n v="2"/>
    <x v="0"/>
    <s v="Yes"/>
    <x v="5"/>
    <n v="2"/>
    <x v="1"/>
    <x v="0"/>
    <s v="Yes"/>
    <x v="2"/>
    <x v="0"/>
    <x v="0"/>
    <s v="No"/>
    <s v="No"/>
    <x v="0"/>
    <s v="Software Development"/>
    <n v="2"/>
    <x v="2"/>
    <s v="Single"/>
    <x v="0"/>
    <s v="Family"/>
    <x v="0"/>
    <n v="2.68"/>
    <s v="No"/>
    <n v="3.15"/>
    <n v="11"/>
    <n v="40000"/>
    <x v="0"/>
    <x v="0"/>
    <n v="54"/>
  </r>
  <r>
    <x v="3"/>
    <x v="0"/>
    <n v="19"/>
    <n v="2020"/>
    <x v="0"/>
    <n v="2"/>
    <x v="0"/>
    <s v="No"/>
    <x v="5"/>
    <n v="2"/>
    <x v="0"/>
    <x v="0"/>
    <s v="Yes"/>
    <x v="3"/>
    <x v="1"/>
    <x v="4"/>
    <s v="No"/>
    <s v="No"/>
    <x v="0"/>
    <s v="Software Development"/>
    <n v="3"/>
    <x v="2"/>
    <s v="Single"/>
    <x v="1"/>
    <s v="Bachelor"/>
    <x v="0"/>
    <n v="2.68"/>
    <s v="No"/>
    <n v="3.15"/>
    <n v="11"/>
    <n v="25000"/>
    <x v="0"/>
    <x v="0"/>
    <n v="59"/>
  </r>
  <r>
    <x v="3"/>
    <x v="0"/>
    <n v="20"/>
    <n v="2020"/>
    <x v="0"/>
    <n v="2"/>
    <x v="0"/>
    <s v="No"/>
    <x v="3"/>
    <n v="2"/>
    <x v="0"/>
    <x v="0"/>
    <s v="Yes"/>
    <x v="1"/>
    <x v="0"/>
    <x v="4"/>
    <s v="No"/>
    <s v="No"/>
    <x v="0"/>
    <s v="Software Development"/>
    <n v="1"/>
    <x v="2"/>
    <s v="Single"/>
    <x v="0"/>
    <s v="Family"/>
    <x v="0"/>
    <n v="2.68"/>
    <s v="No"/>
    <n v="3.15"/>
    <n v="11"/>
    <n v="20000"/>
    <x v="0"/>
    <x v="0"/>
    <n v="56"/>
  </r>
  <r>
    <x v="3"/>
    <x v="0"/>
    <n v="19"/>
    <n v="2020"/>
    <x v="0"/>
    <n v="2"/>
    <x v="0"/>
    <s v="Yes"/>
    <x v="1"/>
    <n v="1"/>
    <x v="1"/>
    <x v="0"/>
    <s v="Yes"/>
    <x v="3"/>
    <x v="0"/>
    <x v="0"/>
    <s v="No"/>
    <s v="No"/>
    <x v="1"/>
    <s v="Software Development"/>
    <n v="2"/>
    <x v="2"/>
    <s v="Single"/>
    <x v="0"/>
    <s v="Family"/>
    <x v="0"/>
    <n v="2.68"/>
    <s v="No"/>
    <n v="3.15"/>
    <n v="11"/>
    <n v="22000"/>
    <x v="0"/>
    <x v="0"/>
    <n v="45"/>
  </r>
  <r>
    <x v="1"/>
    <x v="1"/>
    <n v="20"/>
    <n v="2020"/>
    <x v="0"/>
    <n v="4"/>
    <x v="1"/>
    <s v="No"/>
    <x v="2"/>
    <n v="2"/>
    <x v="0"/>
    <x v="0"/>
    <s v="Yes"/>
    <x v="1"/>
    <x v="1"/>
    <x v="10"/>
    <s v="No"/>
    <s v="No"/>
    <x v="1"/>
    <s v="Software Development"/>
    <n v="1"/>
    <x v="2"/>
    <s v="Single"/>
    <x v="1"/>
    <s v="Family"/>
    <x v="0"/>
    <n v="3.78"/>
    <s v="No"/>
    <n v="3.88"/>
    <n v="36"/>
    <n v="200000"/>
    <x v="1"/>
    <x v="0"/>
    <n v="48.6"/>
  </r>
  <r>
    <x v="3"/>
    <x v="0"/>
    <n v="20"/>
    <n v="2020"/>
    <x v="0"/>
    <n v="2"/>
    <x v="0"/>
    <s v="No"/>
    <x v="7"/>
    <n v="2"/>
    <x v="0"/>
    <x v="0"/>
    <s v="Yes"/>
    <x v="0"/>
    <x v="1"/>
    <x v="0"/>
    <s v="No"/>
    <s v="No"/>
    <x v="0"/>
    <s v="Software Development"/>
    <n v="2"/>
    <x v="2"/>
    <s v="Single"/>
    <x v="1"/>
    <s v="Family"/>
    <x v="1"/>
    <n v="2.68"/>
    <s v="No"/>
    <n v="3.15"/>
    <n v="11"/>
    <n v="39000"/>
    <x v="0"/>
    <x v="0"/>
    <n v="63"/>
  </r>
  <r>
    <x v="3"/>
    <x v="0"/>
    <n v="21"/>
    <n v="2020"/>
    <x v="0"/>
    <n v="2"/>
    <x v="0"/>
    <s v="Yes"/>
    <x v="2"/>
    <n v="1"/>
    <x v="1"/>
    <x v="0"/>
    <s v="Yes"/>
    <x v="1"/>
    <x v="0"/>
    <x v="0"/>
    <s v="No"/>
    <s v="No"/>
    <x v="1"/>
    <s v="Software Development"/>
    <n v="1"/>
    <x v="5"/>
    <s v="Single"/>
    <x v="1"/>
    <s v="Family"/>
    <x v="0"/>
    <n v="2.68"/>
    <s v="No"/>
    <n v="3.15"/>
    <n v="11"/>
    <n v="30000"/>
    <x v="0"/>
    <x v="0"/>
    <n v="45"/>
  </r>
  <r>
    <x v="3"/>
    <x v="0"/>
    <n v="21"/>
    <n v="2020"/>
    <x v="0"/>
    <n v="2"/>
    <x v="0"/>
    <s v="Yes"/>
    <x v="2"/>
    <n v="2"/>
    <x v="0"/>
    <x v="0"/>
    <s v="Yes"/>
    <x v="2"/>
    <x v="0"/>
    <x v="3"/>
    <s v="No"/>
    <s v="No"/>
    <x v="1"/>
    <s v="Software Development"/>
    <n v="2"/>
    <x v="2"/>
    <s v="Single"/>
    <x v="0"/>
    <s v="Family"/>
    <x v="0"/>
    <n v="4"/>
    <s v="No"/>
    <n v="4"/>
    <n v="11"/>
    <n v="20000"/>
    <x v="1"/>
    <x v="0"/>
    <n v="47.2"/>
  </r>
  <r>
    <x v="3"/>
    <x v="0"/>
    <n v="21"/>
    <n v="2020"/>
    <x v="0"/>
    <n v="2"/>
    <x v="0"/>
    <s v="Yes"/>
    <x v="3"/>
    <n v="2"/>
    <x v="0"/>
    <x v="0"/>
    <s v="Yes"/>
    <x v="3"/>
    <x v="0"/>
    <x v="4"/>
    <s v="No"/>
    <s v="No"/>
    <x v="0"/>
    <s v="Software Development"/>
    <n v="2"/>
    <x v="2"/>
    <s v="Single"/>
    <x v="0"/>
    <s v="Family"/>
    <x v="0"/>
    <n v="2.68"/>
    <s v="No"/>
    <n v="3.15"/>
    <n v="11"/>
    <n v="30000"/>
    <x v="0"/>
    <x v="0"/>
    <n v="59"/>
  </r>
  <r>
    <x v="3"/>
    <x v="0"/>
    <n v="20"/>
    <n v="2020"/>
    <x v="0"/>
    <n v="2"/>
    <x v="0"/>
    <s v="No"/>
    <x v="0"/>
    <n v="1"/>
    <x v="0"/>
    <x v="0"/>
    <s v="Yes"/>
    <x v="2"/>
    <x v="0"/>
    <x v="5"/>
    <s v="No"/>
    <s v="No"/>
    <x v="1"/>
    <s v="Software Development"/>
    <n v="1"/>
    <x v="2"/>
    <s v="Single"/>
    <x v="1"/>
    <s v="Family"/>
    <x v="0"/>
    <n v="3.9"/>
    <s v="No"/>
    <n v="3.9"/>
    <n v="12"/>
    <n v="60000"/>
    <x v="1"/>
    <x v="0"/>
    <n v="52"/>
  </r>
  <r>
    <x v="3"/>
    <x v="0"/>
    <n v="20"/>
    <n v="2020"/>
    <x v="0"/>
    <n v="2"/>
    <x v="0"/>
    <s v="Yes"/>
    <x v="2"/>
    <n v="2"/>
    <x v="0"/>
    <x v="0"/>
    <s v="Yes"/>
    <x v="3"/>
    <x v="1"/>
    <x v="5"/>
    <s v="No"/>
    <s v="No"/>
    <x v="0"/>
    <s v="Software Development"/>
    <n v="2"/>
    <x v="2"/>
    <s v="Single"/>
    <x v="1"/>
    <s v="Family"/>
    <x v="0"/>
    <n v="2.68"/>
    <s v="No"/>
    <n v="3.15"/>
    <n v="11"/>
    <n v="40000"/>
    <x v="0"/>
    <x v="0"/>
    <n v="52"/>
  </r>
  <r>
    <x v="3"/>
    <x v="0"/>
    <n v="22"/>
    <n v="2020"/>
    <x v="0"/>
    <n v="2"/>
    <x v="1"/>
    <s v="Yes"/>
    <x v="1"/>
    <n v="1"/>
    <x v="1"/>
    <x v="0"/>
    <s v="Yes"/>
    <x v="6"/>
    <x v="1"/>
    <x v="2"/>
    <s v="No"/>
    <s v="No"/>
    <x v="0"/>
    <s v="Networking"/>
    <n v="2"/>
    <x v="2"/>
    <s v="Single"/>
    <x v="0"/>
    <s v="Family"/>
    <x v="1"/>
    <n v="2.68"/>
    <s v="No"/>
    <n v="3.15"/>
    <n v="11"/>
    <n v="32000"/>
    <x v="0"/>
    <x v="0"/>
    <n v="41"/>
  </r>
  <r>
    <x v="1"/>
    <x v="0"/>
    <n v="20"/>
    <n v="2020"/>
    <x v="0"/>
    <n v="2"/>
    <x v="0"/>
    <s v="No"/>
    <x v="1"/>
    <n v="2"/>
    <x v="0"/>
    <x v="0"/>
    <s v="Yes"/>
    <x v="2"/>
    <x v="0"/>
    <x v="5"/>
    <s v="No"/>
    <s v="No"/>
    <x v="1"/>
    <s v="Software Development"/>
    <n v="1"/>
    <x v="3"/>
    <s v="Single"/>
    <x v="1"/>
    <s v="Family"/>
    <x v="0"/>
    <n v="2.68"/>
    <s v="No"/>
    <n v="3.15"/>
    <n v="11"/>
    <n v="30000"/>
    <x v="0"/>
    <x v="0"/>
    <n v="46"/>
  </r>
  <r>
    <x v="1"/>
    <x v="1"/>
    <n v="20"/>
    <n v="2020"/>
    <x v="0"/>
    <n v="2"/>
    <x v="0"/>
    <s v="Yes"/>
    <x v="1"/>
    <n v="2"/>
    <x v="0"/>
    <x v="0"/>
    <s v="Yes"/>
    <x v="3"/>
    <x v="0"/>
    <x v="8"/>
    <s v="No"/>
    <s v="No"/>
    <x v="1"/>
    <s v="Software Development"/>
    <n v="2"/>
    <x v="2"/>
    <s v="Single"/>
    <x v="0"/>
    <s v="Family"/>
    <x v="0"/>
    <n v="2.68"/>
    <s v="No"/>
    <n v="3.15"/>
    <n v="11"/>
    <n v="40000"/>
    <x v="0"/>
    <x v="0"/>
    <n v="48.2"/>
  </r>
  <r>
    <x v="3"/>
    <x v="0"/>
    <n v="20"/>
    <n v="2020"/>
    <x v="0"/>
    <n v="2"/>
    <x v="0"/>
    <s v="Yes"/>
    <x v="5"/>
    <n v="1"/>
    <x v="1"/>
    <x v="0"/>
    <s v="Yes"/>
    <x v="1"/>
    <x v="0"/>
    <x v="9"/>
    <s v="No"/>
    <s v="No"/>
    <x v="0"/>
    <s v="Software Development"/>
    <n v="2"/>
    <x v="2"/>
    <s v="Single"/>
    <x v="1"/>
    <s v="Family"/>
    <x v="0"/>
    <n v="2.68"/>
    <s v="No"/>
    <n v="3.15"/>
    <n v="11"/>
    <n v="30000"/>
    <x v="0"/>
    <x v="0"/>
    <n v="52"/>
  </r>
  <r>
    <x v="1"/>
    <x v="1"/>
    <n v="20"/>
    <n v="2020"/>
    <x v="0"/>
    <n v="2"/>
    <x v="0"/>
    <s v="Yes"/>
    <x v="2"/>
    <n v="1"/>
    <x v="0"/>
    <x v="0"/>
    <s v="Yes"/>
    <x v="4"/>
    <x v="0"/>
    <x v="10"/>
    <s v="No"/>
    <s v="No"/>
    <x v="1"/>
    <s v="Software Development"/>
    <n v="2"/>
    <x v="2"/>
    <s v="Single"/>
    <x v="0"/>
    <s v="Family"/>
    <x v="0"/>
    <n v="2.68"/>
    <s v="No"/>
    <n v="3.15"/>
    <n v="11"/>
    <n v="40000"/>
    <x v="0"/>
    <x v="0"/>
    <n v="51.6"/>
  </r>
  <r>
    <x v="3"/>
    <x v="0"/>
    <n v="20"/>
    <n v="2020"/>
    <x v="0"/>
    <n v="2"/>
    <x v="0"/>
    <s v="Yes"/>
    <x v="1"/>
    <n v="1"/>
    <x v="0"/>
    <x v="0"/>
    <s v="Yes"/>
    <x v="4"/>
    <x v="0"/>
    <x v="11"/>
    <s v="No"/>
    <s v="No"/>
    <x v="0"/>
    <s v="Software Development"/>
    <n v="1"/>
    <x v="2"/>
    <s v="Single"/>
    <x v="1"/>
    <s v="Family"/>
    <x v="0"/>
    <n v="2.68"/>
    <s v="No"/>
    <n v="3.15"/>
    <n v="11"/>
    <n v="35000"/>
    <x v="0"/>
    <x v="0"/>
    <n v="36"/>
  </r>
  <r>
    <x v="1"/>
    <x v="0"/>
    <n v="21"/>
    <n v="2020"/>
    <x v="0"/>
    <n v="4"/>
    <x v="0"/>
    <s v="Yes"/>
    <x v="0"/>
    <n v="2"/>
    <x v="0"/>
    <x v="0"/>
    <s v="Yes"/>
    <x v="4"/>
    <x v="0"/>
    <x v="9"/>
    <s v="No"/>
    <s v="No"/>
    <x v="0"/>
    <s v="Software Development"/>
    <n v="2"/>
    <x v="3"/>
    <s v="Relationship"/>
    <x v="1"/>
    <s v="Bachelor"/>
    <x v="0"/>
    <n v="2.68"/>
    <s v="No"/>
    <n v="3.15"/>
    <n v="36"/>
    <n v="40000"/>
    <x v="0"/>
    <x v="0"/>
    <n v="49"/>
  </r>
  <r>
    <x v="4"/>
    <x v="0"/>
    <n v="23"/>
    <n v="2017"/>
    <x v="0"/>
    <n v="11"/>
    <x v="1"/>
    <s v="Yes"/>
    <x v="1"/>
    <n v="2"/>
    <x v="0"/>
    <x v="0"/>
    <s v="Yes"/>
    <x v="2"/>
    <x v="0"/>
    <x v="5"/>
    <s v="No"/>
    <s v="No"/>
    <x v="1"/>
    <s v="Software Development"/>
    <n v="2"/>
    <x v="2"/>
    <s v="Single"/>
    <x v="0"/>
    <s v="Bachelor"/>
    <x v="0"/>
    <n v="2.68"/>
    <s v="No"/>
    <n v="3.15"/>
    <n v="126"/>
    <n v="15000"/>
    <x v="0"/>
    <x v="0"/>
    <n v="49"/>
  </r>
  <r>
    <x v="2"/>
    <x v="0"/>
    <n v="21"/>
    <n v="2019"/>
    <x v="0"/>
    <n v="8"/>
    <x v="0"/>
    <s v="No"/>
    <x v="0"/>
    <n v="2"/>
    <x v="0"/>
    <x v="0"/>
    <s v="Yes"/>
    <x v="0"/>
    <x v="0"/>
    <x v="4"/>
    <s v="No"/>
    <s v="No"/>
    <x v="0"/>
    <s v="Software Development"/>
    <n v="1"/>
    <x v="2"/>
    <s v="Single"/>
    <x v="1"/>
    <s v="Bachelor"/>
    <x v="0"/>
    <n v="3.84"/>
    <s v="No"/>
    <n v="3.8"/>
    <n v="80"/>
    <n v="23000"/>
    <x v="1"/>
    <x v="0"/>
    <n v="50"/>
  </r>
  <r>
    <x v="2"/>
    <x v="0"/>
    <n v="21"/>
    <n v="2019"/>
    <x v="0"/>
    <n v="8"/>
    <x v="1"/>
    <s v="Yes"/>
    <x v="0"/>
    <n v="2"/>
    <x v="0"/>
    <x v="0"/>
    <s v="Yes"/>
    <x v="2"/>
    <x v="2"/>
    <x v="4"/>
    <s v="No"/>
    <s v="No"/>
    <x v="0"/>
    <s v="Software Development"/>
    <n v="2"/>
    <x v="2"/>
    <s v="Single"/>
    <x v="0"/>
    <s v="Bachelor"/>
    <x v="0"/>
    <n v="2.68"/>
    <s v="No"/>
    <n v="3.15"/>
    <n v="88"/>
    <n v="62488"/>
    <x v="0"/>
    <x v="0"/>
    <n v="53"/>
  </r>
  <r>
    <x v="0"/>
    <x v="0"/>
    <n v="24"/>
    <n v="2016"/>
    <x v="0"/>
    <n v="12"/>
    <x v="0"/>
    <s v="No"/>
    <x v="2"/>
    <n v="2"/>
    <x v="0"/>
    <x v="0"/>
    <s v="Yes"/>
    <x v="4"/>
    <x v="0"/>
    <x v="7"/>
    <s v="No"/>
    <s v="No"/>
    <x v="0"/>
    <s v="Software Development"/>
    <n v="2"/>
    <x v="5"/>
    <s v="Single"/>
    <x v="0"/>
    <s v="Bachelor"/>
    <x v="0"/>
    <n v="3.31"/>
    <s v="No"/>
    <n v="3.52"/>
    <n v="132"/>
    <n v="350000"/>
    <x v="1"/>
    <x v="0"/>
    <n v="40"/>
  </r>
  <r>
    <x v="2"/>
    <x v="0"/>
    <n v="22"/>
    <n v="2019"/>
    <x v="0"/>
    <n v="8"/>
    <x v="1"/>
    <s v="No"/>
    <x v="0"/>
    <n v="2"/>
    <x v="1"/>
    <x v="0"/>
    <s v="Yes"/>
    <x v="4"/>
    <x v="0"/>
    <x v="5"/>
    <s v="No"/>
    <s v="No"/>
    <x v="0"/>
    <s v="Other"/>
    <n v="2"/>
    <x v="5"/>
    <s v="Single"/>
    <x v="1"/>
    <s v="Bachelor"/>
    <x v="0"/>
    <n v="2.68"/>
    <s v="No"/>
    <n v="3.15"/>
    <n v="88"/>
    <n v="50000"/>
    <x v="0"/>
    <x v="0"/>
    <n v="55"/>
  </r>
  <r>
    <x v="3"/>
    <x v="1"/>
    <n v="21"/>
    <n v="2020"/>
    <x v="0"/>
    <n v="2"/>
    <x v="0"/>
    <s v="No"/>
    <x v="0"/>
    <n v="1"/>
    <x v="1"/>
    <x v="0"/>
    <s v="Yes"/>
    <x v="2"/>
    <x v="2"/>
    <x v="4"/>
    <s v="No"/>
    <s v="No"/>
    <x v="0"/>
    <s v="Software Development"/>
    <n v="1"/>
    <x v="2"/>
    <s v="Single"/>
    <x v="1"/>
    <s v="Family"/>
    <x v="0"/>
    <n v="2.68"/>
    <s v="No"/>
    <n v="3.15"/>
    <n v="11"/>
    <n v="40000"/>
    <x v="0"/>
    <x v="0"/>
    <n v="50"/>
  </r>
  <r>
    <x v="3"/>
    <x v="0"/>
    <n v="20"/>
    <n v="2020"/>
    <x v="0"/>
    <n v="2"/>
    <x v="1"/>
    <s v="No"/>
    <x v="0"/>
    <n v="2"/>
    <x v="0"/>
    <x v="0"/>
    <s v="Yes"/>
    <x v="2"/>
    <x v="0"/>
    <x v="5"/>
    <s v="No"/>
    <s v="No"/>
    <x v="0"/>
    <s v="Software Development"/>
    <n v="5"/>
    <x v="2"/>
    <s v="Relationship"/>
    <x v="1"/>
    <s v="Bachelor"/>
    <x v="0"/>
    <n v="2.68"/>
    <s v="No"/>
    <n v="3.15"/>
    <n v="11"/>
    <n v="35000"/>
    <x v="0"/>
    <x v="0"/>
    <n v="64"/>
  </r>
  <r>
    <x v="2"/>
    <x v="1"/>
    <n v="21"/>
    <n v="2019"/>
    <x v="0"/>
    <n v="8"/>
    <x v="0"/>
    <s v="Yes"/>
    <x v="0"/>
    <n v="2"/>
    <x v="0"/>
    <x v="0"/>
    <s v="Yes"/>
    <x v="2"/>
    <x v="1"/>
    <x v="2"/>
    <s v="No"/>
    <s v="No"/>
    <x v="0"/>
    <s v="Software Development"/>
    <n v="2"/>
    <x v="2"/>
    <s v="Single"/>
    <x v="1"/>
    <s v="Family"/>
    <x v="0"/>
    <n v="2.68"/>
    <s v="No"/>
    <n v="3.15"/>
    <n v="88"/>
    <n v="35000"/>
    <x v="0"/>
    <x v="0"/>
    <n v="47"/>
  </r>
  <r>
    <x v="3"/>
    <x v="0"/>
    <n v="21"/>
    <n v="2020"/>
    <x v="0"/>
    <n v="2"/>
    <x v="1"/>
    <s v="No"/>
    <x v="6"/>
    <n v="2"/>
    <x v="1"/>
    <x v="0"/>
    <s v="Yes"/>
    <x v="3"/>
    <x v="1"/>
    <x v="5"/>
    <s v="No"/>
    <s v="No"/>
    <x v="0"/>
    <s v="Software Development"/>
    <n v="2"/>
    <x v="2"/>
    <s v="Single"/>
    <x v="0"/>
    <s v="Bachelor"/>
    <x v="0"/>
    <n v="2.68"/>
    <s v="No"/>
    <n v="3.15"/>
    <n v="11"/>
    <n v="30000"/>
    <x v="0"/>
    <x v="0"/>
    <n v="70"/>
  </r>
  <r>
    <x v="2"/>
    <x v="0"/>
    <n v="23"/>
    <n v="2018"/>
    <x v="0"/>
    <n v="8"/>
    <x v="0"/>
    <s v="Yes"/>
    <x v="2"/>
    <n v="2"/>
    <x v="1"/>
    <x v="0"/>
    <s v="Yes"/>
    <x v="3"/>
    <x v="0"/>
    <x v="0"/>
    <s v="No"/>
    <s v="No"/>
    <x v="0"/>
    <s v="Software Development"/>
    <n v="1"/>
    <x v="2"/>
    <s v="Single"/>
    <x v="1"/>
    <s v="Family"/>
    <x v="0"/>
    <n v="2.68"/>
    <s v="No"/>
    <n v="3.15"/>
    <n v="88"/>
    <n v="40000"/>
    <x v="0"/>
    <x v="0"/>
    <n v="45"/>
  </r>
  <r>
    <x v="3"/>
    <x v="0"/>
    <n v="20"/>
    <n v="2020"/>
    <x v="0"/>
    <n v="2"/>
    <x v="0"/>
    <s v="Yes"/>
    <x v="5"/>
    <n v="1"/>
    <x v="0"/>
    <x v="0"/>
    <s v="Yes"/>
    <x v="3"/>
    <x v="0"/>
    <x v="4"/>
    <s v="No"/>
    <s v="No"/>
    <x v="0"/>
    <s v="Software Development"/>
    <n v="1"/>
    <x v="2"/>
    <s v="Single"/>
    <x v="0"/>
    <s v="Family"/>
    <x v="0"/>
    <n v="2.68"/>
    <s v="No"/>
    <n v="3.15"/>
    <n v="11"/>
    <n v="35000"/>
    <x v="0"/>
    <x v="0"/>
    <n v="53"/>
  </r>
  <r>
    <x v="2"/>
    <x v="1"/>
    <n v="21"/>
    <n v="2019"/>
    <x v="0"/>
    <n v="8"/>
    <x v="1"/>
    <s v="Yes"/>
    <x v="1"/>
    <n v="1"/>
    <x v="1"/>
    <x v="0"/>
    <s v="Yes"/>
    <x v="2"/>
    <x v="0"/>
    <x v="4"/>
    <s v="No"/>
    <s v="No"/>
    <x v="1"/>
    <s v="Software Development"/>
    <n v="2"/>
    <x v="2"/>
    <s v="Single"/>
    <x v="1"/>
    <s v="Family"/>
    <x v="1"/>
    <n v="2.68"/>
    <s v="No"/>
    <n v="3.15"/>
    <n v="88"/>
    <n v="40000"/>
    <x v="0"/>
    <x v="0"/>
    <n v="47"/>
  </r>
  <r>
    <x v="0"/>
    <x v="1"/>
    <n v="24"/>
    <n v="2017"/>
    <x v="0"/>
    <n v="12"/>
    <x v="1"/>
    <s v="Yes"/>
    <x v="2"/>
    <n v="2"/>
    <x v="0"/>
    <x v="0"/>
    <s v="Yes"/>
    <x v="1"/>
    <x v="0"/>
    <x v="2"/>
    <s v="Yes"/>
    <s v="No"/>
    <x v="0"/>
    <s v="Networking"/>
    <n v="1"/>
    <x v="5"/>
    <s v="Married"/>
    <x v="0"/>
    <s v="Family"/>
    <x v="0"/>
    <n v="2.68"/>
    <s v="No"/>
    <n v="3.15"/>
    <n v="136"/>
    <n v="30000"/>
    <x v="0"/>
    <x v="0"/>
    <n v="41"/>
  </r>
  <r>
    <x v="2"/>
    <x v="0"/>
    <n v="22"/>
    <n v="2019"/>
    <x v="0"/>
    <n v="8"/>
    <x v="1"/>
    <s v="No"/>
    <x v="0"/>
    <n v="1"/>
    <x v="1"/>
    <x v="0"/>
    <s v="Yes"/>
    <x v="3"/>
    <x v="0"/>
    <x v="5"/>
    <s v="No"/>
    <s v="No"/>
    <x v="1"/>
    <s v="Software Development"/>
    <n v="8"/>
    <x v="2"/>
    <s v="Single"/>
    <x v="0"/>
    <s v="Bachelor"/>
    <x v="0"/>
    <n v="2.68"/>
    <s v="No"/>
    <n v="3.15"/>
    <n v="88"/>
    <n v="35000"/>
    <x v="0"/>
    <x v="0"/>
    <n v="73"/>
  </r>
  <r>
    <x v="2"/>
    <x v="0"/>
    <n v="21"/>
    <n v="2019"/>
    <x v="0"/>
    <n v="8"/>
    <x v="1"/>
    <s v="Yes"/>
    <x v="5"/>
    <n v="1"/>
    <x v="0"/>
    <x v="0"/>
    <s v="Yes"/>
    <x v="2"/>
    <x v="1"/>
    <x v="4"/>
    <s v="No"/>
    <s v="No"/>
    <x v="0"/>
    <s v="Software Development"/>
    <n v="2"/>
    <x v="2"/>
    <s v="Single"/>
    <x v="1"/>
    <s v="Bachelor"/>
    <x v="0"/>
    <n v="2.68"/>
    <s v="No"/>
    <n v="3.15"/>
    <n v="88"/>
    <n v="25000"/>
    <x v="0"/>
    <x v="0"/>
    <n v="56"/>
  </r>
  <r>
    <x v="3"/>
    <x v="1"/>
    <n v="20"/>
    <n v="2020"/>
    <x v="0"/>
    <n v="2"/>
    <x v="0"/>
    <s v="Yes"/>
    <x v="3"/>
    <n v="3"/>
    <x v="0"/>
    <x v="0"/>
    <s v="No"/>
    <x v="2"/>
    <x v="1"/>
    <x v="10"/>
    <s v="No"/>
    <s v="No"/>
    <x v="0"/>
    <s v="Software Development"/>
    <n v="2"/>
    <x v="2"/>
    <s v="Single"/>
    <x v="0"/>
    <s v="Family"/>
    <x v="1"/>
    <n v="2.68"/>
    <s v="No"/>
    <n v="3.15"/>
    <n v="11"/>
    <n v="600000"/>
    <x v="0"/>
    <x v="0"/>
    <n v="60.6"/>
  </r>
  <r>
    <x v="3"/>
    <x v="1"/>
    <n v="20"/>
    <n v="2019"/>
    <x v="0"/>
    <n v="2"/>
    <x v="0"/>
    <s v="Yes"/>
    <x v="5"/>
    <n v="3"/>
    <x v="0"/>
    <x v="0"/>
    <s v="Yes"/>
    <x v="4"/>
    <x v="1"/>
    <x v="5"/>
    <s v="No"/>
    <s v="No"/>
    <x v="0"/>
    <s v="Software Development"/>
    <n v="2"/>
    <x v="2"/>
    <s v="Engaged"/>
    <x v="1"/>
    <s v="Family"/>
    <x v="0"/>
    <n v="2.68"/>
    <s v="No"/>
    <n v="3.15"/>
    <n v="11"/>
    <n v="35000"/>
    <x v="0"/>
    <x v="0"/>
    <n v="58"/>
  </r>
  <r>
    <x v="2"/>
    <x v="1"/>
    <n v="20"/>
    <n v="2019"/>
    <x v="0"/>
    <n v="8"/>
    <x v="0"/>
    <s v="No"/>
    <x v="1"/>
    <n v="1"/>
    <x v="0"/>
    <x v="0"/>
    <s v="Yes"/>
    <x v="0"/>
    <x v="0"/>
    <x v="2"/>
    <s v="No"/>
    <s v="No"/>
    <x v="0"/>
    <s v="Software Development"/>
    <n v="2"/>
    <x v="2"/>
    <s v="Married"/>
    <x v="1"/>
    <s v="Bachelor"/>
    <x v="0"/>
    <n v="3.49"/>
    <s v="No"/>
    <n v="3.67"/>
    <n v="71"/>
    <n v="40000"/>
    <x v="1"/>
    <x v="0"/>
    <n v="41"/>
  </r>
  <r>
    <x v="2"/>
    <x v="0"/>
    <n v="21"/>
    <n v="2019"/>
    <x v="0"/>
    <n v="8"/>
    <x v="1"/>
    <s v="No"/>
    <x v="5"/>
    <n v="1"/>
    <x v="1"/>
    <x v="0"/>
    <s v="Yes"/>
    <x v="2"/>
    <x v="0"/>
    <x v="5"/>
    <s v="No"/>
    <s v="No"/>
    <x v="0"/>
    <s v="Software Development"/>
    <n v="2"/>
    <x v="4"/>
    <s v="Single"/>
    <x v="1"/>
    <s v="Bachelor"/>
    <x v="0"/>
    <n v="3.07"/>
    <s v="No"/>
    <n v="2.74"/>
    <n v="85"/>
    <n v="20000"/>
    <x v="0"/>
    <x v="0"/>
    <n v="58"/>
  </r>
  <r>
    <x v="4"/>
    <x v="0"/>
    <n v="21"/>
    <n v="2019"/>
    <x v="0"/>
    <n v="8"/>
    <x v="1"/>
    <s v="Yes"/>
    <x v="0"/>
    <n v="1"/>
    <x v="0"/>
    <x v="0"/>
    <s v="Yes"/>
    <x v="7"/>
    <x v="0"/>
    <x v="9"/>
    <s v="No"/>
    <s v="No"/>
    <x v="0"/>
    <s v="Graphics Designing"/>
    <n v="1"/>
    <x v="4"/>
    <s v="Single"/>
    <x v="1"/>
    <s v="Family"/>
    <x v="0"/>
    <n v="2.68"/>
    <s v="No"/>
    <n v="3.15"/>
    <n v="88"/>
    <n v="20000"/>
    <x v="0"/>
    <x v="0"/>
    <n v="46"/>
  </r>
  <r>
    <x v="4"/>
    <x v="1"/>
    <n v="21"/>
    <n v="2019"/>
    <x v="0"/>
    <n v="8"/>
    <x v="1"/>
    <s v="Yes"/>
    <x v="0"/>
    <n v="1"/>
    <x v="0"/>
    <x v="0"/>
    <s v="Yes"/>
    <x v="3"/>
    <x v="0"/>
    <x v="4"/>
    <s v="No"/>
    <s v="No"/>
    <x v="0"/>
    <s v="Software Development"/>
    <n v="1"/>
    <x v="4"/>
    <s v="Single"/>
    <x v="1"/>
    <s v="Family"/>
    <x v="0"/>
    <n v="3.76"/>
    <s v="No"/>
    <n v="3.5"/>
    <n v="83"/>
    <n v="92000"/>
    <x v="1"/>
    <x v="0"/>
    <n v="50"/>
  </r>
  <r>
    <x v="2"/>
    <x v="0"/>
    <n v="22"/>
    <n v="2019"/>
    <x v="0"/>
    <n v="8"/>
    <x v="1"/>
    <s v="Yes"/>
    <x v="0"/>
    <n v="1"/>
    <x v="0"/>
    <x v="1"/>
    <s v="Yes"/>
    <x v="3"/>
    <x v="0"/>
    <x v="8"/>
    <s v="No"/>
    <s v="No"/>
    <x v="1"/>
    <s v="Software Development"/>
    <n v="2"/>
    <x v="2"/>
    <s v="Single"/>
    <x v="1"/>
    <s v="Family"/>
    <x v="0"/>
    <n v="2.7"/>
    <s v="No"/>
    <n v="2.8"/>
    <n v="80"/>
    <n v="35000"/>
    <x v="0"/>
    <x v="0"/>
    <n v="54.2"/>
  </r>
  <r>
    <x v="2"/>
    <x v="0"/>
    <n v="22"/>
    <n v="2019"/>
    <x v="0"/>
    <n v="8"/>
    <x v="1"/>
    <s v="No"/>
    <x v="2"/>
    <n v="1"/>
    <x v="0"/>
    <x v="0"/>
    <s v="Yes"/>
    <x v="2"/>
    <x v="0"/>
    <x v="4"/>
    <s v="No"/>
    <s v="No"/>
    <x v="1"/>
    <s v="Software Development"/>
    <n v="2"/>
    <x v="4"/>
    <s v="Single"/>
    <x v="1"/>
    <s v="Bachelor"/>
    <x v="0"/>
    <n v="2.68"/>
    <s v="No"/>
    <n v="3.15"/>
    <n v="88"/>
    <n v="20000"/>
    <x v="0"/>
    <x v="0"/>
    <n v="50"/>
  </r>
  <r>
    <x v="2"/>
    <x v="0"/>
    <n v="23"/>
    <n v="2017"/>
    <x v="0"/>
    <n v="8"/>
    <x v="1"/>
    <s v="Yes"/>
    <x v="1"/>
    <n v="1"/>
    <x v="1"/>
    <x v="0"/>
    <s v="Yes"/>
    <x v="3"/>
    <x v="0"/>
    <x v="10"/>
    <s v="No"/>
    <s v="No"/>
    <x v="0"/>
    <s v="Software Development"/>
    <n v="2"/>
    <x v="2"/>
    <s v="Single"/>
    <x v="0"/>
    <s v="Family"/>
    <x v="0"/>
    <n v="2.68"/>
    <s v="No"/>
    <n v="3.15"/>
    <n v="88"/>
    <n v="15000"/>
    <x v="0"/>
    <x v="0"/>
    <n v="48.6"/>
  </r>
  <r>
    <x v="2"/>
    <x v="0"/>
    <n v="23"/>
    <n v="2017"/>
    <x v="0"/>
    <n v="8"/>
    <x v="0"/>
    <s v="Yes"/>
    <x v="2"/>
    <n v="1"/>
    <x v="1"/>
    <x v="0"/>
    <s v="Yes"/>
    <x v="3"/>
    <x v="0"/>
    <x v="1"/>
    <s v="No"/>
    <s v="No"/>
    <x v="1"/>
    <s v="Networking"/>
    <n v="2"/>
    <x v="4"/>
    <s v="Single"/>
    <x v="0"/>
    <s v="Family"/>
    <x v="0"/>
    <n v="2.68"/>
    <s v="No"/>
    <n v="3.15"/>
    <n v="88"/>
    <n v="30000"/>
    <x v="0"/>
    <x v="0"/>
    <n v="50.400000000000006"/>
  </r>
  <r>
    <x v="3"/>
    <x v="0"/>
    <n v="21"/>
    <n v="2020"/>
    <x v="0"/>
    <n v="2"/>
    <x v="1"/>
    <s v="Yes"/>
    <x v="0"/>
    <n v="1"/>
    <x v="0"/>
    <x v="0"/>
    <s v="Yes"/>
    <x v="3"/>
    <x v="0"/>
    <x v="4"/>
    <s v="No"/>
    <s v="No"/>
    <x v="0"/>
    <s v="Software Development"/>
    <n v="2"/>
    <x v="2"/>
    <s v="Single"/>
    <x v="0"/>
    <s v="Family"/>
    <x v="0"/>
    <n v="3.65"/>
    <s v="No"/>
    <n v="3.15"/>
    <n v="11"/>
    <n v="45000"/>
    <x v="0"/>
    <x v="0"/>
    <n v="53"/>
  </r>
  <r>
    <x v="2"/>
    <x v="0"/>
    <n v="22"/>
    <n v="2019"/>
    <x v="0"/>
    <n v="8"/>
    <x v="1"/>
    <s v="Yes"/>
    <x v="1"/>
    <n v="1"/>
    <x v="0"/>
    <x v="0"/>
    <s v="Yes"/>
    <x v="8"/>
    <x v="0"/>
    <x v="5"/>
    <s v="No"/>
    <s v="No"/>
    <x v="0"/>
    <s v="Software Development"/>
    <n v="1"/>
    <x v="6"/>
    <s v="Relationship"/>
    <x v="1"/>
    <s v="Family"/>
    <x v="0"/>
    <n v="2.68"/>
    <s v="No"/>
    <n v="3.15"/>
    <n v="88"/>
    <n v="90000"/>
    <x v="0"/>
    <x v="0"/>
    <n v="46"/>
  </r>
  <r>
    <x v="2"/>
    <x v="1"/>
    <n v="21"/>
    <n v="2019"/>
    <x v="0"/>
    <n v="8"/>
    <x v="1"/>
    <s v="No"/>
    <x v="2"/>
    <n v="2"/>
    <x v="0"/>
    <x v="0"/>
    <s v="Yes"/>
    <x v="2"/>
    <x v="1"/>
    <x v="2"/>
    <s v="No"/>
    <s v="No"/>
    <x v="1"/>
    <s v="Software Development"/>
    <n v="1"/>
    <x v="5"/>
    <s v="Single"/>
    <x v="1"/>
    <s v="Family"/>
    <x v="0"/>
    <n v="2.68"/>
    <s v="No"/>
    <n v="3.15"/>
    <n v="88"/>
    <n v="35000"/>
    <x v="0"/>
    <x v="0"/>
    <n v="41"/>
  </r>
  <r>
    <x v="2"/>
    <x v="0"/>
    <n v="20"/>
    <n v="2019"/>
    <x v="0"/>
    <n v="8"/>
    <x v="0"/>
    <s v="Yes"/>
    <x v="2"/>
    <n v="1"/>
    <x v="1"/>
    <x v="0"/>
    <s v="Yes"/>
    <x v="1"/>
    <x v="1"/>
    <x v="4"/>
    <s v="No"/>
    <s v="No"/>
    <x v="1"/>
    <s v="Software Development"/>
    <n v="3"/>
    <x v="2"/>
    <s v="Single"/>
    <x v="1"/>
    <s v="Bachelor"/>
    <x v="0"/>
    <n v="2.68"/>
    <s v="No"/>
    <n v="3.15"/>
    <n v="88"/>
    <n v="20000"/>
    <x v="0"/>
    <x v="0"/>
    <n v="53"/>
  </r>
  <r>
    <x v="1"/>
    <x v="0"/>
    <n v="21"/>
    <n v="2020"/>
    <x v="0"/>
    <n v="2"/>
    <x v="0"/>
    <s v="Yes"/>
    <x v="5"/>
    <n v="2"/>
    <x v="0"/>
    <x v="0"/>
    <s v="Yes"/>
    <x v="2"/>
    <x v="0"/>
    <x v="3"/>
    <s v="No"/>
    <s v="No"/>
    <x v="0"/>
    <s v="Software Development"/>
    <n v="2"/>
    <x v="2"/>
    <s v="Single"/>
    <x v="0"/>
    <s v="Bachelor"/>
    <x v="0"/>
    <n v="2.68"/>
    <s v="No"/>
    <n v="3.15"/>
    <n v="11"/>
    <n v="100000"/>
    <x v="0"/>
    <x v="0"/>
    <n v="53.2"/>
  </r>
  <r>
    <x v="4"/>
    <x v="0"/>
    <n v="23"/>
    <n v="2018"/>
    <x v="0"/>
    <n v="11"/>
    <x v="0"/>
    <s v="No"/>
    <x v="4"/>
    <n v="2"/>
    <x v="0"/>
    <x v="0"/>
    <s v="Yes"/>
    <x v="1"/>
    <x v="0"/>
    <x v="5"/>
    <s v="No"/>
    <s v="No"/>
    <x v="1"/>
    <s v="Software Development"/>
    <n v="2"/>
    <x v="2"/>
    <s v="Single"/>
    <x v="0"/>
    <s v="Bachelor"/>
    <x v="0"/>
    <n v="3.84"/>
    <s v="No"/>
    <n v="3.1"/>
    <n v="73"/>
    <n v="30000"/>
    <x v="0"/>
    <x v="0"/>
    <n v="64"/>
  </r>
  <r>
    <x v="3"/>
    <x v="1"/>
    <n v="20"/>
    <n v="2020"/>
    <x v="0"/>
    <n v="2"/>
    <x v="1"/>
    <s v="No"/>
    <x v="2"/>
    <n v="1"/>
    <x v="0"/>
    <x v="0"/>
    <s v="Yes"/>
    <x v="5"/>
    <x v="0"/>
    <x v="2"/>
    <s v="Yes"/>
    <s v="No"/>
    <x v="1"/>
    <s v="Software Development"/>
    <n v="2"/>
    <x v="2"/>
    <s v="Single"/>
    <x v="1"/>
    <s v="Bachelor"/>
    <x v="0"/>
    <n v="2.68"/>
    <s v="No"/>
    <n v="3.15"/>
    <n v="11"/>
    <n v="70000"/>
    <x v="0"/>
    <x v="0"/>
    <n v="44"/>
  </r>
  <r>
    <x v="0"/>
    <x v="1"/>
    <n v="24"/>
    <n v="2016"/>
    <x v="0"/>
    <n v="10"/>
    <x v="1"/>
    <s v="Yes"/>
    <x v="2"/>
    <n v="1"/>
    <x v="1"/>
    <x v="0"/>
    <s v="Yes"/>
    <x v="4"/>
    <x v="1"/>
    <x v="0"/>
    <s v="Yes"/>
    <s v="No"/>
    <x v="1"/>
    <s v="Software Development"/>
    <n v="4"/>
    <x v="2"/>
    <s v="Single"/>
    <x v="1"/>
    <s v="Family"/>
    <x v="0"/>
    <n v="2.68"/>
    <s v="No"/>
    <n v="3.15"/>
    <n v="113"/>
    <n v="40000"/>
    <x v="0"/>
    <x v="0"/>
    <n v="54"/>
  </r>
  <r>
    <x v="3"/>
    <x v="1"/>
    <n v="21"/>
    <n v="2020"/>
    <x v="0"/>
    <n v="2"/>
    <x v="0"/>
    <s v="No"/>
    <x v="2"/>
    <n v="4"/>
    <x v="0"/>
    <x v="0"/>
    <s v="Yes"/>
    <x v="3"/>
    <x v="1"/>
    <x v="5"/>
    <s v="No"/>
    <s v="No"/>
    <x v="0"/>
    <s v="Software Development"/>
    <n v="2"/>
    <x v="2"/>
    <s v="Engaged"/>
    <x v="0"/>
    <s v="Bachelor"/>
    <x v="0"/>
    <n v="2.68"/>
    <s v="No"/>
    <n v="3.15"/>
    <n v="11"/>
    <n v="10000"/>
    <x v="0"/>
    <x v="0"/>
    <n v="52"/>
  </r>
  <r>
    <x v="1"/>
    <x v="0"/>
    <n v="20"/>
    <n v="2020"/>
    <x v="0"/>
    <n v="4"/>
    <x v="0"/>
    <s v="Yes"/>
    <x v="2"/>
    <n v="1"/>
    <x v="0"/>
    <x v="0"/>
    <s v="Yes"/>
    <x v="2"/>
    <x v="2"/>
    <x v="12"/>
    <s v="No"/>
    <s v="No"/>
    <x v="0"/>
    <s v="Software Development"/>
    <n v="4"/>
    <x v="2"/>
    <s v="Relationship"/>
    <x v="1"/>
    <s v="Bachelor"/>
    <x v="0"/>
    <n v="2.68"/>
    <s v="No"/>
    <n v="3.15"/>
    <n v="36"/>
    <n v="40000"/>
    <x v="0"/>
    <x v="0"/>
    <n v="50.800000000000004"/>
  </r>
  <r>
    <x v="1"/>
    <x v="0"/>
    <n v="22"/>
    <n v="2020"/>
    <x v="0"/>
    <n v="4"/>
    <x v="0"/>
    <s v="Yes"/>
    <x v="1"/>
    <n v="1"/>
    <x v="0"/>
    <x v="0"/>
    <s v="Yes"/>
    <x v="3"/>
    <x v="0"/>
    <x v="0"/>
    <s v="No"/>
    <s v="No"/>
    <x v="1"/>
    <s v="Software Development"/>
    <n v="0"/>
    <x v="2"/>
    <s v="Single"/>
    <x v="1"/>
    <s v="Family"/>
    <x v="0"/>
    <n v="2.68"/>
    <s v="No"/>
    <n v="3.15"/>
    <n v="36"/>
    <n v="20000"/>
    <x v="0"/>
    <x v="0"/>
    <n v="39"/>
  </r>
  <r>
    <x v="1"/>
    <x v="0"/>
    <n v="20"/>
    <n v="2019"/>
    <x v="0"/>
    <n v="5"/>
    <x v="1"/>
    <s v="No"/>
    <x v="0"/>
    <n v="2"/>
    <x v="0"/>
    <x v="0"/>
    <s v="Yes"/>
    <x v="3"/>
    <x v="0"/>
    <x v="8"/>
    <s v="No"/>
    <s v="No"/>
    <x v="1"/>
    <s v="Software Development"/>
    <n v="8"/>
    <x v="5"/>
    <s v="Single"/>
    <x v="0"/>
    <s v="Bachelor"/>
    <x v="0"/>
    <n v="2.68"/>
    <s v="No"/>
    <n v="3.15"/>
    <n v="50"/>
    <n v="22000"/>
    <x v="0"/>
    <x v="0"/>
    <n v="72.2"/>
  </r>
  <r>
    <x v="4"/>
    <x v="0"/>
    <n v="23"/>
    <n v="2017"/>
    <x v="0"/>
    <n v="11"/>
    <x v="1"/>
    <s v="Yes"/>
    <x v="0"/>
    <n v="2"/>
    <x v="1"/>
    <x v="0"/>
    <s v="Yes"/>
    <x v="3"/>
    <x v="0"/>
    <x v="9"/>
    <s v="Yes"/>
    <s v="No"/>
    <x v="0"/>
    <s v="Software Development"/>
    <n v="2"/>
    <x v="2"/>
    <s v="Single"/>
    <x v="1"/>
    <s v="Bachelor"/>
    <x v="1"/>
    <n v="2.68"/>
    <s v="No"/>
    <n v="3.15"/>
    <n v="126"/>
    <n v="45000"/>
    <x v="0"/>
    <x v="0"/>
    <n v="49"/>
  </r>
  <r>
    <x v="2"/>
    <x v="1"/>
    <n v="21"/>
    <n v="2019"/>
    <x v="0"/>
    <n v="8"/>
    <x v="1"/>
    <s v="Yes"/>
    <x v="5"/>
    <n v="1"/>
    <x v="0"/>
    <x v="0"/>
    <s v="Yes"/>
    <x v="1"/>
    <x v="0"/>
    <x v="0"/>
    <s v="No"/>
    <s v="No"/>
    <x v="0"/>
    <s v="Software Development"/>
    <n v="1"/>
    <x v="2"/>
    <s v="Single"/>
    <x v="1"/>
    <s v="Family"/>
    <x v="0"/>
    <n v="2.68"/>
    <s v="No"/>
    <n v="3.15"/>
    <n v="88"/>
    <n v="40000"/>
    <x v="0"/>
    <x v="0"/>
    <n v="51"/>
  </r>
  <r>
    <x v="3"/>
    <x v="1"/>
    <n v="20"/>
    <n v="2020"/>
    <x v="0"/>
    <n v="2"/>
    <x v="0"/>
    <s v="Yes"/>
    <x v="2"/>
    <n v="1"/>
    <x v="0"/>
    <x v="0"/>
    <s v="Yes"/>
    <x v="0"/>
    <x v="0"/>
    <x v="0"/>
    <s v="No"/>
    <s v="No"/>
    <x v="0"/>
    <s v="Software Development"/>
    <n v="1"/>
    <x v="2"/>
    <s v="Single"/>
    <x v="1"/>
    <s v="Family"/>
    <x v="1"/>
    <n v="2.68"/>
    <s v="No"/>
    <n v="3.15"/>
    <n v="11"/>
    <n v="50000"/>
    <x v="0"/>
    <x v="0"/>
    <n v="45"/>
  </r>
  <r>
    <x v="2"/>
    <x v="1"/>
    <n v="22"/>
    <n v="2019"/>
    <x v="0"/>
    <n v="8"/>
    <x v="0"/>
    <s v="No"/>
    <x v="0"/>
    <n v="1"/>
    <x v="0"/>
    <x v="0"/>
    <s v="Yes"/>
    <x v="4"/>
    <x v="0"/>
    <x v="0"/>
    <s v="No"/>
    <s v="No"/>
    <x v="0"/>
    <s v="Software Development"/>
    <n v="2"/>
    <x v="2"/>
    <s v="Single"/>
    <x v="1"/>
    <s v="Bachelor"/>
    <x v="0"/>
    <n v="2.68"/>
    <s v="No"/>
    <n v="3.15"/>
    <n v="88"/>
    <n v="50000"/>
    <x v="0"/>
    <x v="0"/>
    <n v="51"/>
  </r>
  <r>
    <x v="0"/>
    <x v="0"/>
    <n v="23"/>
    <n v="2017"/>
    <x v="0"/>
    <n v="13"/>
    <x v="1"/>
    <s v="No"/>
    <x v="2"/>
    <n v="4"/>
    <x v="0"/>
    <x v="0"/>
    <s v="Yes"/>
    <x v="5"/>
    <x v="1"/>
    <x v="3"/>
    <s v="Yes"/>
    <s v="No"/>
    <x v="0"/>
    <s v="Networking"/>
    <n v="1"/>
    <x v="2"/>
    <s v="Relationship"/>
    <x v="1"/>
    <s v="Bachelor"/>
    <x v="0"/>
    <n v="2.68"/>
    <s v="No"/>
    <n v="3.15"/>
    <n v="112"/>
    <n v="30000"/>
    <x v="0"/>
    <x v="0"/>
    <n v="44.2"/>
  </r>
  <r>
    <x v="3"/>
    <x v="0"/>
    <n v="20"/>
    <n v="2020"/>
    <x v="0"/>
    <n v="2"/>
    <x v="0"/>
    <s v="No"/>
    <x v="0"/>
    <n v="4"/>
    <x v="0"/>
    <x v="0"/>
    <s v="Yes"/>
    <x v="3"/>
    <x v="1"/>
    <x v="4"/>
    <s v="No"/>
    <s v="No"/>
    <x v="0"/>
    <s v="Software Development"/>
    <n v="5"/>
    <x v="2"/>
    <s v="Single"/>
    <x v="1"/>
    <s v="Bachelor"/>
    <x v="0"/>
    <n v="2.68"/>
    <s v="No"/>
    <n v="3.15"/>
    <n v="11"/>
    <n v="40000"/>
    <x v="0"/>
    <x v="0"/>
    <n v="62"/>
  </r>
  <r>
    <x v="1"/>
    <x v="0"/>
    <n v="19"/>
    <n v="2020"/>
    <x v="0"/>
    <n v="4"/>
    <x v="0"/>
    <s v="No"/>
    <x v="1"/>
    <n v="1"/>
    <x v="0"/>
    <x v="0"/>
    <s v="No"/>
    <x v="3"/>
    <x v="0"/>
    <x v="4"/>
    <s v="No"/>
    <s v="No"/>
    <x v="0"/>
    <s v="Software Development"/>
    <n v="1"/>
    <x v="2"/>
    <s v="Single"/>
    <x v="0"/>
    <s v="Family"/>
    <x v="0"/>
    <n v="3.5"/>
    <s v="No"/>
    <n v="3.58"/>
    <n v="35"/>
    <n v="30000"/>
    <x v="1"/>
    <x v="0"/>
    <n v="44"/>
  </r>
  <r>
    <x v="1"/>
    <x v="0"/>
    <n v="21"/>
    <n v="2019"/>
    <x v="0"/>
    <n v="4"/>
    <x v="0"/>
    <s v="Yes"/>
    <x v="5"/>
    <n v="2"/>
    <x v="0"/>
    <x v="0"/>
    <s v="Yes"/>
    <x v="3"/>
    <x v="0"/>
    <x v="0"/>
    <s v="No"/>
    <s v="No"/>
    <x v="1"/>
    <s v="Software Development"/>
    <n v="2"/>
    <x v="2"/>
    <s v="Single"/>
    <x v="0"/>
    <s v="Family"/>
    <x v="0"/>
    <n v="3.38"/>
    <s v="No"/>
    <n v="3.82"/>
    <n v="27"/>
    <n v="40000"/>
    <x v="1"/>
    <x v="0"/>
    <n v="54"/>
  </r>
  <r>
    <x v="2"/>
    <x v="0"/>
    <n v="21"/>
    <n v="2019"/>
    <x v="0"/>
    <n v="8"/>
    <x v="1"/>
    <s v="No"/>
    <x v="2"/>
    <n v="2"/>
    <x v="0"/>
    <x v="0"/>
    <s v="Yes"/>
    <x v="3"/>
    <x v="0"/>
    <x v="0"/>
    <s v="Yes"/>
    <s v="Yes"/>
    <x v="0"/>
    <s v="Software Development"/>
    <n v="1"/>
    <x v="5"/>
    <s v="Single"/>
    <x v="1"/>
    <s v="Bachelor"/>
    <x v="0"/>
    <n v="2.68"/>
    <s v="No"/>
    <n v="3.15"/>
    <n v="88"/>
    <n v="30000"/>
    <x v="0"/>
    <x v="0"/>
    <n v="45"/>
  </r>
  <r>
    <x v="4"/>
    <x v="1"/>
    <n v="22"/>
    <n v="2017"/>
    <x v="0"/>
    <n v="10"/>
    <x v="1"/>
    <s v="No"/>
    <x v="8"/>
    <n v="3"/>
    <x v="1"/>
    <x v="0"/>
    <s v="Yes"/>
    <x v="3"/>
    <x v="0"/>
    <x v="3"/>
    <s v="Yes"/>
    <s v="No"/>
    <x v="1"/>
    <s v="Database"/>
    <n v="1"/>
    <x v="6"/>
    <s v="Single"/>
    <x v="1"/>
    <s v="Bachelor"/>
    <x v="0"/>
    <n v="2.68"/>
    <s v="No"/>
    <n v="3.15"/>
    <n v="113"/>
    <n v="62488"/>
    <x v="0"/>
    <x v="0"/>
    <n v="65.2"/>
  </r>
  <r>
    <x v="3"/>
    <x v="1"/>
    <n v="19"/>
    <n v="2020"/>
    <x v="0"/>
    <n v="2"/>
    <x v="0"/>
    <s v="Yes"/>
    <x v="0"/>
    <n v="2"/>
    <x v="0"/>
    <x v="0"/>
    <s v="Yes"/>
    <x v="2"/>
    <x v="1"/>
    <x v="5"/>
    <s v="No"/>
    <s v="No"/>
    <x v="0"/>
    <s v="Software Development"/>
    <n v="3"/>
    <x v="2"/>
    <s v="Single"/>
    <x v="0"/>
    <s v="Family"/>
    <x v="0"/>
    <n v="2.68"/>
    <s v="No"/>
    <n v="3.15"/>
    <n v="11"/>
    <n v="35000"/>
    <x v="0"/>
    <x v="0"/>
    <n v="58"/>
  </r>
  <r>
    <x v="3"/>
    <x v="1"/>
    <n v="22"/>
    <n v="2022"/>
    <x v="0"/>
    <n v="4"/>
    <x v="0"/>
    <s v="No"/>
    <x v="1"/>
    <n v="1"/>
    <x v="0"/>
    <x v="0"/>
    <s v="Yes"/>
    <x v="9"/>
    <x v="1"/>
    <x v="2"/>
    <s v="Yes"/>
    <s v="No"/>
    <x v="1"/>
    <s v="Software Development"/>
    <n v="2"/>
    <x v="2"/>
    <s v="Single"/>
    <x v="1"/>
    <s v="Family"/>
    <x v="0"/>
    <n v="2.68"/>
    <s v="No"/>
    <n v="3.15"/>
    <n v="36"/>
    <n v="100000"/>
    <x v="0"/>
    <x v="0"/>
    <n v="41"/>
  </r>
  <r>
    <x v="1"/>
    <x v="0"/>
    <n v="22"/>
    <n v="2018"/>
    <x v="0"/>
    <n v="4"/>
    <x v="0"/>
    <s v="No"/>
    <x v="0"/>
    <n v="2"/>
    <x v="0"/>
    <x v="0"/>
    <s v="Yes"/>
    <x v="1"/>
    <x v="0"/>
    <x v="2"/>
    <s v="No"/>
    <s v="No"/>
    <x v="0"/>
    <s v="Networking"/>
    <n v="3"/>
    <x v="5"/>
    <s v="Single"/>
    <x v="1"/>
    <s v="Bachelor"/>
    <x v="0"/>
    <n v="2.68"/>
    <s v="No"/>
    <n v="3.15"/>
    <n v="36"/>
    <n v="30000"/>
    <x v="0"/>
    <x v="0"/>
    <n v="50"/>
  </r>
  <r>
    <x v="4"/>
    <x v="1"/>
    <n v="21"/>
    <n v="2019"/>
    <x v="0"/>
    <n v="9"/>
    <x v="1"/>
    <s v="No"/>
    <x v="2"/>
    <n v="3"/>
    <x v="0"/>
    <x v="0"/>
    <s v="Yes"/>
    <x v="1"/>
    <x v="1"/>
    <x v="13"/>
    <s v="Yes"/>
    <s v="No"/>
    <x v="0"/>
    <s v="Software Development"/>
    <n v="1"/>
    <x v="2"/>
    <s v="Single"/>
    <x v="0"/>
    <s v="Bachelor"/>
    <x v="0"/>
    <n v="1.89"/>
    <s v="No"/>
    <n v="2.69"/>
    <n v="86"/>
    <n v="20000"/>
    <x v="0"/>
    <x v="0"/>
    <n v="45.800000000000004"/>
  </r>
  <r>
    <x v="1"/>
    <x v="1"/>
    <n v="19"/>
    <n v="2020"/>
    <x v="0"/>
    <n v="4"/>
    <x v="0"/>
    <s v="No"/>
    <x v="7"/>
    <n v="3"/>
    <x v="0"/>
    <x v="0"/>
    <s v="No"/>
    <x v="1"/>
    <x v="2"/>
    <x v="0"/>
    <s v="No"/>
    <s v="No"/>
    <x v="0"/>
    <s v="Software Development"/>
    <n v="1"/>
    <x v="2"/>
    <s v="Single"/>
    <x v="0"/>
    <s v="Family"/>
    <x v="0"/>
    <n v="3.7"/>
    <s v="No"/>
    <n v="3.77"/>
    <n v="35"/>
    <n v="62488"/>
    <x v="1"/>
    <x v="0"/>
    <n v="60"/>
  </r>
  <r>
    <x v="3"/>
    <x v="0"/>
    <n v="19"/>
    <n v="2020"/>
    <x v="0"/>
    <n v="2"/>
    <x v="0"/>
    <s v="No"/>
    <x v="5"/>
    <n v="2"/>
    <x v="0"/>
    <x v="0"/>
    <s v="Yes"/>
    <x v="2"/>
    <x v="0"/>
    <x v="4"/>
    <s v="No"/>
    <s v="No"/>
    <x v="0"/>
    <s v="Software Development"/>
    <n v="2"/>
    <x v="2"/>
    <s v="Single"/>
    <x v="0"/>
    <s v="Family"/>
    <x v="0"/>
    <n v="2.68"/>
    <s v="No"/>
    <n v="3.15"/>
    <n v="11"/>
    <n v="30000"/>
    <x v="0"/>
    <x v="0"/>
    <n v="56"/>
  </r>
  <r>
    <x v="3"/>
    <x v="0"/>
    <n v="21"/>
    <n v="2019"/>
    <x v="0"/>
    <n v="2"/>
    <x v="0"/>
    <s v="No"/>
    <x v="3"/>
    <n v="2"/>
    <x v="0"/>
    <x v="0"/>
    <s v="Yes"/>
    <x v="1"/>
    <x v="0"/>
    <x v="4"/>
    <s v="No"/>
    <s v="No"/>
    <x v="1"/>
    <s v="Software Development"/>
    <n v="2"/>
    <x v="2"/>
    <s v="Single"/>
    <x v="1"/>
    <s v="Bachelor"/>
    <x v="0"/>
    <n v="2.68"/>
    <s v="No"/>
    <n v="3.15"/>
    <n v="11"/>
    <n v="20000"/>
    <x v="0"/>
    <x v="0"/>
    <n v="59"/>
  </r>
  <r>
    <x v="4"/>
    <x v="0"/>
    <n v="25"/>
    <n v="2018"/>
    <x v="0"/>
    <n v="11"/>
    <x v="0"/>
    <s v="No"/>
    <x v="2"/>
    <n v="1"/>
    <x v="0"/>
    <x v="0"/>
    <s v="Yes"/>
    <x v="2"/>
    <x v="0"/>
    <x v="7"/>
    <s v="Yes"/>
    <s v="No"/>
    <x v="1"/>
    <s v="Software Development"/>
    <n v="4"/>
    <x v="2"/>
    <s v="Single"/>
    <x v="1"/>
    <s v="Bachelor"/>
    <x v="1"/>
    <n v="0"/>
    <s v="No"/>
    <n v="2.5299999999999998"/>
    <n v="91"/>
    <n v="30000"/>
    <x v="0"/>
    <x v="0"/>
    <n v="46"/>
  </r>
  <r>
    <x v="4"/>
    <x v="1"/>
    <n v="22"/>
    <n v="2019"/>
    <x v="0"/>
    <n v="9"/>
    <x v="1"/>
    <s v="Yes"/>
    <x v="0"/>
    <n v="3"/>
    <x v="1"/>
    <x v="0"/>
    <s v="No"/>
    <x v="2"/>
    <x v="1"/>
    <x v="10"/>
    <s v="No"/>
    <s v="No"/>
    <x v="0"/>
    <s v="Software Development"/>
    <n v="2"/>
    <x v="0"/>
    <s v="Single"/>
    <x v="1"/>
    <s v="Family"/>
    <x v="1"/>
    <n v="2.68"/>
    <s v="No"/>
    <n v="3.15"/>
    <n v="100"/>
    <n v="20000"/>
    <x v="0"/>
    <x v="0"/>
    <n v="54.6"/>
  </r>
  <r>
    <x v="0"/>
    <x v="0"/>
    <n v="24"/>
    <n v="2017"/>
    <x v="0"/>
    <n v="13"/>
    <x v="1"/>
    <s v="No"/>
    <x v="2"/>
    <n v="2"/>
    <x v="0"/>
    <x v="0"/>
    <s v="Yes"/>
    <x v="4"/>
    <x v="1"/>
    <x v="14"/>
    <s v="Yes"/>
    <s v="Yes"/>
    <x v="0"/>
    <s v="Software Development"/>
    <n v="5"/>
    <x v="2"/>
    <s v="Married"/>
    <x v="0"/>
    <s v="Bachelor"/>
    <x v="0"/>
    <n v="2.2000000000000002"/>
    <s v="No"/>
    <n v="2.66"/>
    <n v="110"/>
    <n v="60000"/>
    <x v="0"/>
    <x v="0"/>
    <n v="41"/>
  </r>
  <r>
    <x v="5"/>
    <x v="0"/>
    <n v="22"/>
    <n v="2017"/>
    <x v="0"/>
    <n v="15"/>
    <x v="0"/>
    <s v="No"/>
    <x v="1"/>
    <n v="1"/>
    <x v="0"/>
    <x v="0"/>
    <s v="Yes"/>
    <x v="4"/>
    <x v="2"/>
    <x v="5"/>
    <s v="Yes"/>
    <s v="No"/>
    <x v="0"/>
    <s v="Software Development"/>
    <n v="4"/>
    <x v="2"/>
    <s v="Single"/>
    <x v="1"/>
    <s v="Bachelor"/>
    <x v="1"/>
    <n v="2.6"/>
    <s v="No"/>
    <n v="2.6"/>
    <n v="90"/>
    <n v="62488"/>
    <x v="0"/>
    <x v="0"/>
    <n v="55"/>
  </r>
  <r>
    <x v="4"/>
    <x v="1"/>
    <n v="22"/>
    <n v="2018"/>
    <x v="0"/>
    <n v="11"/>
    <x v="1"/>
    <s v="Yes"/>
    <x v="0"/>
    <n v="1"/>
    <x v="0"/>
    <x v="0"/>
    <s v="Yes"/>
    <x v="1"/>
    <x v="0"/>
    <x v="4"/>
    <s v="No"/>
    <s v="No"/>
    <x v="0"/>
    <s v="Networking"/>
    <n v="0"/>
    <x v="2"/>
    <s v="Married"/>
    <x v="1"/>
    <s v="Family"/>
    <x v="1"/>
    <n v="2.7"/>
    <s v="No"/>
    <n v="2.91"/>
    <n v="120"/>
    <n v="150000"/>
    <x v="0"/>
    <x v="0"/>
    <n v="47"/>
  </r>
  <r>
    <x v="0"/>
    <x v="0"/>
    <n v="23"/>
    <n v="2017"/>
    <x v="0"/>
    <n v="14"/>
    <x v="1"/>
    <s v="No"/>
    <x v="2"/>
    <n v="2"/>
    <x v="1"/>
    <x v="0"/>
    <s v="Yes"/>
    <x v="3"/>
    <x v="0"/>
    <x v="0"/>
    <s v="Yes"/>
    <s v="Yes"/>
    <x v="0"/>
    <s v="Software Development"/>
    <n v="2"/>
    <x v="2"/>
    <s v="Single"/>
    <x v="0"/>
    <s v="Family"/>
    <x v="0"/>
    <n v="2.87"/>
    <s v="No"/>
    <n v="2.99"/>
    <n v="120"/>
    <n v="30000"/>
    <x v="0"/>
    <x v="0"/>
    <n v="48"/>
  </r>
  <r>
    <x v="1"/>
    <x v="0"/>
    <n v="20"/>
    <n v="2019"/>
    <x v="0"/>
    <n v="5"/>
    <x v="1"/>
    <s v="No"/>
    <x v="5"/>
    <n v="4"/>
    <x v="0"/>
    <x v="0"/>
    <s v="Yes"/>
    <x v="3"/>
    <x v="0"/>
    <x v="4"/>
    <s v="Yes"/>
    <s v="No"/>
    <x v="1"/>
    <s v="Software Development"/>
    <n v="4"/>
    <x v="2"/>
    <s v="Single"/>
    <x v="1"/>
    <s v="Bachelor"/>
    <x v="0"/>
    <n v="2.68"/>
    <s v="No"/>
    <n v="3.15"/>
    <n v="50"/>
    <n v="25000"/>
    <x v="0"/>
    <x v="0"/>
    <n v="62"/>
  </r>
  <r>
    <x v="4"/>
    <x v="0"/>
    <n v="23"/>
    <n v="2017"/>
    <x v="0"/>
    <n v="9"/>
    <x v="1"/>
    <s v="Yes"/>
    <x v="2"/>
    <n v="1"/>
    <x v="1"/>
    <x v="0"/>
    <s v="Yes"/>
    <x v="4"/>
    <x v="0"/>
    <x v="7"/>
    <s v="No"/>
    <s v="No"/>
    <x v="0"/>
    <s v="Cyber security"/>
    <n v="4"/>
    <x v="4"/>
    <s v="Relationship"/>
    <x v="0"/>
    <s v="Family"/>
    <x v="0"/>
    <n v="2.68"/>
    <s v="No"/>
    <n v="3.15"/>
    <n v="100"/>
    <n v="200000"/>
    <x v="0"/>
    <x v="0"/>
    <n v="46"/>
  </r>
  <r>
    <x v="6"/>
    <x v="0"/>
    <n v="26"/>
    <n v="2012"/>
    <x v="0"/>
    <n v="21"/>
    <x v="1"/>
    <s v="No"/>
    <x v="1"/>
    <n v="1"/>
    <x v="0"/>
    <x v="0"/>
    <s v="Yes"/>
    <x v="3"/>
    <x v="1"/>
    <x v="9"/>
    <s v="Yes"/>
    <s v="No"/>
    <x v="1"/>
    <s v="Software Development"/>
    <n v="1"/>
    <x v="6"/>
    <s v="Single"/>
    <x v="1"/>
    <s v="Bachelor"/>
    <x v="1"/>
    <n v="2.68"/>
    <s v="Yes"/>
    <n v="3.15"/>
    <n v="77"/>
    <n v="50000"/>
    <x v="0"/>
    <x v="0"/>
    <n v="40"/>
  </r>
  <r>
    <x v="4"/>
    <x v="0"/>
    <n v="22"/>
    <n v="2019"/>
    <x v="0"/>
    <n v="9"/>
    <x v="1"/>
    <s v="No"/>
    <x v="0"/>
    <n v="5"/>
    <x v="1"/>
    <x v="0"/>
    <s v="Yes"/>
    <x v="3"/>
    <x v="0"/>
    <x v="10"/>
    <s v="No"/>
    <s v="No"/>
    <x v="1"/>
    <s v="Software Development"/>
    <n v="3"/>
    <x v="2"/>
    <s v="Single"/>
    <x v="1"/>
    <s v="Bachelor"/>
    <x v="0"/>
    <n v="2.68"/>
    <s v="No"/>
    <n v="3.15"/>
    <n v="100"/>
    <n v="40000"/>
    <x v="0"/>
    <x v="0"/>
    <n v="57.6"/>
  </r>
  <r>
    <x v="4"/>
    <x v="0"/>
    <n v="23"/>
    <n v="2018"/>
    <x v="0"/>
    <n v="9"/>
    <x v="1"/>
    <s v="Yes"/>
    <x v="1"/>
    <n v="1"/>
    <x v="0"/>
    <x v="0"/>
    <s v="Yes"/>
    <x v="3"/>
    <x v="0"/>
    <x v="7"/>
    <s v="No"/>
    <s v="No"/>
    <x v="1"/>
    <s v="Software Development"/>
    <n v="1"/>
    <x v="6"/>
    <s v="Relationship"/>
    <x v="0"/>
    <s v="Family"/>
    <x v="1"/>
    <n v="2.7"/>
    <s v="No"/>
    <n v="2.92"/>
    <n v="76"/>
    <n v="15000"/>
    <x v="0"/>
    <x v="0"/>
    <n v="34"/>
  </r>
  <r>
    <x v="4"/>
    <x v="0"/>
    <n v="21"/>
    <n v="2018"/>
    <x v="0"/>
    <n v="11"/>
    <x v="1"/>
    <s v="Yes"/>
    <x v="2"/>
    <n v="1"/>
    <x v="0"/>
    <x v="0"/>
    <s v="Yes"/>
    <x v="3"/>
    <x v="0"/>
    <x v="15"/>
    <s v="No"/>
    <s v="No"/>
    <x v="0"/>
    <s v="Software Development"/>
    <n v="2"/>
    <x v="4"/>
    <s v="Single"/>
    <x v="1"/>
    <s v="Family"/>
    <x v="0"/>
    <n v="2.68"/>
    <s v="No"/>
    <n v="3.15"/>
    <n v="126"/>
    <n v="75000"/>
    <x v="0"/>
    <x v="0"/>
    <n v="41.2"/>
  </r>
  <r>
    <x v="4"/>
    <x v="0"/>
    <n v="22"/>
    <n v="2018"/>
    <x v="0"/>
    <n v="11"/>
    <x v="1"/>
    <s v="No"/>
    <x v="2"/>
    <n v="2"/>
    <x v="1"/>
    <x v="0"/>
    <s v="Yes"/>
    <x v="3"/>
    <x v="0"/>
    <x v="5"/>
    <s v="Yes"/>
    <s v="Yes"/>
    <x v="0"/>
    <s v="Software Development"/>
    <n v="2"/>
    <x v="2"/>
    <s v="Single"/>
    <x v="1"/>
    <s v="Bachelor"/>
    <x v="1"/>
    <n v="2.68"/>
    <s v="No"/>
    <n v="3.15"/>
    <n v="126"/>
    <n v="40000"/>
    <x v="0"/>
    <x v="0"/>
    <n v="52"/>
  </r>
  <r>
    <x v="0"/>
    <x v="1"/>
    <n v="23"/>
    <n v="2016"/>
    <x v="0"/>
    <n v="14"/>
    <x v="1"/>
    <s v="Yes"/>
    <x v="0"/>
    <n v="2"/>
    <x v="0"/>
    <x v="0"/>
    <s v="Yes"/>
    <x v="3"/>
    <x v="1"/>
    <x v="7"/>
    <s v="Yes"/>
    <s v="No"/>
    <x v="1"/>
    <s v="Software Development"/>
    <n v="2"/>
    <x v="6"/>
    <s v="Single"/>
    <x v="1"/>
    <s v="Bachelor"/>
    <x v="1"/>
    <n v="2.98"/>
    <s v="Yes"/>
    <n v="2.96"/>
    <n v="118"/>
    <n v="20000"/>
    <x v="0"/>
    <x v="0"/>
    <n v="43"/>
  </r>
  <r>
    <x v="4"/>
    <x v="1"/>
    <n v="21"/>
    <n v="2018"/>
    <x v="0"/>
    <n v="11"/>
    <x v="1"/>
    <s v="No"/>
    <x v="1"/>
    <n v="1"/>
    <x v="0"/>
    <x v="0"/>
    <s v="Yes"/>
    <x v="2"/>
    <x v="2"/>
    <x v="11"/>
    <s v="No"/>
    <s v="No"/>
    <x v="0"/>
    <s v="Software Development"/>
    <n v="2"/>
    <x v="2"/>
    <s v="Relationship"/>
    <x v="1"/>
    <s v="Family"/>
    <x v="0"/>
    <n v="2.68"/>
    <s v="No"/>
    <n v="3.15"/>
    <n v="126"/>
    <n v="40000"/>
    <x v="0"/>
    <x v="0"/>
    <n v="39"/>
  </r>
  <r>
    <x v="1"/>
    <x v="1"/>
    <n v="20"/>
    <n v="2019"/>
    <x v="0"/>
    <n v="2"/>
    <x v="0"/>
    <s v="No"/>
    <x v="3"/>
    <n v="2"/>
    <x v="0"/>
    <x v="0"/>
    <s v="Yes"/>
    <x v="6"/>
    <x v="1"/>
    <x v="2"/>
    <s v="No"/>
    <s v="No"/>
    <x v="1"/>
    <s v="Software Development"/>
    <n v="2"/>
    <x v="2"/>
    <s v="Single"/>
    <x v="0"/>
    <s v="Bachelor"/>
    <x v="1"/>
    <n v="2.68"/>
    <s v="No"/>
    <n v="3.15"/>
    <n v="11"/>
    <n v="62488"/>
    <x v="0"/>
    <x v="0"/>
    <n v="53"/>
  </r>
  <r>
    <x v="4"/>
    <x v="1"/>
    <n v="21"/>
    <n v="2019"/>
    <x v="0"/>
    <n v="9"/>
    <x v="1"/>
    <s v="No"/>
    <x v="4"/>
    <n v="3"/>
    <x v="0"/>
    <x v="0"/>
    <s v="Yes"/>
    <x v="2"/>
    <x v="0"/>
    <x v="3"/>
    <s v="No"/>
    <s v="No"/>
    <x v="0"/>
    <s v="Software Development"/>
    <n v="4"/>
    <x v="2"/>
    <s v="Single"/>
    <x v="1"/>
    <s v="Bachelor"/>
    <x v="0"/>
    <n v="2.68"/>
    <s v="No"/>
    <n v="3.15"/>
    <n v="100"/>
    <n v="62488"/>
    <x v="0"/>
    <x v="0"/>
    <n v="65.2"/>
  </r>
  <r>
    <x v="4"/>
    <x v="0"/>
    <n v="22"/>
    <n v="2019"/>
    <x v="0"/>
    <n v="9"/>
    <x v="1"/>
    <s v="No"/>
    <x v="0"/>
    <n v="4"/>
    <x v="0"/>
    <x v="0"/>
    <s v="Yes"/>
    <x v="2"/>
    <x v="0"/>
    <x v="10"/>
    <s v="No"/>
    <s v="No"/>
    <x v="1"/>
    <s v="Software Development"/>
    <n v="7"/>
    <x v="2"/>
    <s v="Single"/>
    <x v="1"/>
    <s v="Bachelor"/>
    <x v="0"/>
    <n v="3.52"/>
    <s v="No"/>
    <n v="2.9"/>
    <n v="100"/>
    <n v="15000"/>
    <x v="0"/>
    <x v="0"/>
    <n v="69.599999999999994"/>
  </r>
  <r>
    <x v="2"/>
    <x v="0"/>
    <n v="23"/>
    <n v="2018"/>
    <x v="0"/>
    <n v="8"/>
    <x v="0"/>
    <s v="Yes"/>
    <x v="5"/>
    <n v="5"/>
    <x v="0"/>
    <x v="0"/>
    <s v="Yes"/>
    <x v="1"/>
    <x v="0"/>
    <x v="5"/>
    <s v="No"/>
    <s v="No"/>
    <x v="0"/>
    <s v="Software Development"/>
    <n v="2"/>
    <x v="2"/>
    <s v="Single"/>
    <x v="0"/>
    <s v="Bachelor"/>
    <x v="0"/>
    <n v="3.48"/>
    <s v="No"/>
    <n v="3.08"/>
    <n v="68"/>
    <n v="20000"/>
    <x v="0"/>
    <x v="0"/>
    <n v="58"/>
  </r>
  <r>
    <x v="7"/>
    <x v="0"/>
    <n v="25"/>
    <n v="2014"/>
    <x v="0"/>
    <n v="11"/>
    <x v="0"/>
    <s v="Yes"/>
    <x v="2"/>
    <n v="1"/>
    <x v="1"/>
    <x v="0"/>
    <s v="Yes"/>
    <x v="1"/>
    <x v="2"/>
    <x v="0"/>
    <s v="Yes"/>
    <s v="No"/>
    <x v="0"/>
    <s v="Software Development"/>
    <n v="3"/>
    <x v="2"/>
    <s v="Single"/>
    <x v="0"/>
    <s v="Family"/>
    <x v="0"/>
    <n v="2.68"/>
    <s v="No"/>
    <n v="3.15"/>
    <n v="126"/>
    <n v="63000"/>
    <x v="0"/>
    <x v="0"/>
    <n v="51"/>
  </r>
  <r>
    <x v="4"/>
    <x v="1"/>
    <n v="22"/>
    <n v="2018"/>
    <x v="0"/>
    <n v="11"/>
    <x v="0"/>
    <s v="Yes"/>
    <x v="1"/>
    <n v="2"/>
    <x v="1"/>
    <x v="0"/>
    <s v="Yes"/>
    <x v="1"/>
    <x v="1"/>
    <x v="2"/>
    <s v="No"/>
    <s v="No"/>
    <x v="1"/>
    <s v="Software Development"/>
    <n v="3"/>
    <x v="4"/>
    <s v="Single"/>
    <x v="1"/>
    <s v="Family"/>
    <x v="0"/>
    <n v="2.68"/>
    <s v="No"/>
    <n v="3.15"/>
    <n v="126"/>
    <n v="50000"/>
    <x v="0"/>
    <x v="0"/>
    <n v="44"/>
  </r>
  <r>
    <x v="2"/>
    <x v="0"/>
    <n v="20"/>
    <n v="2019"/>
    <x v="0"/>
    <n v="6"/>
    <x v="1"/>
    <s v="No"/>
    <x v="2"/>
    <n v="2"/>
    <x v="1"/>
    <x v="0"/>
    <s v="Yes"/>
    <x v="0"/>
    <x v="1"/>
    <x v="0"/>
    <s v="Yes"/>
    <s v="No"/>
    <x v="1"/>
    <s v="Networking"/>
    <n v="2"/>
    <x v="4"/>
    <s v="Single"/>
    <x v="1"/>
    <s v="Family"/>
    <x v="0"/>
    <n v="2.68"/>
    <s v="No"/>
    <n v="3.15"/>
    <n v="65"/>
    <n v="40000"/>
    <x v="0"/>
    <x v="0"/>
    <n v="48"/>
  </r>
  <r>
    <x v="0"/>
    <x v="0"/>
    <n v="25"/>
    <n v="2016"/>
    <x v="0"/>
    <n v="14"/>
    <x v="1"/>
    <s v="No"/>
    <x v="4"/>
    <n v="4"/>
    <x v="1"/>
    <x v="0"/>
    <s v="Yes"/>
    <x v="2"/>
    <x v="2"/>
    <x v="16"/>
    <s v="Yes"/>
    <s v="No"/>
    <x v="0"/>
    <s v="Software Development"/>
    <n v="4"/>
    <x v="2"/>
    <s v="Single"/>
    <x v="0"/>
    <s v="Family"/>
    <x v="0"/>
    <n v="3.16"/>
    <s v="No"/>
    <n v="2.68"/>
    <n v="121"/>
    <n v="60000"/>
    <x v="0"/>
    <x v="0"/>
    <n v="30.8"/>
  </r>
  <r>
    <x v="1"/>
    <x v="1"/>
    <n v="21"/>
    <n v="2019"/>
    <x v="0"/>
    <n v="5"/>
    <x v="1"/>
    <s v="No"/>
    <x v="2"/>
    <n v="3"/>
    <x v="0"/>
    <x v="0"/>
    <s v="Yes"/>
    <x v="3"/>
    <x v="1"/>
    <x v="17"/>
    <s v="Yes"/>
    <s v="No"/>
    <x v="0"/>
    <s v="Software Development"/>
    <n v="1"/>
    <x v="7"/>
    <s v="Married"/>
    <x v="1"/>
    <s v="Family"/>
    <x v="0"/>
    <n v="1.92"/>
    <s v="No"/>
    <n v="2.42"/>
    <n v="39"/>
    <n v="60000"/>
    <x v="2"/>
    <x v="0"/>
    <n v="43.800000000000004"/>
  </r>
  <r>
    <x v="1"/>
    <x v="0"/>
    <n v="20"/>
    <n v="2020"/>
    <x v="0"/>
    <n v="4"/>
    <x v="1"/>
    <s v="Yes"/>
    <x v="2"/>
    <n v="1"/>
    <x v="0"/>
    <x v="0"/>
    <s v="Yes"/>
    <x v="2"/>
    <x v="0"/>
    <x v="2"/>
    <s v="No"/>
    <s v="No"/>
    <x v="0"/>
    <s v="Software Development"/>
    <n v="4"/>
    <x v="8"/>
    <s v="Single"/>
    <x v="1"/>
    <s v="Family"/>
    <x v="1"/>
    <n v="2.68"/>
    <s v="No"/>
    <n v="3.15"/>
    <n v="36"/>
    <n v="30000"/>
    <x v="0"/>
    <x v="0"/>
    <n v="50"/>
  </r>
  <r>
    <x v="6"/>
    <x v="0"/>
    <n v="27"/>
    <n v="2014"/>
    <x v="0"/>
    <n v="10"/>
    <x v="1"/>
    <s v="Yes"/>
    <x v="3"/>
    <n v="2"/>
    <x v="1"/>
    <x v="0"/>
    <s v="Yes"/>
    <x v="5"/>
    <x v="1"/>
    <x v="14"/>
    <s v="Yes"/>
    <s v="No"/>
    <x v="0"/>
    <s v="Networking"/>
    <n v="2"/>
    <x v="4"/>
    <s v="Single"/>
    <x v="1"/>
    <s v="Family"/>
    <x v="0"/>
    <n v="2.68"/>
    <s v="No"/>
    <n v="3.15"/>
    <n v="113"/>
    <n v="7000"/>
    <x v="0"/>
    <x v="0"/>
    <n v="41"/>
  </r>
  <r>
    <x v="4"/>
    <x v="1"/>
    <n v="22"/>
    <n v="2018"/>
    <x v="0"/>
    <n v="11"/>
    <x v="1"/>
    <s v="No"/>
    <x v="6"/>
    <n v="3"/>
    <x v="1"/>
    <x v="0"/>
    <s v="Yes"/>
    <x v="4"/>
    <x v="0"/>
    <x v="10"/>
    <s v="No"/>
    <s v="No"/>
    <x v="0"/>
    <s v="Software Development"/>
    <n v="4"/>
    <x v="2"/>
    <s v="Single"/>
    <x v="1"/>
    <s v="Bachelor"/>
    <x v="0"/>
    <n v="2.68"/>
    <s v="No"/>
    <n v="3.15"/>
    <n v="126"/>
    <n v="20000"/>
    <x v="0"/>
    <x v="0"/>
    <n v="75.599999999999994"/>
  </r>
  <r>
    <x v="3"/>
    <x v="0"/>
    <n v="20"/>
    <n v="2020"/>
    <x v="0"/>
    <n v="2"/>
    <x v="1"/>
    <s v="Yes"/>
    <x v="0"/>
    <n v="3"/>
    <x v="0"/>
    <x v="0"/>
    <s v="Yes"/>
    <x v="3"/>
    <x v="0"/>
    <x v="10"/>
    <s v="No"/>
    <s v="No"/>
    <x v="1"/>
    <s v="Software Development"/>
    <n v="1"/>
    <x v="2"/>
    <s v="Single"/>
    <x v="1"/>
    <s v="Family"/>
    <x v="0"/>
    <n v="2.68"/>
    <s v="No"/>
    <n v="3.15"/>
    <n v="11"/>
    <n v="20000"/>
    <x v="0"/>
    <x v="0"/>
    <n v="51.6"/>
  </r>
  <r>
    <x v="2"/>
    <x v="0"/>
    <n v="22"/>
    <n v="2018"/>
    <x v="0"/>
    <n v="7"/>
    <x v="1"/>
    <s v="Yes"/>
    <x v="1"/>
    <n v="1"/>
    <x v="0"/>
    <x v="0"/>
    <s v="Yes"/>
    <x v="0"/>
    <x v="1"/>
    <x v="7"/>
    <s v="Yes"/>
    <s v="No"/>
    <x v="0"/>
    <s v="Networking"/>
    <n v="1"/>
    <x v="4"/>
    <s v="Single"/>
    <x v="1"/>
    <s v="Family"/>
    <x v="0"/>
    <n v="2.68"/>
    <s v="No"/>
    <n v="3.15"/>
    <n v="77"/>
    <n v="20000"/>
    <x v="0"/>
    <x v="0"/>
    <n v="34"/>
  </r>
  <r>
    <x v="3"/>
    <x v="0"/>
    <n v="21"/>
    <n v="2020"/>
    <x v="0"/>
    <n v="2"/>
    <x v="0"/>
    <s v="Yes"/>
    <x v="7"/>
    <n v="2"/>
    <x v="1"/>
    <x v="0"/>
    <s v="Yes"/>
    <x v="3"/>
    <x v="0"/>
    <x v="5"/>
    <s v="No"/>
    <s v="No"/>
    <x v="0"/>
    <s v="Software Development"/>
    <n v="3"/>
    <x v="2"/>
    <s v="Single"/>
    <x v="0"/>
    <s v="Family"/>
    <x v="0"/>
    <n v="2.68"/>
    <s v="No"/>
    <n v="3.15"/>
    <n v="11"/>
    <n v="30000"/>
    <x v="0"/>
    <x v="0"/>
    <n v="70"/>
  </r>
  <r>
    <x v="0"/>
    <x v="0"/>
    <n v="23"/>
    <n v="2017"/>
    <x v="0"/>
    <n v="13"/>
    <x v="1"/>
    <s v="No"/>
    <x v="2"/>
    <n v="1"/>
    <x v="0"/>
    <x v="0"/>
    <s v="Yes"/>
    <x v="3"/>
    <x v="1"/>
    <x v="11"/>
    <s v="Yes"/>
    <s v="Yes"/>
    <x v="0"/>
    <s v="Software Development"/>
    <n v="3"/>
    <x v="2"/>
    <s v="Single"/>
    <x v="1"/>
    <s v="Bachelor"/>
    <x v="0"/>
    <n v="2.68"/>
    <s v="No"/>
    <n v="3.15"/>
    <n v="136"/>
    <n v="35000"/>
    <x v="0"/>
    <x v="0"/>
    <n v="45"/>
  </r>
  <r>
    <x v="2"/>
    <x v="1"/>
    <n v="23"/>
    <n v="2020"/>
    <x v="0"/>
    <n v="8"/>
    <x v="0"/>
    <s v="No"/>
    <x v="4"/>
    <n v="3"/>
    <x v="0"/>
    <x v="0"/>
    <s v="Yes"/>
    <x v="5"/>
    <x v="0"/>
    <x v="5"/>
    <s v="No"/>
    <s v="No"/>
    <x v="0"/>
    <s v="Software Development"/>
    <n v="2"/>
    <x v="2"/>
    <s v="Single"/>
    <x v="1"/>
    <s v="Bachelor"/>
    <x v="0"/>
    <n v="2.68"/>
    <s v="No"/>
    <n v="3.15"/>
    <n v="88"/>
    <n v="62488"/>
    <x v="0"/>
    <x v="0"/>
    <n v="64"/>
  </r>
  <r>
    <x v="5"/>
    <x v="1"/>
    <n v="25"/>
    <n v="2015"/>
    <x v="0"/>
    <n v="8"/>
    <x v="1"/>
    <s v="No"/>
    <x v="2"/>
    <n v="2"/>
    <x v="0"/>
    <x v="0"/>
    <s v="Yes"/>
    <x v="3"/>
    <x v="0"/>
    <x v="5"/>
    <s v="No"/>
    <s v="No"/>
    <x v="0"/>
    <s v="Networking"/>
    <n v="2"/>
    <x v="4"/>
    <s v="Married"/>
    <x v="1"/>
    <s v="Family"/>
    <x v="0"/>
    <n v="2.68"/>
    <s v="No"/>
    <n v="3.15"/>
    <n v="88"/>
    <n v="60000"/>
    <x v="0"/>
    <x v="0"/>
    <n v="52"/>
  </r>
  <r>
    <x v="3"/>
    <x v="1"/>
    <n v="20"/>
    <n v="2020"/>
    <x v="0"/>
    <n v="2"/>
    <x v="1"/>
    <s v="Yes"/>
    <x v="5"/>
    <n v="3"/>
    <x v="0"/>
    <x v="0"/>
    <s v="No"/>
    <x v="2"/>
    <x v="0"/>
    <x v="3"/>
    <s v="No"/>
    <s v="No"/>
    <x v="0"/>
    <s v="Software Development"/>
    <n v="3"/>
    <x v="2"/>
    <s v="Single"/>
    <x v="1"/>
    <s v="Bachelor"/>
    <x v="0"/>
    <n v="2.68"/>
    <s v="No"/>
    <n v="3.15"/>
    <n v="11"/>
    <n v="60000"/>
    <x v="0"/>
    <x v="0"/>
    <n v="56.2"/>
  </r>
  <r>
    <x v="1"/>
    <x v="0"/>
    <n v="21"/>
    <n v="2020"/>
    <x v="0"/>
    <n v="4"/>
    <x v="0"/>
    <s v="Yes"/>
    <x v="2"/>
    <n v="2"/>
    <x v="0"/>
    <x v="0"/>
    <s v="Yes"/>
    <x v="2"/>
    <x v="2"/>
    <x v="2"/>
    <s v="No"/>
    <s v="No"/>
    <x v="0"/>
    <s v="Software Development"/>
    <n v="2"/>
    <x v="2"/>
    <s v="Relationship"/>
    <x v="0"/>
    <s v="Family"/>
    <x v="0"/>
    <n v="2.68"/>
    <s v="No"/>
    <n v="3.15"/>
    <n v="36"/>
    <n v="50000"/>
    <x v="0"/>
    <x v="0"/>
    <n v="44"/>
  </r>
  <r>
    <x v="6"/>
    <x v="1"/>
    <n v="26"/>
    <n v="2014"/>
    <x v="0"/>
    <n v="22"/>
    <x v="1"/>
    <s v="Yes"/>
    <x v="2"/>
    <n v="2"/>
    <x v="1"/>
    <x v="0"/>
    <s v="Yes"/>
    <x v="1"/>
    <x v="0"/>
    <x v="2"/>
    <s v="Yes"/>
    <s v="Yes"/>
    <x v="1"/>
    <s v="Software Development"/>
    <n v="2"/>
    <x v="2"/>
    <s v="Married"/>
    <x v="0"/>
    <s v="Family"/>
    <x v="1"/>
    <n v="2.68"/>
    <s v="No"/>
    <n v="3.15"/>
    <n v="77"/>
    <n v="30000"/>
    <x v="0"/>
    <x v="0"/>
    <n v="44"/>
  </r>
  <r>
    <x v="4"/>
    <x v="0"/>
    <n v="23"/>
    <n v="2018"/>
    <x v="0"/>
    <n v="11"/>
    <x v="1"/>
    <s v="Yes"/>
    <x v="3"/>
    <n v="5"/>
    <x v="0"/>
    <x v="0"/>
    <s v="Yes"/>
    <x v="1"/>
    <x v="0"/>
    <x v="0"/>
    <s v="No"/>
    <s v="No"/>
    <x v="0"/>
    <s v="Networking"/>
    <n v="2"/>
    <x v="4"/>
    <s v="Single"/>
    <x v="1"/>
    <s v="Bachelor"/>
    <x v="0"/>
    <n v="3.29"/>
    <s v="No"/>
    <n v="3.23"/>
    <n v="114"/>
    <n v="28000"/>
    <x v="0"/>
    <x v="0"/>
    <n v="57"/>
  </r>
  <r>
    <x v="4"/>
    <x v="1"/>
    <n v="22"/>
    <n v="2018"/>
    <x v="0"/>
    <n v="11"/>
    <x v="1"/>
    <s v="Yes"/>
    <x v="0"/>
    <n v="1"/>
    <x v="0"/>
    <x v="0"/>
    <s v="Yes"/>
    <x v="1"/>
    <x v="0"/>
    <x v="5"/>
    <s v="No"/>
    <s v="No"/>
    <x v="0"/>
    <s v="App development"/>
    <n v="3"/>
    <x v="5"/>
    <s v="Single"/>
    <x v="0"/>
    <s v="Family"/>
    <x v="0"/>
    <n v="2.68"/>
    <s v="No"/>
    <n v="3.15"/>
    <n v="126"/>
    <n v="60000"/>
    <x v="0"/>
    <x v="0"/>
    <n v="58"/>
  </r>
  <r>
    <x v="5"/>
    <x v="0"/>
    <n v="23"/>
    <n v="2017"/>
    <x v="0"/>
    <n v="12"/>
    <x v="1"/>
    <s v="No"/>
    <x v="2"/>
    <n v="2"/>
    <x v="0"/>
    <x v="0"/>
    <s v="Yes"/>
    <x v="3"/>
    <x v="2"/>
    <x v="5"/>
    <s v="Yes"/>
    <s v="No"/>
    <x v="0"/>
    <s v="Networking"/>
    <n v="3"/>
    <x v="2"/>
    <s v="Single"/>
    <x v="1"/>
    <s v="Bachelor"/>
    <x v="0"/>
    <n v="2.68"/>
    <s v="No"/>
    <n v="3.15"/>
    <n v="136"/>
    <n v="90000"/>
    <x v="0"/>
    <x v="0"/>
    <n v="55"/>
  </r>
  <r>
    <x v="5"/>
    <x v="0"/>
    <n v="24"/>
    <n v="2017"/>
    <x v="0"/>
    <n v="15"/>
    <x v="1"/>
    <s v="No"/>
    <x v="0"/>
    <n v="2"/>
    <x v="1"/>
    <x v="0"/>
    <s v="Yes"/>
    <x v="1"/>
    <x v="2"/>
    <x v="2"/>
    <s v="Yes"/>
    <s v="No"/>
    <x v="0"/>
    <s v="Software Development"/>
    <n v="4"/>
    <x v="2"/>
    <s v="Single"/>
    <x v="1"/>
    <s v="Bachelor"/>
    <x v="0"/>
    <n v="2.68"/>
    <s v="No"/>
    <n v="3.15"/>
    <n v="113"/>
    <n v="200000"/>
    <x v="0"/>
    <x v="0"/>
    <n v="53"/>
  </r>
  <r>
    <x v="2"/>
    <x v="1"/>
    <n v="21"/>
    <n v="2019"/>
    <x v="0"/>
    <n v="8"/>
    <x v="1"/>
    <s v="No"/>
    <x v="5"/>
    <n v="2"/>
    <x v="0"/>
    <x v="0"/>
    <s v="Yes"/>
    <x v="3"/>
    <x v="0"/>
    <x v="5"/>
    <s v="No"/>
    <s v="No"/>
    <x v="1"/>
    <s v="Software Development"/>
    <n v="1"/>
    <x v="2"/>
    <s v="Single"/>
    <x v="0"/>
    <s v="Family"/>
    <x v="0"/>
    <n v="2.68"/>
    <s v="No"/>
    <n v="3.15"/>
    <n v="88"/>
    <n v="50000"/>
    <x v="0"/>
    <x v="0"/>
    <n v="55"/>
  </r>
  <r>
    <x v="4"/>
    <x v="1"/>
    <n v="22"/>
    <n v="2018"/>
    <x v="0"/>
    <n v="9"/>
    <x v="1"/>
    <s v="Yes"/>
    <x v="0"/>
    <n v="1"/>
    <x v="0"/>
    <x v="0"/>
    <s v="Yes"/>
    <x v="0"/>
    <x v="1"/>
    <x v="2"/>
    <s v="Yes"/>
    <s v="No"/>
    <x v="1"/>
    <s v="Software Development"/>
    <n v="3"/>
    <x v="2"/>
    <s v="Married"/>
    <x v="1"/>
    <s v="Bachelor"/>
    <x v="1"/>
    <n v="2"/>
    <s v="No"/>
    <n v="2.2200000000000002"/>
    <n v="77"/>
    <n v="4000"/>
    <x v="2"/>
    <x v="0"/>
    <n v="50"/>
  </r>
  <r>
    <x v="3"/>
    <x v="0"/>
    <n v="19"/>
    <n v="2020"/>
    <x v="0"/>
    <n v="2"/>
    <x v="0"/>
    <s v="Yes"/>
    <x v="0"/>
    <n v="2"/>
    <x v="0"/>
    <x v="0"/>
    <s v="Yes"/>
    <x v="1"/>
    <x v="1"/>
    <x v="0"/>
    <s v="No"/>
    <s v="No"/>
    <x v="0"/>
    <s v="Software Development"/>
    <n v="1"/>
    <x v="2"/>
    <s v="Single"/>
    <x v="1"/>
    <s v="Family"/>
    <x v="0"/>
    <n v="2.68"/>
    <s v="No"/>
    <n v="3.15"/>
    <n v="11"/>
    <n v="40000"/>
    <x v="0"/>
    <x v="0"/>
    <n v="48"/>
  </r>
  <r>
    <x v="4"/>
    <x v="1"/>
    <n v="21"/>
    <n v="2018"/>
    <x v="0"/>
    <n v="10"/>
    <x v="1"/>
    <s v="No"/>
    <x v="3"/>
    <n v="1"/>
    <x v="0"/>
    <x v="0"/>
    <s v="Yes"/>
    <x v="1"/>
    <x v="0"/>
    <x v="2"/>
    <s v="Yes"/>
    <s v="No"/>
    <x v="0"/>
    <s v="Software Development"/>
    <n v="2"/>
    <x v="2"/>
    <s v="Single"/>
    <x v="1"/>
    <s v="Bachelor"/>
    <x v="1"/>
    <n v="3.3"/>
    <s v="No"/>
    <n v="3.24"/>
    <n v="105"/>
    <n v="80000"/>
    <x v="0"/>
    <x v="0"/>
    <n v="53"/>
  </r>
  <r>
    <x v="4"/>
    <x v="0"/>
    <n v="23"/>
    <n v="2017"/>
    <x v="0"/>
    <n v="10"/>
    <x v="1"/>
    <s v="Yes"/>
    <x v="0"/>
    <n v="2"/>
    <x v="1"/>
    <x v="0"/>
    <s v="Yes"/>
    <x v="2"/>
    <x v="1"/>
    <x v="0"/>
    <s v="No"/>
    <s v="No"/>
    <x v="0"/>
    <s v="Software Development"/>
    <n v="3"/>
    <x v="2"/>
    <s v="Single"/>
    <x v="1"/>
    <s v="Bachelor"/>
    <x v="1"/>
    <n v="2.68"/>
    <s v="No"/>
    <n v="3.15"/>
    <n v="113"/>
    <n v="35000"/>
    <x v="0"/>
    <x v="0"/>
    <n v="54"/>
  </r>
  <r>
    <x v="4"/>
    <x v="0"/>
    <n v="21"/>
    <n v="2018"/>
    <x v="0"/>
    <n v="9"/>
    <x v="1"/>
    <s v="No"/>
    <x v="1"/>
    <n v="1"/>
    <x v="1"/>
    <x v="0"/>
    <s v="Yes"/>
    <x v="10"/>
    <x v="0"/>
    <x v="0"/>
    <s v="No"/>
    <s v="No"/>
    <x v="0"/>
    <s v="Software Development"/>
    <n v="6"/>
    <x v="2"/>
    <s v="Single"/>
    <x v="1"/>
    <s v="Bachelor"/>
    <x v="0"/>
    <n v="3.01"/>
    <s v="No"/>
    <n v="2.76"/>
    <n v="79"/>
    <n v="65000"/>
    <x v="0"/>
    <x v="0"/>
    <n v="57"/>
  </r>
  <r>
    <x v="0"/>
    <x v="0"/>
    <n v="23"/>
    <n v="2017"/>
    <x v="0"/>
    <n v="12"/>
    <x v="1"/>
    <s v="No"/>
    <x v="5"/>
    <n v="1"/>
    <x v="0"/>
    <x v="0"/>
    <s v="Yes"/>
    <x v="2"/>
    <x v="0"/>
    <x v="6"/>
    <s v="No"/>
    <s v="No"/>
    <x v="0"/>
    <s v="Software Development"/>
    <n v="4"/>
    <x v="2"/>
    <s v="Single"/>
    <x v="1"/>
    <s v="Bachelor"/>
    <x v="0"/>
    <n v="2.68"/>
    <s v="No"/>
    <n v="3.15"/>
    <n v="136"/>
    <n v="20000"/>
    <x v="0"/>
    <x v="0"/>
    <n v="62.800000000000004"/>
  </r>
  <r>
    <x v="4"/>
    <x v="0"/>
    <n v="22"/>
    <n v="2018"/>
    <x v="0"/>
    <n v="9"/>
    <x v="1"/>
    <s v="No"/>
    <x v="0"/>
    <n v="2"/>
    <x v="0"/>
    <x v="0"/>
    <s v="Yes"/>
    <x v="1"/>
    <x v="1"/>
    <x v="4"/>
    <s v="No"/>
    <s v="No"/>
    <x v="0"/>
    <s v="Software Development"/>
    <n v="2"/>
    <x v="0"/>
    <s v="Single"/>
    <x v="1"/>
    <s v="Bachelor"/>
    <x v="0"/>
    <n v="3.2"/>
    <s v="No"/>
    <n v="3.3"/>
    <n v="103"/>
    <n v="40000"/>
    <x v="0"/>
    <x v="0"/>
    <n v="53"/>
  </r>
  <r>
    <x v="0"/>
    <x v="1"/>
    <n v="23"/>
    <n v="2017"/>
    <x v="0"/>
    <n v="12"/>
    <x v="1"/>
    <s v="No"/>
    <x v="0"/>
    <n v="2"/>
    <x v="1"/>
    <x v="0"/>
    <s v="Yes"/>
    <x v="2"/>
    <x v="2"/>
    <x v="2"/>
    <s v="Yes"/>
    <s v="No"/>
    <x v="0"/>
    <s v="Software Development"/>
    <n v="2"/>
    <x v="2"/>
    <s v="Single"/>
    <x v="0"/>
    <s v="Family"/>
    <x v="0"/>
    <n v="2.68"/>
    <s v="No"/>
    <n v="3.15"/>
    <n v="136"/>
    <n v="100000"/>
    <x v="0"/>
    <x v="0"/>
    <n v="47"/>
  </r>
  <r>
    <x v="3"/>
    <x v="1"/>
    <n v="20"/>
    <n v="2020"/>
    <x v="0"/>
    <n v="2"/>
    <x v="0"/>
    <s v="No"/>
    <x v="5"/>
    <n v="1"/>
    <x v="0"/>
    <x v="0"/>
    <s v="Yes"/>
    <x v="5"/>
    <x v="1"/>
    <x v="0"/>
    <s v="No"/>
    <s v="No"/>
    <x v="0"/>
    <s v="Software Development"/>
    <n v="2"/>
    <x v="2"/>
    <s v="Single"/>
    <x v="1"/>
    <s v="Bachelor"/>
    <x v="0"/>
    <n v="2.68"/>
    <s v="No"/>
    <n v="3.15"/>
    <n v="11"/>
    <n v="50000"/>
    <x v="0"/>
    <x v="0"/>
    <n v="54"/>
  </r>
  <r>
    <x v="0"/>
    <x v="0"/>
    <n v="25"/>
    <n v="2015"/>
    <x v="0"/>
    <n v="12"/>
    <x v="0"/>
    <s v="No"/>
    <x v="1"/>
    <n v="3"/>
    <x v="0"/>
    <x v="1"/>
    <s v="Yes"/>
    <x v="3"/>
    <x v="0"/>
    <x v="0"/>
    <s v="No"/>
    <s v="No"/>
    <x v="1"/>
    <s v="Software Development"/>
    <n v="1"/>
    <x v="2"/>
    <s v="Single"/>
    <x v="1"/>
    <s v="Bachelor"/>
    <x v="0"/>
    <n v="2.68"/>
    <s v="No"/>
    <n v="3.15"/>
    <n v="136"/>
    <n v="20000"/>
    <x v="0"/>
    <x v="0"/>
    <n v="42"/>
  </r>
  <r>
    <x v="3"/>
    <x v="0"/>
    <n v="20"/>
    <n v="2020"/>
    <x v="0"/>
    <n v="2"/>
    <x v="0"/>
    <s v="Yes"/>
    <x v="0"/>
    <n v="2"/>
    <x v="0"/>
    <x v="0"/>
    <s v="Yes"/>
    <x v="4"/>
    <x v="0"/>
    <x v="0"/>
    <s v="No"/>
    <s v="No"/>
    <x v="0"/>
    <s v="Software Development"/>
    <n v="2"/>
    <x v="2"/>
    <s v="Single"/>
    <x v="0"/>
    <s v="Family"/>
    <x v="0"/>
    <n v="2.68"/>
    <s v="No"/>
    <n v="3.15"/>
    <n v="11"/>
    <n v="30000"/>
    <x v="0"/>
    <x v="0"/>
    <n v="51"/>
  </r>
  <r>
    <x v="2"/>
    <x v="1"/>
    <n v="23"/>
    <n v="2018"/>
    <x v="0"/>
    <n v="7"/>
    <x v="1"/>
    <s v="Yes"/>
    <x v="0"/>
    <n v="2"/>
    <x v="0"/>
    <x v="0"/>
    <s v="Yes"/>
    <x v="4"/>
    <x v="1"/>
    <x v="18"/>
    <s v="Yes"/>
    <s v="Yes"/>
    <x v="0"/>
    <s v="Software Development"/>
    <n v="2"/>
    <x v="2"/>
    <s v="Married"/>
    <x v="0"/>
    <s v="Family"/>
    <x v="0"/>
    <n v="2.4"/>
    <s v="No"/>
    <n v="2.4"/>
    <n v="70"/>
    <n v="60000"/>
    <x v="2"/>
    <x v="0"/>
    <n v="31"/>
  </r>
  <r>
    <x v="2"/>
    <x v="0"/>
    <n v="23"/>
    <n v="2018"/>
    <x v="0"/>
    <n v="8"/>
    <x v="1"/>
    <s v="No"/>
    <x v="5"/>
    <n v="2"/>
    <x v="1"/>
    <x v="0"/>
    <s v="Yes"/>
    <x v="2"/>
    <x v="0"/>
    <x v="0"/>
    <s v="No"/>
    <s v="No"/>
    <x v="1"/>
    <s v="Software Development"/>
    <n v="1"/>
    <x v="5"/>
    <s v="Single"/>
    <x v="0"/>
    <s v="Bachelor"/>
    <x v="0"/>
    <n v="2.68"/>
    <s v="No"/>
    <n v="3.15"/>
    <n v="88"/>
    <n v="50000"/>
    <x v="0"/>
    <x v="0"/>
    <n v="51"/>
  </r>
  <r>
    <x v="1"/>
    <x v="0"/>
    <n v="22"/>
    <n v="2020"/>
    <x v="0"/>
    <n v="4"/>
    <x v="0"/>
    <s v="Yes"/>
    <x v="5"/>
    <n v="2"/>
    <x v="0"/>
    <x v="0"/>
    <s v="Yes"/>
    <x v="2"/>
    <x v="0"/>
    <x v="0"/>
    <s v="No"/>
    <s v="No"/>
    <x v="1"/>
    <s v="Software Development"/>
    <n v="2"/>
    <x v="2"/>
    <s v="Single"/>
    <x v="0"/>
    <s v="Family"/>
    <x v="0"/>
    <n v="2.16"/>
    <s v="No"/>
    <n v="2.75"/>
    <n v="35"/>
    <n v="40000"/>
    <x v="0"/>
    <x v="0"/>
    <n v="54"/>
  </r>
  <r>
    <x v="4"/>
    <x v="0"/>
    <n v="22"/>
    <n v="2018"/>
    <x v="0"/>
    <n v="9"/>
    <x v="0"/>
    <s v="No"/>
    <x v="6"/>
    <n v="3"/>
    <x v="0"/>
    <x v="0"/>
    <s v="Yes"/>
    <x v="1"/>
    <x v="0"/>
    <x v="0"/>
    <s v="No"/>
    <s v="No"/>
    <x v="0"/>
    <s v="Software Development"/>
    <n v="2"/>
    <x v="2"/>
    <s v="Single"/>
    <x v="1"/>
    <s v="Bachelor"/>
    <x v="0"/>
    <n v="2.68"/>
    <s v="No"/>
    <n v="3.15"/>
    <n v="100"/>
    <n v="40000"/>
    <x v="0"/>
    <x v="0"/>
    <n v="66"/>
  </r>
  <r>
    <x v="2"/>
    <x v="0"/>
    <n v="23"/>
    <n v="2018"/>
    <x v="0"/>
    <n v="8"/>
    <x v="0"/>
    <s v="Yes"/>
    <x v="3"/>
    <n v="3"/>
    <x v="0"/>
    <x v="1"/>
    <s v="Yes"/>
    <x v="2"/>
    <x v="0"/>
    <x v="19"/>
    <s v="Yes"/>
    <s v="No"/>
    <x v="0"/>
    <s v="Software Development"/>
    <n v="2"/>
    <x v="2"/>
    <s v="Single"/>
    <x v="0"/>
    <s v="Bachelor"/>
    <x v="0"/>
    <n v="2.68"/>
    <s v="No"/>
    <n v="3.15"/>
    <n v="88"/>
    <n v="12000"/>
    <x v="0"/>
    <x v="0"/>
    <n v="23"/>
  </r>
  <r>
    <x v="1"/>
    <x v="0"/>
    <n v="21"/>
    <n v="2020"/>
    <x v="0"/>
    <n v="5"/>
    <x v="1"/>
    <s v="No"/>
    <x v="3"/>
    <n v="3"/>
    <x v="0"/>
    <x v="1"/>
    <s v="Yes"/>
    <x v="2"/>
    <x v="0"/>
    <x v="6"/>
    <s v="Yes"/>
    <s v="No"/>
    <x v="0"/>
    <s v="Software Development"/>
    <n v="4"/>
    <x v="2"/>
    <s v="Single"/>
    <x v="1"/>
    <s v="Bachelor"/>
    <x v="0"/>
    <n v="0"/>
    <s v="No"/>
    <n v="2.31"/>
    <n v="46"/>
    <n v="50000"/>
    <x v="2"/>
    <x v="0"/>
    <n v="65.800000000000011"/>
  </r>
  <r>
    <x v="1"/>
    <x v="1"/>
    <n v="20"/>
    <n v="2020"/>
    <x v="0"/>
    <n v="5"/>
    <x v="1"/>
    <s v="Yes"/>
    <x v="2"/>
    <n v="3"/>
    <x v="0"/>
    <x v="0"/>
    <s v="Yes"/>
    <x v="1"/>
    <x v="1"/>
    <x v="2"/>
    <s v="No"/>
    <s v="No"/>
    <x v="1"/>
    <s v="Software Development"/>
    <n v="3"/>
    <x v="2"/>
    <s v="Single"/>
    <x v="1"/>
    <s v="Family"/>
    <x v="1"/>
    <n v="1.75"/>
    <s v="Yes"/>
    <n v="2.5099999999999998"/>
    <n v="50"/>
    <n v="50000"/>
    <x v="0"/>
    <x v="0"/>
    <n v="47"/>
  </r>
  <r>
    <x v="2"/>
    <x v="1"/>
    <n v="22"/>
    <n v="2019"/>
    <x v="0"/>
    <n v="8"/>
    <x v="1"/>
    <s v="No"/>
    <x v="5"/>
    <n v="2"/>
    <x v="0"/>
    <x v="0"/>
    <s v="No"/>
    <x v="4"/>
    <x v="0"/>
    <x v="0"/>
    <s v="No"/>
    <s v="No"/>
    <x v="0"/>
    <s v="Software Development"/>
    <n v="2"/>
    <x v="5"/>
    <s v="Single"/>
    <x v="1"/>
    <s v="Family"/>
    <x v="0"/>
    <n v="2.68"/>
    <s v="No"/>
    <n v="3.15"/>
    <n v="88"/>
    <n v="10000"/>
    <x v="0"/>
    <x v="0"/>
    <n v="54"/>
  </r>
  <r>
    <x v="2"/>
    <x v="0"/>
    <n v="22"/>
    <n v="2018"/>
    <x v="0"/>
    <n v="8"/>
    <x v="1"/>
    <s v="No"/>
    <x v="2"/>
    <n v="2"/>
    <x v="0"/>
    <x v="0"/>
    <s v="Yes"/>
    <x v="4"/>
    <x v="0"/>
    <x v="0"/>
    <s v="Yes"/>
    <s v="No"/>
    <x v="1"/>
    <s v="Nothing"/>
    <n v="0"/>
    <x v="3"/>
    <s v="Single"/>
    <x v="1"/>
    <s v="Bachelor"/>
    <x v="0"/>
    <n v="2.68"/>
    <s v="No"/>
    <n v="3.15"/>
    <n v="88"/>
    <n v="50000"/>
    <x v="0"/>
    <x v="0"/>
    <n v="42"/>
  </r>
  <r>
    <x v="3"/>
    <x v="1"/>
    <n v="22"/>
    <n v="2019"/>
    <x v="0"/>
    <n v="2"/>
    <x v="0"/>
    <s v="No"/>
    <x v="0"/>
    <n v="2"/>
    <x v="1"/>
    <x v="0"/>
    <s v="Yes"/>
    <x v="11"/>
    <x v="1"/>
    <x v="13"/>
    <s v="No"/>
    <s v="Yes"/>
    <x v="0"/>
    <s v="Nothing specially"/>
    <n v="3"/>
    <x v="9"/>
    <s v="Single"/>
    <x v="1"/>
    <s v="Family"/>
    <x v="0"/>
    <n v="2.68"/>
    <s v="No"/>
    <n v="3.15"/>
    <n v="11"/>
    <n v="100000"/>
    <x v="0"/>
    <x v="0"/>
    <n v="54.800000000000004"/>
  </r>
  <r>
    <x v="4"/>
    <x v="1"/>
    <n v="21"/>
    <n v="2018"/>
    <x v="0"/>
    <n v="8"/>
    <x v="1"/>
    <s v="No"/>
    <x v="4"/>
    <n v="3"/>
    <x v="1"/>
    <x v="0"/>
    <s v="Yes"/>
    <x v="2"/>
    <x v="0"/>
    <x v="5"/>
    <s v="No"/>
    <s v="No"/>
    <x v="1"/>
    <s v="Networking"/>
    <n v="1"/>
    <x v="3"/>
    <s v="Single"/>
    <x v="0"/>
    <s v="Bachelor"/>
    <x v="1"/>
    <n v="2.68"/>
    <s v="No"/>
    <n v="3.15"/>
    <n v="88"/>
    <n v="30000"/>
    <x v="0"/>
    <x v="0"/>
    <n v="61"/>
  </r>
  <r>
    <x v="2"/>
    <x v="1"/>
    <n v="21"/>
    <n v="2019"/>
    <x v="0"/>
    <n v="8"/>
    <x v="0"/>
    <s v="Yes"/>
    <x v="2"/>
    <n v="1"/>
    <x v="0"/>
    <x v="0"/>
    <s v="Yes"/>
    <x v="4"/>
    <x v="1"/>
    <x v="3"/>
    <s v="No"/>
    <s v="No"/>
    <x v="1"/>
    <s v="Software Development"/>
    <n v="3"/>
    <x v="2"/>
    <s v="Single"/>
    <x v="1"/>
    <s v="Family"/>
    <x v="0"/>
    <n v="2.68"/>
    <s v="No"/>
    <n v="3.15"/>
    <n v="88"/>
    <n v="40000"/>
    <x v="0"/>
    <x v="0"/>
    <n v="50.2"/>
  </r>
  <r>
    <x v="3"/>
    <x v="0"/>
    <n v="19"/>
    <n v="2020"/>
    <x v="0"/>
    <n v="1"/>
    <x v="0"/>
    <s v="Yes"/>
    <x v="1"/>
    <n v="1"/>
    <x v="0"/>
    <x v="0"/>
    <s v="Yes"/>
    <x v="5"/>
    <x v="0"/>
    <x v="4"/>
    <s v="No"/>
    <s v="No"/>
    <x v="1"/>
    <s v="Software Development"/>
    <n v="1"/>
    <x v="2"/>
    <s v="Single"/>
    <x v="0"/>
    <s v="Family"/>
    <x v="0"/>
    <n v="2.68"/>
    <s v="No"/>
    <n v="3.15"/>
    <n v="0"/>
    <n v="50000"/>
    <x v="0"/>
    <x v="0"/>
    <n v="44"/>
  </r>
  <r>
    <x v="2"/>
    <x v="1"/>
    <n v="20"/>
    <n v="2018"/>
    <x v="0"/>
    <n v="8"/>
    <x v="1"/>
    <s v="No"/>
    <x v="0"/>
    <n v="2"/>
    <x v="0"/>
    <x v="0"/>
    <s v="Yes"/>
    <x v="2"/>
    <x v="2"/>
    <x v="8"/>
    <s v="No"/>
    <s v="No"/>
    <x v="0"/>
    <s v="Software Development"/>
    <n v="2"/>
    <x v="6"/>
    <s v="Single"/>
    <x v="1"/>
    <s v="Family"/>
    <x v="0"/>
    <n v="2.6"/>
    <s v="No"/>
    <n v="2.81"/>
    <n v="75"/>
    <n v="500000"/>
    <x v="0"/>
    <x v="0"/>
    <n v="54.2"/>
  </r>
  <r>
    <x v="1"/>
    <x v="0"/>
    <n v="20"/>
    <n v="2020"/>
    <x v="0"/>
    <n v="4"/>
    <x v="0"/>
    <s v="No"/>
    <x v="7"/>
    <n v="2"/>
    <x v="0"/>
    <x v="0"/>
    <s v="Yes"/>
    <x v="3"/>
    <x v="0"/>
    <x v="0"/>
    <s v="No"/>
    <s v="No"/>
    <x v="1"/>
    <s v="Software Development"/>
    <n v="9"/>
    <x v="4"/>
    <s v="Relationship"/>
    <x v="1"/>
    <s v="Bachelor"/>
    <x v="0"/>
    <n v="3.33"/>
    <s v="No"/>
    <n v="3.5"/>
    <n v="33"/>
    <n v="40000"/>
    <x v="1"/>
    <x v="0"/>
    <n v="84"/>
  </r>
  <r>
    <x v="1"/>
    <x v="0"/>
    <n v="24"/>
    <n v="2017"/>
    <x v="0"/>
    <n v="4"/>
    <x v="1"/>
    <s v="No"/>
    <x v="0"/>
    <n v="2"/>
    <x v="0"/>
    <x v="0"/>
    <s v="Yes"/>
    <x v="2"/>
    <x v="0"/>
    <x v="0"/>
    <s v="No"/>
    <s v="No"/>
    <x v="1"/>
    <s v="Software Development"/>
    <n v="2"/>
    <x v="2"/>
    <s v="Relationship"/>
    <x v="0"/>
    <s v="Bachelor"/>
    <x v="0"/>
    <n v="4"/>
    <s v="No"/>
    <n v="3.92"/>
    <n v="34"/>
    <n v="40000"/>
    <x v="1"/>
    <x v="0"/>
    <n v="51"/>
  </r>
  <r>
    <x v="1"/>
    <x v="0"/>
    <n v="22"/>
    <n v="2020"/>
    <x v="0"/>
    <n v="2"/>
    <x v="0"/>
    <s v="Yes"/>
    <x v="4"/>
    <n v="3"/>
    <x v="0"/>
    <x v="0"/>
    <s v="Yes"/>
    <x v="2"/>
    <x v="1"/>
    <x v="5"/>
    <s v="No"/>
    <s v="No"/>
    <x v="0"/>
    <s v="Cyber security"/>
    <n v="3"/>
    <x v="4"/>
    <s v="Single"/>
    <x v="0"/>
    <s v="Family"/>
    <x v="0"/>
    <n v="3.25"/>
    <s v="No"/>
    <n v="3.25"/>
    <n v="11"/>
    <n v="30000"/>
    <x v="0"/>
    <x v="0"/>
    <n v="67"/>
  </r>
  <r>
    <x v="4"/>
    <x v="0"/>
    <n v="22"/>
    <n v="2018"/>
    <x v="0"/>
    <n v="11"/>
    <x v="0"/>
    <s v="No"/>
    <x v="1"/>
    <n v="1"/>
    <x v="0"/>
    <x v="0"/>
    <s v="Yes"/>
    <x v="3"/>
    <x v="1"/>
    <x v="5"/>
    <s v="No"/>
    <s v="No"/>
    <x v="0"/>
    <s v="Cyber security"/>
    <n v="2"/>
    <x v="2"/>
    <s v="Single"/>
    <x v="0"/>
    <s v="Family"/>
    <x v="0"/>
    <n v="3.46"/>
    <s v="No"/>
    <n v="3.1"/>
    <n v="102"/>
    <n v="40000"/>
    <x v="0"/>
    <x v="0"/>
    <n v="49"/>
  </r>
  <r>
    <x v="3"/>
    <x v="0"/>
    <n v="19"/>
    <n v="2020"/>
    <x v="0"/>
    <n v="2"/>
    <x v="0"/>
    <s v="No"/>
    <x v="1"/>
    <n v="2"/>
    <x v="0"/>
    <x v="0"/>
    <s v="Yes"/>
    <x v="2"/>
    <x v="0"/>
    <x v="9"/>
    <s v="No"/>
    <s v="No"/>
    <x v="1"/>
    <s v="Software Development"/>
    <n v="1"/>
    <x v="2"/>
    <s v="Single"/>
    <x v="1"/>
    <s v="Bachelor"/>
    <x v="0"/>
    <n v="3.73"/>
    <s v="No"/>
    <n v="3.73"/>
    <n v="11"/>
    <n v="20000"/>
    <x v="1"/>
    <x v="0"/>
    <n v="40"/>
  </r>
  <r>
    <x v="8"/>
    <x v="0"/>
    <n v="26"/>
    <n v="2014"/>
    <x v="0"/>
    <n v="22"/>
    <x v="1"/>
    <s v="Yes"/>
    <x v="0"/>
    <n v="2"/>
    <x v="1"/>
    <x v="0"/>
    <s v="Yes"/>
    <x v="3"/>
    <x v="1"/>
    <x v="5"/>
    <s v="Yes"/>
    <s v="No"/>
    <x v="0"/>
    <s v="Cyber security"/>
    <n v="5"/>
    <x v="4"/>
    <s v="Single"/>
    <x v="1"/>
    <s v="Family"/>
    <x v="0"/>
    <n v="2"/>
    <s v="No"/>
    <n v="2"/>
    <n v="80"/>
    <n v="25000"/>
    <x v="2"/>
    <x v="0"/>
    <n v="64"/>
  </r>
  <r>
    <x v="4"/>
    <x v="0"/>
    <n v="25"/>
    <n v="2017"/>
    <x v="0"/>
    <n v="11"/>
    <x v="0"/>
    <s v="Yes"/>
    <x v="2"/>
    <n v="1"/>
    <x v="0"/>
    <x v="0"/>
    <s v="Yes"/>
    <x v="0"/>
    <x v="0"/>
    <x v="2"/>
    <s v="No"/>
    <s v="No"/>
    <x v="0"/>
    <s v="Basic"/>
    <n v="2"/>
    <x v="2"/>
    <s v="Single"/>
    <x v="0"/>
    <s v="Bachelor"/>
    <x v="0"/>
    <n v="3.78"/>
    <s v="No"/>
    <n v="3.56"/>
    <n v="132"/>
    <n v="20000"/>
    <x v="1"/>
    <x v="0"/>
    <n v="44"/>
  </r>
  <r>
    <x v="5"/>
    <x v="0"/>
    <n v="24"/>
    <n v="2015"/>
    <x v="0"/>
    <n v="15"/>
    <x v="0"/>
    <s v="Yes"/>
    <x v="4"/>
    <n v="4"/>
    <x v="0"/>
    <x v="0"/>
    <s v="Yes"/>
    <x v="3"/>
    <x v="0"/>
    <x v="5"/>
    <s v="No"/>
    <s v="No"/>
    <x v="0"/>
    <s v="Software Development"/>
    <n v="2"/>
    <x v="2"/>
    <s v="Single"/>
    <x v="0"/>
    <s v="Family"/>
    <x v="0"/>
    <n v="3.42"/>
    <s v="No"/>
    <n v="3.02"/>
    <n v="136"/>
    <n v="50000"/>
    <x v="0"/>
    <x v="0"/>
    <n v="64"/>
  </r>
  <r>
    <x v="0"/>
    <x v="1"/>
    <n v="21"/>
    <n v="2017"/>
    <x v="0"/>
    <n v="14"/>
    <x v="1"/>
    <s v="No"/>
    <x v="5"/>
    <n v="5"/>
    <x v="1"/>
    <x v="0"/>
    <s v="Yes"/>
    <x v="0"/>
    <x v="2"/>
    <x v="4"/>
    <s v="Yes"/>
    <s v="No"/>
    <x v="0"/>
    <s v="Software Development"/>
    <n v="1"/>
    <x v="2"/>
    <s v="Single"/>
    <x v="1"/>
    <s v="Bachelor"/>
    <x v="1"/>
    <n v="3.5"/>
    <s v="No"/>
    <n v="3.2"/>
    <n v="122"/>
    <n v="15000"/>
    <x v="0"/>
    <x v="0"/>
    <n v="53"/>
  </r>
  <r>
    <x v="3"/>
    <x v="0"/>
    <n v="21"/>
    <n v="2020"/>
    <x v="0"/>
    <n v="2"/>
    <x v="0"/>
    <s v="No"/>
    <x v="2"/>
    <n v="1"/>
    <x v="0"/>
    <x v="0"/>
    <s v="Yes"/>
    <x v="1"/>
    <x v="0"/>
    <x v="0"/>
    <s v="No"/>
    <s v="No"/>
    <x v="0"/>
    <s v="Software Development"/>
    <n v="2"/>
    <x v="2"/>
    <s v="Single"/>
    <x v="0"/>
    <s v="Bachelor"/>
    <x v="0"/>
    <n v="3.26"/>
    <s v="No"/>
    <n v="3.26"/>
    <n v="11"/>
    <n v="22000"/>
    <x v="0"/>
    <x v="0"/>
    <n v="48"/>
  </r>
  <r>
    <x v="3"/>
    <x v="1"/>
    <n v="21"/>
    <n v="2020"/>
    <x v="0"/>
    <n v="2"/>
    <x v="0"/>
    <s v="Yes"/>
    <x v="2"/>
    <n v="2"/>
    <x v="0"/>
    <x v="0"/>
    <s v="Yes"/>
    <x v="2"/>
    <x v="1"/>
    <x v="7"/>
    <s v="Yes"/>
    <s v="No"/>
    <x v="1"/>
    <s v="Cyber security"/>
    <n v="1"/>
    <x v="3"/>
    <s v="Single"/>
    <x v="1"/>
    <s v="Family"/>
    <x v="0"/>
    <n v="3.9"/>
    <s v="No"/>
    <n v="3.8"/>
    <n v="12"/>
    <n v="25000"/>
    <x v="1"/>
    <x v="0"/>
    <n v="37"/>
  </r>
  <r>
    <x v="4"/>
    <x v="1"/>
    <n v="21"/>
    <n v="2018"/>
    <x v="0"/>
    <n v="9"/>
    <x v="0"/>
    <s v="Yes"/>
    <x v="2"/>
    <n v="1"/>
    <x v="1"/>
    <x v="0"/>
    <s v="Yes"/>
    <x v="0"/>
    <x v="0"/>
    <x v="4"/>
    <s v="No"/>
    <s v="No"/>
    <x v="1"/>
    <s v="Software Development"/>
    <n v="1"/>
    <x v="2"/>
    <s v="Single"/>
    <x v="1"/>
    <s v="Family"/>
    <x v="0"/>
    <n v="3.7"/>
    <s v="No"/>
    <n v="3.68"/>
    <n v="105"/>
    <n v="50000"/>
    <x v="1"/>
    <x v="0"/>
    <n v="47"/>
  </r>
  <r>
    <x v="4"/>
    <x v="1"/>
    <n v="22"/>
    <n v="2018"/>
    <x v="0"/>
    <n v="11"/>
    <x v="1"/>
    <s v="No"/>
    <x v="0"/>
    <n v="2"/>
    <x v="0"/>
    <x v="0"/>
    <s v="Yes"/>
    <x v="1"/>
    <x v="0"/>
    <x v="5"/>
    <s v="No"/>
    <s v="No"/>
    <x v="1"/>
    <s v="Software Development"/>
    <n v="2"/>
    <x v="2"/>
    <s v="Single"/>
    <x v="1"/>
    <s v="Bachelor"/>
    <x v="0"/>
    <n v="3.82"/>
    <s v="No"/>
    <n v="3.65"/>
    <n v="78"/>
    <n v="30000"/>
    <x v="1"/>
    <x v="0"/>
    <n v="55"/>
  </r>
  <r>
    <x v="4"/>
    <x v="1"/>
    <n v="21"/>
    <n v="2018"/>
    <x v="0"/>
    <n v="11"/>
    <x v="0"/>
    <s v="No"/>
    <x v="3"/>
    <n v="2"/>
    <x v="0"/>
    <x v="0"/>
    <s v="Yes"/>
    <x v="0"/>
    <x v="2"/>
    <x v="10"/>
    <s v="No"/>
    <s v="No"/>
    <x v="1"/>
    <s v="Software Development"/>
    <n v="2"/>
    <x v="5"/>
    <s v="Single"/>
    <x v="0"/>
    <s v="Family"/>
    <x v="0"/>
    <n v="3.85"/>
    <s v="No"/>
    <n v="3.72"/>
    <n v="126"/>
    <n v="100000"/>
    <x v="1"/>
    <x v="0"/>
    <n v="60.6"/>
  </r>
  <r>
    <x v="7"/>
    <x v="0"/>
    <n v="24"/>
    <n v="2016"/>
    <x v="0"/>
    <n v="18"/>
    <x v="1"/>
    <s v="Yes"/>
    <x v="2"/>
    <n v="2"/>
    <x v="0"/>
    <x v="0"/>
    <s v="Yes"/>
    <x v="1"/>
    <x v="2"/>
    <x v="4"/>
    <s v="Yes"/>
    <s v="No"/>
    <x v="0"/>
    <s v="Software Development"/>
    <n v="3"/>
    <x v="2"/>
    <s v="Married"/>
    <x v="0"/>
    <s v="Bachelor"/>
    <x v="0"/>
    <n v="3.1"/>
    <s v="No"/>
    <n v="2.84"/>
    <n v="133"/>
    <n v="20000"/>
    <x v="0"/>
    <x v="0"/>
    <n v="53"/>
  </r>
  <r>
    <x v="3"/>
    <x v="1"/>
    <n v="20"/>
    <n v="2020"/>
    <x v="0"/>
    <n v="2"/>
    <x v="0"/>
    <s v="No"/>
    <x v="2"/>
    <n v="2"/>
    <x v="1"/>
    <x v="0"/>
    <s v="No"/>
    <x v="5"/>
    <x v="0"/>
    <x v="0"/>
    <s v="No"/>
    <s v="No"/>
    <x v="0"/>
    <s v="Networking"/>
    <n v="0"/>
    <x v="2"/>
    <s v="Single"/>
    <x v="1"/>
    <s v="Bachelor"/>
    <x v="0"/>
    <n v="2.67"/>
    <s v="No"/>
    <n v="2.67"/>
    <n v="12"/>
    <n v="35000"/>
    <x v="0"/>
    <x v="0"/>
    <n v="42"/>
  </r>
  <r>
    <x v="4"/>
    <x v="1"/>
    <n v="23"/>
    <n v="2017"/>
    <x v="0"/>
    <n v="9"/>
    <x v="1"/>
    <s v="Yes"/>
    <x v="0"/>
    <n v="2"/>
    <x v="0"/>
    <x v="0"/>
    <s v="Yes"/>
    <x v="3"/>
    <x v="0"/>
    <x v="2"/>
    <s v="No"/>
    <s v="No"/>
    <x v="1"/>
    <s v="Software Development"/>
    <n v="1"/>
    <x v="5"/>
    <s v="Single"/>
    <x v="1"/>
    <s v="Bachelor"/>
    <x v="0"/>
    <n v="3.82"/>
    <s v="No"/>
    <n v="3.6"/>
    <n v="84"/>
    <n v="30000"/>
    <x v="1"/>
    <x v="0"/>
    <n v="44"/>
  </r>
  <r>
    <x v="3"/>
    <x v="0"/>
    <n v="20"/>
    <n v="2020"/>
    <x v="0"/>
    <n v="2"/>
    <x v="0"/>
    <s v="Yes"/>
    <x v="5"/>
    <n v="3"/>
    <x v="0"/>
    <x v="0"/>
    <s v="Yes"/>
    <x v="2"/>
    <x v="1"/>
    <x v="5"/>
    <s v="No"/>
    <s v="No"/>
    <x v="1"/>
    <s v="Software Development"/>
    <n v="2"/>
    <x v="2"/>
    <s v="Single"/>
    <x v="0"/>
    <s v="Family"/>
    <x v="0"/>
    <n v="3.72"/>
    <s v="No"/>
    <n v="3.72"/>
    <n v="11"/>
    <n v="40000"/>
    <x v="1"/>
    <x v="0"/>
    <n v="58"/>
  </r>
  <r>
    <x v="3"/>
    <x v="1"/>
    <n v="21"/>
    <n v="2018"/>
    <x v="0"/>
    <n v="10"/>
    <x v="1"/>
    <s v="Yes"/>
    <x v="2"/>
    <n v="1"/>
    <x v="0"/>
    <x v="0"/>
    <s v="Yes"/>
    <x v="2"/>
    <x v="0"/>
    <x v="0"/>
    <s v="No"/>
    <s v="No"/>
    <x v="0"/>
    <s v="Software Development"/>
    <n v="1"/>
    <x v="3"/>
    <s v="Single"/>
    <x v="1"/>
    <s v="Family"/>
    <x v="0"/>
    <n v="3.51"/>
    <s v="No"/>
    <n v="3.56"/>
    <n v="125"/>
    <n v="40000"/>
    <x v="1"/>
    <x v="0"/>
    <n v="45"/>
  </r>
  <r>
    <x v="2"/>
    <x v="0"/>
    <n v="22"/>
    <n v="2018"/>
    <x v="0"/>
    <n v="8"/>
    <x v="1"/>
    <s v="No"/>
    <x v="6"/>
    <n v="7"/>
    <x v="1"/>
    <x v="0"/>
    <s v="No"/>
    <x v="4"/>
    <x v="0"/>
    <x v="0"/>
    <s v="No"/>
    <s v="No"/>
    <x v="0"/>
    <s v="Software Development"/>
    <n v="5"/>
    <x v="2"/>
    <s v="Single"/>
    <x v="1"/>
    <s v="Bachelor"/>
    <x v="1"/>
    <n v="3.48"/>
    <s v="No"/>
    <n v="3.35"/>
    <n v="75"/>
    <n v="40000"/>
    <x v="0"/>
    <x v="0"/>
    <n v="75"/>
  </r>
  <r>
    <x v="4"/>
    <x v="0"/>
    <n v="22"/>
    <n v="2018"/>
    <x v="0"/>
    <n v="11"/>
    <x v="1"/>
    <s v="No"/>
    <x v="0"/>
    <n v="2"/>
    <x v="0"/>
    <x v="0"/>
    <s v="Yes"/>
    <x v="12"/>
    <x v="1"/>
    <x v="0"/>
    <s v="No"/>
    <s v="No"/>
    <x v="0"/>
    <s v="Software Development"/>
    <n v="1"/>
    <x v="5"/>
    <s v="Single"/>
    <x v="1"/>
    <s v="Bachelor"/>
    <x v="0"/>
    <n v="2.65"/>
    <s v="No"/>
    <n v="2.99"/>
    <n v="121"/>
    <n v="50000"/>
    <x v="0"/>
    <x v="0"/>
    <n v="48"/>
  </r>
  <r>
    <x v="4"/>
    <x v="0"/>
    <n v="22"/>
    <n v="2018"/>
    <x v="0"/>
    <n v="11"/>
    <x v="1"/>
    <s v="Yes"/>
    <x v="4"/>
    <n v="3"/>
    <x v="1"/>
    <x v="0"/>
    <s v="Yes"/>
    <x v="2"/>
    <x v="0"/>
    <x v="5"/>
    <s v="No"/>
    <s v="No"/>
    <x v="0"/>
    <s v="Software Development"/>
    <n v="5"/>
    <x v="2"/>
    <s v="Relationship"/>
    <x v="0"/>
    <s v="Bachelor"/>
    <x v="0"/>
    <n v="3.72"/>
    <s v="No"/>
    <n v="3.42"/>
    <n v="131"/>
    <n v="62488"/>
    <x v="0"/>
    <x v="0"/>
    <n v="73"/>
  </r>
  <r>
    <x v="1"/>
    <x v="0"/>
    <n v="23"/>
    <n v="2018"/>
    <x v="0"/>
    <n v="2"/>
    <x v="0"/>
    <s v="No"/>
    <x v="0"/>
    <n v="2"/>
    <x v="1"/>
    <x v="0"/>
    <s v="No"/>
    <x v="1"/>
    <x v="1"/>
    <x v="9"/>
    <s v="Yes"/>
    <s v="No"/>
    <x v="0"/>
    <s v="Software Development"/>
    <n v="1"/>
    <x v="2"/>
    <s v="Single"/>
    <x v="1"/>
    <s v="Bachelor"/>
    <x v="0"/>
    <n v="1.96"/>
    <s v="No"/>
    <n v="1.96"/>
    <n v="11"/>
    <n v="62488"/>
    <x v="2"/>
    <x v="0"/>
    <n v="46"/>
  </r>
  <r>
    <x v="4"/>
    <x v="1"/>
    <n v="23"/>
    <n v="2017"/>
    <x v="0"/>
    <n v="10"/>
    <x v="0"/>
    <s v="Yes"/>
    <x v="2"/>
    <n v="2"/>
    <x v="0"/>
    <x v="0"/>
    <s v="Yes"/>
    <x v="3"/>
    <x v="2"/>
    <x v="4"/>
    <s v="No"/>
    <s v="No"/>
    <x v="0"/>
    <s v="Networking"/>
    <n v="2"/>
    <x v="4"/>
    <s v="Married"/>
    <x v="0"/>
    <s v="Family"/>
    <x v="0"/>
    <n v="3.38"/>
    <s v="No"/>
    <n v="3.6"/>
    <n v="120"/>
    <n v="50000"/>
    <x v="1"/>
    <x v="0"/>
    <n v="50"/>
  </r>
  <r>
    <x v="0"/>
    <x v="0"/>
    <n v="23"/>
    <n v="2017"/>
    <x v="0"/>
    <n v="14"/>
    <x v="1"/>
    <s v="Yes"/>
    <x v="7"/>
    <n v="2"/>
    <x v="1"/>
    <x v="0"/>
    <s v="Yes"/>
    <x v="2"/>
    <x v="0"/>
    <x v="2"/>
    <s v="Yes"/>
    <s v="No"/>
    <x v="1"/>
    <s v="Software Development"/>
    <n v="2"/>
    <x v="2"/>
    <s v="Relationship"/>
    <x v="0"/>
    <s v="Family"/>
    <x v="0"/>
    <n v="2.8"/>
    <s v="No"/>
    <n v="2.8"/>
    <n v="130"/>
    <n v="18000"/>
    <x v="0"/>
    <x v="0"/>
    <n v="59"/>
  </r>
  <r>
    <x v="4"/>
    <x v="1"/>
    <n v="21"/>
    <n v="2018"/>
    <x v="0"/>
    <n v="9"/>
    <x v="1"/>
    <s v="No"/>
    <x v="3"/>
    <n v="2"/>
    <x v="1"/>
    <x v="0"/>
    <s v="Yes"/>
    <x v="4"/>
    <x v="0"/>
    <x v="5"/>
    <s v="No"/>
    <s v="No"/>
    <x v="0"/>
    <s v="Software Development"/>
    <n v="2"/>
    <x v="2"/>
    <s v="Single"/>
    <x v="1"/>
    <s v="Family"/>
    <x v="1"/>
    <n v="3.36"/>
    <s v="No"/>
    <n v="3.59"/>
    <n v="100"/>
    <n v="40000"/>
    <x v="1"/>
    <x v="0"/>
    <n v="61"/>
  </r>
  <r>
    <x v="2"/>
    <x v="0"/>
    <n v="22"/>
    <n v="2022"/>
    <x v="0"/>
    <n v="8"/>
    <x v="1"/>
    <s v="No"/>
    <x v="2"/>
    <n v="2"/>
    <x v="0"/>
    <x v="0"/>
    <s v="Yes"/>
    <x v="4"/>
    <x v="0"/>
    <x v="9"/>
    <s v="No"/>
    <s v="No"/>
    <x v="0"/>
    <s v="Software Development"/>
    <n v="1"/>
    <x v="2"/>
    <s v="Single"/>
    <x v="1"/>
    <s v="Bachelor"/>
    <x v="0"/>
    <n v="3.33"/>
    <s v="No"/>
    <n v="3.1"/>
    <n v="80"/>
    <n v="62488"/>
    <x v="0"/>
    <x v="0"/>
    <n v="43"/>
  </r>
  <r>
    <x v="5"/>
    <x v="0"/>
    <n v="25"/>
    <n v="2016"/>
    <x v="0"/>
    <n v="15"/>
    <x v="1"/>
    <s v="No"/>
    <x v="1"/>
    <n v="1"/>
    <x v="1"/>
    <x v="0"/>
    <s v="Yes"/>
    <x v="2"/>
    <x v="0"/>
    <x v="0"/>
    <s v="Yes"/>
    <s v="No"/>
    <x v="0"/>
    <s v="Networking, MIS"/>
    <n v="2"/>
    <x v="6"/>
    <s v="Single"/>
    <x v="0"/>
    <s v="Family"/>
    <x v="1"/>
    <n v="2.11"/>
    <s v="Yes"/>
    <n v="2.54"/>
    <n v="126"/>
    <n v="80000"/>
    <x v="0"/>
    <x v="0"/>
    <n v="45"/>
  </r>
  <r>
    <x v="1"/>
    <x v="0"/>
    <n v="21"/>
    <n v="2020"/>
    <x v="0"/>
    <n v="4"/>
    <x v="1"/>
    <s v="No"/>
    <x v="1"/>
    <n v="1"/>
    <x v="0"/>
    <x v="0"/>
    <s v="Yes"/>
    <x v="5"/>
    <x v="1"/>
    <x v="20"/>
    <s v="No"/>
    <s v="No"/>
    <x v="0"/>
    <s v="Software Development"/>
    <n v="1"/>
    <x v="2"/>
    <s v="Single"/>
    <x v="1"/>
    <s v="Family"/>
    <x v="1"/>
    <n v="2.83"/>
    <s v="No"/>
    <n v="3.05"/>
    <n v="37"/>
    <n v="20000"/>
    <x v="0"/>
    <x v="0"/>
    <n v="26.8"/>
  </r>
  <r>
    <x v="1"/>
    <x v="0"/>
    <n v="21"/>
    <n v="2019"/>
    <x v="0"/>
    <n v="4"/>
    <x v="0"/>
    <s v="Yes"/>
    <x v="0"/>
    <n v="2"/>
    <x v="1"/>
    <x v="0"/>
    <s v="Yes"/>
    <x v="4"/>
    <x v="0"/>
    <x v="3"/>
    <s v="Yes"/>
    <s v="No"/>
    <x v="1"/>
    <s v="Software Development"/>
    <n v="2"/>
    <x v="2"/>
    <s v="Single"/>
    <x v="0"/>
    <s v="Family"/>
    <x v="0"/>
    <n v="2.2000000000000002"/>
    <s v="No"/>
    <n v="2.2000000000000002"/>
    <n v="30"/>
    <n v="62488"/>
    <x v="2"/>
    <x v="0"/>
    <n v="50.2"/>
  </r>
  <r>
    <x v="4"/>
    <x v="0"/>
    <n v="23"/>
    <n v="2018"/>
    <x v="0"/>
    <n v="11"/>
    <x v="1"/>
    <s v="Yes"/>
    <x v="4"/>
    <n v="3"/>
    <x v="0"/>
    <x v="0"/>
    <s v="Yes"/>
    <x v="5"/>
    <x v="0"/>
    <x v="8"/>
    <s v="No"/>
    <s v="No"/>
    <x v="0"/>
    <s v="Software Development"/>
    <n v="3"/>
    <x v="2"/>
    <s v="Single"/>
    <x v="0"/>
    <s v="Family"/>
    <x v="0"/>
    <n v="3.2"/>
    <s v="No"/>
    <n v="3.22"/>
    <n v="110"/>
    <n v="50000"/>
    <x v="0"/>
    <x v="0"/>
    <n v="66.2"/>
  </r>
  <r>
    <x v="4"/>
    <x v="0"/>
    <n v="26"/>
    <n v="2014"/>
    <x v="0"/>
    <n v="10"/>
    <x v="1"/>
    <s v="No"/>
    <x v="5"/>
    <n v="2"/>
    <x v="0"/>
    <x v="0"/>
    <s v="Yes"/>
    <x v="3"/>
    <x v="0"/>
    <x v="7"/>
    <s v="Yes"/>
    <s v="No"/>
    <x v="0"/>
    <s v="Software Development"/>
    <n v="2"/>
    <x v="2"/>
    <s v="Single"/>
    <x v="0"/>
    <s v="Bachelor"/>
    <x v="0"/>
    <n v="2.81"/>
    <s v="No"/>
    <n v="3.2"/>
    <n v="104"/>
    <n v="12000"/>
    <x v="0"/>
    <x v="0"/>
    <n v="46"/>
  </r>
  <r>
    <x v="3"/>
    <x v="0"/>
    <n v="20"/>
    <n v="2020"/>
    <x v="0"/>
    <n v="2"/>
    <x v="1"/>
    <s v="No"/>
    <x v="3"/>
    <n v="3"/>
    <x v="0"/>
    <x v="1"/>
    <s v="Yes"/>
    <x v="2"/>
    <x v="1"/>
    <x v="5"/>
    <s v="No"/>
    <s v="No"/>
    <x v="1"/>
    <s v="Software Development"/>
    <n v="5"/>
    <x v="2"/>
    <s v="Single"/>
    <x v="0"/>
    <s v="Bachelor"/>
    <x v="0"/>
    <n v="3.48"/>
    <s v="No"/>
    <n v="3.48"/>
    <n v="11"/>
    <n v="20000"/>
    <x v="0"/>
    <x v="0"/>
    <n v="70"/>
  </r>
  <r>
    <x v="3"/>
    <x v="1"/>
    <n v="20"/>
    <n v="2020"/>
    <x v="0"/>
    <n v="2"/>
    <x v="0"/>
    <s v="No"/>
    <x v="3"/>
    <n v="1"/>
    <x v="0"/>
    <x v="0"/>
    <s v="Yes"/>
    <x v="5"/>
    <x v="0"/>
    <x v="0"/>
    <s v="No"/>
    <s v="No"/>
    <x v="1"/>
    <s v="Software Development"/>
    <n v="5"/>
    <x v="2"/>
    <s v="Single"/>
    <x v="1"/>
    <s v="Family"/>
    <x v="1"/>
    <n v="4"/>
    <s v="No"/>
    <n v="0"/>
    <n v="11"/>
    <n v="50000"/>
    <x v="2"/>
    <x v="0"/>
    <n v="66"/>
  </r>
  <r>
    <x v="3"/>
    <x v="0"/>
    <n v="20"/>
    <n v="2020"/>
    <x v="0"/>
    <n v="1"/>
    <x v="0"/>
    <s v="Yes"/>
    <x v="2"/>
    <n v="7"/>
    <x v="0"/>
    <x v="0"/>
    <s v="Yes"/>
    <x v="5"/>
    <x v="1"/>
    <x v="5"/>
    <s v="Yes"/>
    <s v="No"/>
    <x v="1"/>
    <s v="Software Development"/>
    <n v="4"/>
    <x v="2"/>
    <s v="Single"/>
    <x v="1"/>
    <s v="Family"/>
    <x v="0"/>
    <n v="4"/>
    <s v="No"/>
    <n v="4"/>
    <n v="14"/>
    <n v="62488"/>
    <x v="1"/>
    <x v="0"/>
    <n v="58"/>
  </r>
  <r>
    <x v="4"/>
    <x v="0"/>
    <n v="23"/>
    <n v="2017"/>
    <x v="0"/>
    <n v="9"/>
    <x v="0"/>
    <s v="Yes"/>
    <x v="5"/>
    <n v="2"/>
    <x v="0"/>
    <x v="0"/>
    <s v="Yes"/>
    <x v="5"/>
    <x v="0"/>
    <x v="0"/>
    <s v="No"/>
    <s v="No"/>
    <x v="1"/>
    <s v="Software Development"/>
    <n v="1"/>
    <x v="5"/>
    <s v="Single"/>
    <x v="1"/>
    <s v="Bachelor"/>
    <x v="0"/>
    <n v="3.7"/>
    <s v="No"/>
    <n v="3.5"/>
    <n v="89"/>
    <n v="50000"/>
    <x v="1"/>
    <x v="0"/>
    <n v="51"/>
  </r>
  <r>
    <x v="3"/>
    <x v="0"/>
    <n v="20"/>
    <n v="2020"/>
    <x v="0"/>
    <n v="1"/>
    <x v="0"/>
    <s v="Yes"/>
    <x v="0"/>
    <n v="1"/>
    <x v="0"/>
    <x v="0"/>
    <s v="No"/>
    <x v="5"/>
    <x v="1"/>
    <x v="5"/>
    <s v="No"/>
    <s v="No"/>
    <x v="0"/>
    <s v="Software Development"/>
    <n v="0"/>
    <x v="2"/>
    <s v="Relationship"/>
    <x v="0"/>
    <s v="Family"/>
    <x v="0"/>
    <n v="0"/>
    <s v="No"/>
    <n v="0"/>
    <n v="11"/>
    <n v="25000"/>
    <x v="2"/>
    <x v="0"/>
    <n v="49"/>
  </r>
  <r>
    <x v="3"/>
    <x v="1"/>
    <n v="21"/>
    <n v="2019"/>
    <x v="0"/>
    <n v="2"/>
    <x v="0"/>
    <s v="Yes"/>
    <x v="5"/>
    <n v="3"/>
    <x v="0"/>
    <x v="0"/>
    <s v="Yes"/>
    <x v="0"/>
    <x v="0"/>
    <x v="0"/>
    <s v="No"/>
    <s v="No"/>
    <x v="1"/>
    <s v="Software Development"/>
    <n v="3"/>
    <x v="2"/>
    <s v="Single"/>
    <x v="1"/>
    <s v="Family"/>
    <x v="0"/>
    <n v="3.68"/>
    <s v="No"/>
    <n v="0"/>
    <n v="11"/>
    <n v="25000"/>
    <x v="2"/>
    <x v="0"/>
    <n v="57"/>
  </r>
  <r>
    <x v="3"/>
    <x v="0"/>
    <n v="21"/>
    <n v="2020"/>
    <x v="0"/>
    <n v="1"/>
    <x v="0"/>
    <s v="No"/>
    <x v="3"/>
    <n v="2"/>
    <x v="0"/>
    <x v="0"/>
    <s v="Yes"/>
    <x v="2"/>
    <x v="0"/>
    <x v="4"/>
    <s v="No"/>
    <s v="No"/>
    <x v="1"/>
    <s v="Software Development"/>
    <n v="2"/>
    <x v="2"/>
    <s v="Single"/>
    <x v="1"/>
    <s v="Bachelor"/>
    <x v="0"/>
    <n v="3.3"/>
    <s v="No"/>
    <n v="3.3"/>
    <n v="11"/>
    <n v="50000"/>
    <x v="0"/>
    <x v="0"/>
    <n v="59"/>
  </r>
  <r>
    <x v="0"/>
    <x v="0"/>
    <n v="22"/>
    <n v="2016"/>
    <x v="0"/>
    <n v="12"/>
    <x v="1"/>
    <s v="No"/>
    <x v="5"/>
    <n v="2"/>
    <x v="1"/>
    <x v="0"/>
    <s v="Yes"/>
    <x v="2"/>
    <x v="0"/>
    <x v="3"/>
    <s v="No"/>
    <s v="No"/>
    <x v="0"/>
    <s v="Cyber security"/>
    <n v="6"/>
    <x v="6"/>
    <s v="Single"/>
    <x v="0"/>
    <s v="Bachelor"/>
    <x v="0"/>
    <n v="3.85"/>
    <s v="No"/>
    <n v="3.1"/>
    <n v="115"/>
    <n v="62488"/>
    <x v="0"/>
    <x v="0"/>
    <n v="65.2"/>
  </r>
  <r>
    <x v="4"/>
    <x v="0"/>
    <n v="21"/>
    <n v="2018"/>
    <x v="0"/>
    <n v="11"/>
    <x v="0"/>
    <s v="No"/>
    <x v="2"/>
    <n v="2"/>
    <x v="1"/>
    <x v="0"/>
    <s v="Yes"/>
    <x v="1"/>
    <x v="0"/>
    <x v="0"/>
    <s v="No"/>
    <s v="No"/>
    <x v="0"/>
    <s v="Software Development"/>
    <n v="5"/>
    <x v="2"/>
    <s v="Single"/>
    <x v="1"/>
    <s v="Bachelor"/>
    <x v="0"/>
    <n v="4"/>
    <s v="No"/>
    <n v="3.78"/>
    <n v="120"/>
    <n v="50000"/>
    <x v="1"/>
    <x v="0"/>
    <n v="57"/>
  </r>
  <r>
    <x v="0"/>
    <x v="1"/>
    <n v="24"/>
    <n v="2018"/>
    <x v="0"/>
    <n v="12"/>
    <x v="1"/>
    <s v="No"/>
    <x v="5"/>
    <n v="2"/>
    <x v="0"/>
    <x v="0"/>
    <s v="Yes"/>
    <x v="3"/>
    <x v="0"/>
    <x v="6"/>
    <s v="No"/>
    <s v="No"/>
    <x v="1"/>
    <s v="Software Development"/>
    <n v="2"/>
    <x v="5"/>
    <s v="Single"/>
    <x v="0"/>
    <s v="Family"/>
    <x v="0"/>
    <n v="2.98"/>
    <s v="No"/>
    <n v="2.91"/>
    <n v="136"/>
    <n v="20000"/>
    <x v="0"/>
    <x v="0"/>
    <n v="56.800000000000004"/>
  </r>
  <r>
    <x v="2"/>
    <x v="1"/>
    <n v="22"/>
    <n v="2018"/>
    <x v="0"/>
    <n v="8"/>
    <x v="0"/>
    <s v="Yes"/>
    <x v="3"/>
    <n v="3"/>
    <x v="0"/>
    <x v="0"/>
    <s v="Yes"/>
    <x v="8"/>
    <x v="2"/>
    <x v="5"/>
    <s v="No"/>
    <s v="No"/>
    <x v="1"/>
    <s v="Software Development"/>
    <n v="4"/>
    <x v="6"/>
    <s v="Single"/>
    <x v="0"/>
    <s v="Family"/>
    <x v="0"/>
    <n v="3.64"/>
    <s v="No"/>
    <n v="3.75"/>
    <n v="88"/>
    <n v="34000"/>
    <x v="1"/>
    <x v="0"/>
    <n v="67"/>
  </r>
  <r>
    <x v="3"/>
    <x v="1"/>
    <n v="19"/>
    <n v="2020"/>
    <x v="0"/>
    <n v="2"/>
    <x v="0"/>
    <s v="No"/>
    <x v="4"/>
    <n v="5"/>
    <x v="0"/>
    <x v="0"/>
    <s v="Yes"/>
    <x v="3"/>
    <x v="0"/>
    <x v="4"/>
    <s v="No"/>
    <s v="No"/>
    <x v="1"/>
    <s v="Software Development"/>
    <n v="2"/>
    <x v="2"/>
    <s v="Single"/>
    <x v="1"/>
    <s v="Bachelor"/>
    <x v="0"/>
    <n v="3.56"/>
    <s v="No"/>
    <n v="3.58"/>
    <n v="11"/>
    <n v="10000"/>
    <x v="1"/>
    <x v="0"/>
    <n v="62"/>
  </r>
  <r>
    <x v="4"/>
    <x v="0"/>
    <n v="23"/>
    <n v="2018"/>
    <x v="0"/>
    <n v="11"/>
    <x v="1"/>
    <s v="Yes"/>
    <x v="1"/>
    <n v="1"/>
    <x v="0"/>
    <x v="0"/>
    <s v="Yes"/>
    <x v="2"/>
    <x v="2"/>
    <x v="21"/>
    <s v="No"/>
    <s v="No"/>
    <x v="0"/>
    <s v="Digital Marketing"/>
    <n v="1"/>
    <x v="6"/>
    <s v="Relationship"/>
    <x v="1"/>
    <s v="Family"/>
    <x v="0"/>
    <n v="1.68"/>
    <s v="No"/>
    <n v="3.1"/>
    <n v="120"/>
    <n v="30000"/>
    <x v="0"/>
    <x v="0"/>
    <n v="32"/>
  </r>
  <r>
    <x v="3"/>
    <x v="0"/>
    <n v="20"/>
    <n v="2020"/>
    <x v="0"/>
    <n v="2"/>
    <x v="1"/>
    <s v="Yes"/>
    <x v="0"/>
    <n v="3"/>
    <x v="1"/>
    <x v="0"/>
    <s v="Yes"/>
    <x v="0"/>
    <x v="1"/>
    <x v="2"/>
    <s v="No"/>
    <s v="No"/>
    <x v="1"/>
    <s v="Software Development"/>
    <n v="2"/>
    <x v="4"/>
    <s v="Single"/>
    <x v="1"/>
    <s v="Bachelor"/>
    <x v="0"/>
    <n v="2.54"/>
    <s v="No"/>
    <n v="2.54"/>
    <n v="11"/>
    <n v="40000"/>
    <x v="0"/>
    <x v="0"/>
    <n v="47"/>
  </r>
  <r>
    <x v="3"/>
    <x v="0"/>
    <n v="20"/>
    <n v="2020"/>
    <x v="0"/>
    <n v="2"/>
    <x v="1"/>
    <s v="No"/>
    <x v="7"/>
    <n v="3"/>
    <x v="0"/>
    <x v="0"/>
    <s v="Yes"/>
    <x v="3"/>
    <x v="1"/>
    <x v="4"/>
    <s v="No"/>
    <s v="No"/>
    <x v="1"/>
    <s v="Software Development"/>
    <n v="1"/>
    <x v="2"/>
    <s v="Single"/>
    <x v="1"/>
    <s v="Bachelor"/>
    <x v="0"/>
    <n v="3.9"/>
    <s v="No"/>
    <n v="3.9"/>
    <n v="11"/>
    <n v="50000"/>
    <x v="1"/>
    <x v="0"/>
    <n v="62"/>
  </r>
  <r>
    <x v="4"/>
    <x v="1"/>
    <n v="22"/>
    <n v="2019"/>
    <x v="0"/>
    <n v="9"/>
    <x v="0"/>
    <s v="Yes"/>
    <x v="4"/>
    <n v="3"/>
    <x v="0"/>
    <x v="0"/>
    <s v="Yes"/>
    <x v="1"/>
    <x v="1"/>
    <x v="0"/>
    <s v="No"/>
    <s v="No"/>
    <x v="0"/>
    <s v="Networking"/>
    <n v="1"/>
    <x v="4"/>
    <s v="Single"/>
    <x v="1"/>
    <s v="Family"/>
    <x v="0"/>
    <n v="3.84"/>
    <s v="No"/>
    <n v="3.77"/>
    <n v="99"/>
    <n v="60000"/>
    <x v="1"/>
    <x v="0"/>
    <n v="57"/>
  </r>
  <r>
    <x v="4"/>
    <x v="0"/>
    <n v="22"/>
    <n v="2018"/>
    <x v="0"/>
    <n v="10"/>
    <x v="0"/>
    <s v="Yes"/>
    <x v="1"/>
    <n v="2"/>
    <x v="0"/>
    <x v="0"/>
    <s v="Yes"/>
    <x v="3"/>
    <x v="0"/>
    <x v="7"/>
    <s v="No"/>
    <s v="No"/>
    <x v="0"/>
    <s v="Software Development"/>
    <n v="6"/>
    <x v="2"/>
    <s v="Single"/>
    <x v="0"/>
    <s v="Bachelor"/>
    <x v="1"/>
    <n v="3.68"/>
    <s v="No"/>
    <n v="3.39"/>
    <n v="117"/>
    <n v="16000"/>
    <x v="0"/>
    <x v="0"/>
    <n v="49"/>
  </r>
  <r>
    <x v="0"/>
    <x v="1"/>
    <n v="23"/>
    <n v="2016"/>
    <x v="0"/>
    <n v="9"/>
    <x v="0"/>
    <s v="Yes"/>
    <x v="2"/>
    <n v="1"/>
    <x v="0"/>
    <x v="0"/>
    <s v="Yes"/>
    <x v="2"/>
    <x v="2"/>
    <x v="4"/>
    <s v="No"/>
    <s v="No"/>
    <x v="1"/>
    <s v="Software Development"/>
    <n v="2"/>
    <x v="5"/>
    <s v="Single"/>
    <x v="1"/>
    <s v="Family"/>
    <x v="0"/>
    <n v="3.14"/>
    <s v="No"/>
    <n v="3.14"/>
    <n v="101"/>
    <n v="40000"/>
    <x v="0"/>
    <x v="0"/>
    <n v="50"/>
  </r>
  <r>
    <x v="4"/>
    <x v="0"/>
    <n v="23"/>
    <n v="2018"/>
    <x v="0"/>
    <n v="11"/>
    <x v="1"/>
    <s v="No"/>
    <x v="5"/>
    <n v="2"/>
    <x v="0"/>
    <x v="0"/>
    <s v="Yes"/>
    <x v="4"/>
    <x v="0"/>
    <x v="4"/>
    <s v="No"/>
    <s v="No"/>
    <x v="0"/>
    <s v="Software Development"/>
    <n v="1"/>
    <x v="4"/>
    <s v="Single"/>
    <x v="1"/>
    <s v="Bachelor"/>
    <x v="0"/>
    <n v="3.69"/>
    <s v="No"/>
    <n v="3.23"/>
    <n v="125"/>
    <n v="30000"/>
    <x v="0"/>
    <x v="0"/>
    <n v="53"/>
  </r>
  <r>
    <x v="5"/>
    <x v="0"/>
    <n v="26"/>
    <n v="2014"/>
    <x v="0"/>
    <n v="17"/>
    <x v="1"/>
    <s v="No"/>
    <x v="0"/>
    <n v="2"/>
    <x v="1"/>
    <x v="0"/>
    <s v="Yes"/>
    <x v="3"/>
    <x v="0"/>
    <x v="4"/>
    <s v="No"/>
    <s v="No"/>
    <x v="0"/>
    <s v="Software Development"/>
    <n v="6"/>
    <x v="2"/>
    <s v="Single"/>
    <x v="1"/>
    <s v="Bachelor"/>
    <x v="0"/>
    <n v="2.73"/>
    <s v="No"/>
    <n v="3.08"/>
    <n v="110"/>
    <n v="25000"/>
    <x v="0"/>
    <x v="0"/>
    <n v="65"/>
  </r>
  <r>
    <x v="4"/>
    <x v="0"/>
    <n v="24"/>
    <n v="2018"/>
    <x v="0"/>
    <n v="11"/>
    <x v="1"/>
    <s v="No"/>
    <x v="2"/>
    <n v="2"/>
    <x v="1"/>
    <x v="0"/>
    <s v="Yes"/>
    <x v="3"/>
    <x v="0"/>
    <x v="2"/>
    <s v="No"/>
    <s v="No"/>
    <x v="1"/>
    <s v="Software Development"/>
    <n v="4"/>
    <x v="2"/>
    <s v="Single"/>
    <x v="1"/>
    <s v="Bachelor"/>
    <x v="0"/>
    <n v="3.48"/>
    <s v="No"/>
    <n v="3"/>
    <n v="123"/>
    <n v="62488"/>
    <x v="0"/>
    <x v="0"/>
    <n v="50"/>
  </r>
  <r>
    <x v="3"/>
    <x v="0"/>
    <n v="20"/>
    <n v="2020"/>
    <x v="0"/>
    <n v="2"/>
    <x v="0"/>
    <s v="Yes"/>
    <x v="3"/>
    <n v="2"/>
    <x v="1"/>
    <x v="0"/>
    <s v="Yes"/>
    <x v="10"/>
    <x v="0"/>
    <x v="11"/>
    <s v="No"/>
    <s v="No"/>
    <x v="0"/>
    <s v="Software Development"/>
    <n v="2"/>
    <x v="2"/>
    <s v="Single"/>
    <x v="0"/>
    <s v="Family"/>
    <x v="0"/>
    <n v="2.61"/>
    <s v="No"/>
    <n v="2.61"/>
    <n v="11"/>
    <n v="40000"/>
    <x v="0"/>
    <x v="0"/>
    <n v="51"/>
  </r>
  <r>
    <x v="3"/>
    <x v="1"/>
    <n v="19"/>
    <n v="2020"/>
    <x v="0"/>
    <n v="1"/>
    <x v="1"/>
    <s v="No"/>
    <x v="7"/>
    <n v="2"/>
    <x v="0"/>
    <x v="0"/>
    <s v="Yes"/>
    <x v="2"/>
    <x v="0"/>
    <x v="5"/>
    <s v="No"/>
    <s v="No"/>
    <x v="0"/>
    <s v="Software Development"/>
    <n v="2"/>
    <x v="2"/>
    <s v="Single"/>
    <x v="0"/>
    <s v="Bachelor"/>
    <x v="0"/>
    <n v="0"/>
    <s v="No"/>
    <n v="0"/>
    <n v="0"/>
    <n v="70000"/>
    <x v="2"/>
    <x v="0"/>
    <n v="67"/>
  </r>
  <r>
    <x v="0"/>
    <x v="0"/>
    <n v="23"/>
    <n v="2018"/>
    <x v="0"/>
    <n v="12"/>
    <x v="1"/>
    <s v="No"/>
    <x v="1"/>
    <n v="1"/>
    <x v="0"/>
    <x v="0"/>
    <s v="Yes"/>
    <x v="2"/>
    <x v="0"/>
    <x v="3"/>
    <s v="Yes"/>
    <s v="No"/>
    <x v="0"/>
    <s v="Software Development"/>
    <n v="1"/>
    <x v="2"/>
    <s v="Single"/>
    <x v="0"/>
    <s v="Bachelor"/>
    <x v="0"/>
    <n v="2.8"/>
    <s v="No"/>
    <n v="2.68"/>
    <n v="84"/>
    <n v="50000"/>
    <x v="0"/>
    <x v="0"/>
    <n v="41.2"/>
  </r>
  <r>
    <x v="2"/>
    <x v="0"/>
    <n v="23"/>
    <n v="2019"/>
    <x v="0"/>
    <n v="7"/>
    <x v="1"/>
    <s v="No"/>
    <x v="1"/>
    <n v="3"/>
    <x v="0"/>
    <x v="0"/>
    <s v="Yes"/>
    <x v="3"/>
    <x v="1"/>
    <x v="0"/>
    <s v="Yes"/>
    <s v="No"/>
    <x v="0"/>
    <s v="Software Development"/>
    <n v="2"/>
    <x v="2"/>
    <s v="Single"/>
    <x v="1"/>
    <s v="Bachelor"/>
    <x v="0"/>
    <n v="1.52"/>
    <s v="No"/>
    <n v="2.15"/>
    <n v="70"/>
    <n v="36000"/>
    <x v="2"/>
    <x v="0"/>
    <n v="45"/>
  </r>
  <r>
    <x v="2"/>
    <x v="0"/>
    <n v="22"/>
    <n v="2019"/>
    <x v="0"/>
    <n v="8"/>
    <x v="1"/>
    <s v="No"/>
    <x v="2"/>
    <n v="1"/>
    <x v="0"/>
    <x v="0"/>
    <s v="Yes"/>
    <x v="1"/>
    <x v="0"/>
    <x v="9"/>
    <s v="No"/>
    <s v="No"/>
    <x v="0"/>
    <s v="Software Development"/>
    <n v="3"/>
    <x v="2"/>
    <s v="Single"/>
    <x v="0"/>
    <s v="Bachelor"/>
    <x v="0"/>
    <n v="3.12"/>
    <s v="No"/>
    <n v="3.08"/>
    <n v="83"/>
    <n v="30000"/>
    <x v="0"/>
    <x v="0"/>
    <n v="49"/>
  </r>
  <r>
    <x v="0"/>
    <x v="0"/>
    <n v="24"/>
    <n v="2017"/>
    <x v="0"/>
    <n v="12"/>
    <x v="1"/>
    <s v="No"/>
    <x v="3"/>
    <n v="2"/>
    <x v="0"/>
    <x v="0"/>
    <s v="Yes"/>
    <x v="3"/>
    <x v="0"/>
    <x v="0"/>
    <s v="No"/>
    <s v="No"/>
    <x v="0"/>
    <s v="Networking"/>
    <n v="3"/>
    <x v="4"/>
    <s v="Relationship"/>
    <x v="1"/>
    <s v="Family"/>
    <x v="0"/>
    <n v="3.68"/>
    <s v="No"/>
    <n v="3.33"/>
    <n v="118"/>
    <n v="20000"/>
    <x v="0"/>
    <x v="0"/>
    <n v="60"/>
  </r>
  <r>
    <x v="4"/>
    <x v="0"/>
    <n v="24"/>
    <n v="2018"/>
    <x v="0"/>
    <n v="11"/>
    <x v="0"/>
    <s v="No"/>
    <x v="5"/>
    <n v="2"/>
    <x v="1"/>
    <x v="0"/>
    <s v="No"/>
    <x v="3"/>
    <x v="0"/>
    <x v="9"/>
    <s v="Yes"/>
    <s v="Yes"/>
    <x v="0"/>
    <s v="Software Development, Networking"/>
    <n v="1"/>
    <x v="4"/>
    <s v="Single"/>
    <x v="1"/>
    <s v="Family"/>
    <x v="0"/>
    <n v="2.25"/>
    <s v="No"/>
    <n v="2.64"/>
    <n v="103"/>
    <n v="20000"/>
    <x v="0"/>
    <x v="0"/>
    <n v="49"/>
  </r>
  <r>
    <x v="4"/>
    <x v="0"/>
    <n v="22"/>
    <n v="2018"/>
    <x v="0"/>
    <n v="11"/>
    <x v="0"/>
    <s v="No"/>
    <x v="1"/>
    <n v="2"/>
    <x v="1"/>
    <x v="0"/>
    <s v="Yes"/>
    <x v="3"/>
    <x v="0"/>
    <x v="0"/>
    <s v="No"/>
    <s v="No"/>
    <x v="0"/>
    <s v="Software Development"/>
    <n v="1"/>
    <x v="2"/>
    <s v="Relationship"/>
    <x v="1"/>
    <s v="Family"/>
    <x v="0"/>
    <n v="3.5"/>
    <s v="No"/>
    <n v="3.43"/>
    <n v="126"/>
    <n v="100000"/>
    <x v="0"/>
    <x v="0"/>
    <n v="42"/>
  </r>
  <r>
    <x v="3"/>
    <x v="1"/>
    <n v="20"/>
    <n v="2020"/>
    <x v="0"/>
    <n v="1"/>
    <x v="0"/>
    <s v="Yes"/>
    <x v="4"/>
    <n v="2"/>
    <x v="0"/>
    <x v="1"/>
    <s v="No"/>
    <x v="3"/>
    <x v="1"/>
    <x v="5"/>
    <s v="No"/>
    <s v="No"/>
    <x v="0"/>
    <s v="Software Development"/>
    <n v="3"/>
    <x v="2"/>
    <s v="Single"/>
    <x v="1"/>
    <s v="Family"/>
    <x v="0"/>
    <n v="0"/>
    <s v="No"/>
    <n v="0"/>
    <n v="0"/>
    <n v="50000"/>
    <x v="2"/>
    <x v="0"/>
    <n v="67"/>
  </r>
  <r>
    <x v="2"/>
    <x v="0"/>
    <n v="19"/>
    <n v="2019"/>
    <x v="0"/>
    <n v="8"/>
    <x v="0"/>
    <s v="No"/>
    <x v="2"/>
    <n v="1"/>
    <x v="1"/>
    <x v="0"/>
    <s v="Yes"/>
    <x v="3"/>
    <x v="1"/>
    <x v="0"/>
    <s v="No"/>
    <s v="No"/>
    <x v="1"/>
    <s v="Software Development"/>
    <n v="2"/>
    <x v="2"/>
    <s v="Single"/>
    <x v="1"/>
    <s v="Bachelor"/>
    <x v="0"/>
    <n v="3.36"/>
    <s v="No"/>
    <n v="3.72"/>
    <n v="88"/>
    <n v="20000"/>
    <x v="1"/>
    <x v="0"/>
    <n v="48"/>
  </r>
  <r>
    <x v="3"/>
    <x v="0"/>
    <n v="20"/>
    <n v="2020"/>
    <x v="0"/>
    <n v="2"/>
    <x v="0"/>
    <s v="No"/>
    <x v="1"/>
    <n v="1"/>
    <x v="0"/>
    <x v="0"/>
    <s v="Yes"/>
    <x v="4"/>
    <x v="0"/>
    <x v="10"/>
    <s v="No"/>
    <s v="No"/>
    <x v="1"/>
    <s v="Software Development"/>
    <n v="2"/>
    <x v="2"/>
    <s v="Single"/>
    <x v="1"/>
    <s v="Family"/>
    <x v="0"/>
    <n v="3.83"/>
    <s v="No"/>
    <n v="3.83"/>
    <n v="11"/>
    <n v="35000"/>
    <x v="1"/>
    <x v="0"/>
    <n v="48.6"/>
  </r>
  <r>
    <x v="4"/>
    <x v="0"/>
    <n v="22"/>
    <n v="2018"/>
    <x v="0"/>
    <n v="10"/>
    <x v="1"/>
    <s v="Yes"/>
    <x v="5"/>
    <n v="2"/>
    <x v="1"/>
    <x v="0"/>
    <s v="Yes"/>
    <x v="3"/>
    <x v="0"/>
    <x v="0"/>
    <s v="No"/>
    <s v="No"/>
    <x v="0"/>
    <s v="Software Development"/>
    <n v="4"/>
    <x v="2"/>
    <s v="Single"/>
    <x v="1"/>
    <s v="Family"/>
    <x v="0"/>
    <n v="1.98"/>
    <s v="No"/>
    <n v="2.98"/>
    <n v="104"/>
    <n v="25000"/>
    <x v="0"/>
    <x v="0"/>
    <n v="60"/>
  </r>
  <r>
    <x v="1"/>
    <x v="1"/>
    <n v="19"/>
    <n v="2020"/>
    <x v="0"/>
    <n v="2"/>
    <x v="1"/>
    <s v="Yes"/>
    <x v="0"/>
    <n v="2"/>
    <x v="0"/>
    <x v="0"/>
    <s v="Yes"/>
    <x v="2"/>
    <x v="0"/>
    <x v="8"/>
    <s v="No"/>
    <s v="No"/>
    <x v="1"/>
    <s v="Software Development"/>
    <n v="2"/>
    <x v="2"/>
    <s v="Single"/>
    <x v="1"/>
    <s v="Family"/>
    <x v="1"/>
    <n v="3.37"/>
    <s v="Yes"/>
    <n v="3.37"/>
    <n v="11"/>
    <n v="62488"/>
    <x v="0"/>
    <x v="0"/>
    <n v="54.2"/>
  </r>
  <r>
    <x v="3"/>
    <x v="0"/>
    <n v="21"/>
    <n v="2021"/>
    <x v="0"/>
    <n v="1"/>
    <x v="0"/>
    <s v="Yes"/>
    <x v="0"/>
    <n v="2"/>
    <x v="1"/>
    <x v="0"/>
    <s v="Yes"/>
    <x v="1"/>
    <x v="2"/>
    <x v="3"/>
    <s v="No"/>
    <s v="No"/>
    <x v="0"/>
    <s v="Networking"/>
    <n v="1"/>
    <x v="2"/>
    <s v="Single"/>
    <x v="0"/>
    <s v="Family"/>
    <x v="0"/>
    <n v="3.15"/>
    <s v="No"/>
    <n v="3.15"/>
    <n v="11"/>
    <n v="62488"/>
    <x v="0"/>
    <x v="0"/>
    <n v="47.2"/>
  </r>
  <r>
    <x v="3"/>
    <x v="0"/>
    <n v="19"/>
    <n v="2020"/>
    <x v="0"/>
    <n v="1"/>
    <x v="0"/>
    <s v="No"/>
    <x v="3"/>
    <n v="3"/>
    <x v="0"/>
    <x v="0"/>
    <s v="No"/>
    <x v="1"/>
    <x v="1"/>
    <x v="3"/>
    <s v="No"/>
    <s v="No"/>
    <x v="1"/>
    <s v="Software Development"/>
    <n v="2"/>
    <x v="2"/>
    <s v="Single"/>
    <x v="1"/>
    <s v="Family"/>
    <x v="0"/>
    <n v="0"/>
    <s v="No"/>
    <n v="0"/>
    <n v="0"/>
    <n v="30000"/>
    <x v="2"/>
    <x v="0"/>
    <n v="56.2"/>
  </r>
  <r>
    <x v="3"/>
    <x v="0"/>
    <n v="20"/>
    <n v="2021"/>
    <x v="0"/>
    <n v="1"/>
    <x v="0"/>
    <s v="Yes"/>
    <x v="1"/>
    <n v="1"/>
    <x v="0"/>
    <x v="0"/>
    <s v="Yes"/>
    <x v="3"/>
    <x v="0"/>
    <x v="5"/>
    <s v="No"/>
    <s v="No"/>
    <x v="1"/>
    <s v="Networking"/>
    <n v="2"/>
    <x v="2"/>
    <s v="Single"/>
    <x v="0"/>
    <s v="Family"/>
    <x v="0"/>
    <n v="0"/>
    <s v="No"/>
    <n v="0"/>
    <n v="0"/>
    <n v="150000"/>
    <x v="2"/>
    <x v="0"/>
    <n v="49"/>
  </r>
  <r>
    <x v="3"/>
    <x v="1"/>
    <n v="20"/>
    <n v="2020"/>
    <x v="0"/>
    <n v="1"/>
    <x v="0"/>
    <s v="No"/>
    <x v="5"/>
    <n v="2"/>
    <x v="0"/>
    <x v="0"/>
    <s v="Yes"/>
    <x v="1"/>
    <x v="0"/>
    <x v="8"/>
    <s v="No"/>
    <s v="No"/>
    <x v="0"/>
    <s v="Networking"/>
    <n v="2"/>
    <x v="4"/>
    <s v="Single"/>
    <x v="0"/>
    <s v="Family"/>
    <x v="0"/>
    <n v="0"/>
    <s v="No"/>
    <n v="0"/>
    <n v="0"/>
    <n v="50000"/>
    <x v="2"/>
    <x v="0"/>
    <n v="57.2"/>
  </r>
  <r>
    <x v="5"/>
    <x v="1"/>
    <n v="23"/>
    <n v="2016"/>
    <x v="0"/>
    <n v="14"/>
    <x v="1"/>
    <s v="No"/>
    <x v="0"/>
    <n v="2"/>
    <x v="1"/>
    <x v="0"/>
    <s v="Yes"/>
    <x v="1"/>
    <x v="1"/>
    <x v="0"/>
    <s v="No"/>
    <s v="No"/>
    <x v="0"/>
    <s v="Software Development"/>
    <n v="2"/>
    <x v="2"/>
    <s v="Married"/>
    <x v="1"/>
    <s v="Family"/>
    <x v="0"/>
    <n v="2.79"/>
    <s v="No"/>
    <n v="2.84"/>
    <n v="133"/>
    <n v="30000"/>
    <x v="0"/>
    <x v="0"/>
    <n v="51"/>
  </r>
  <r>
    <x v="1"/>
    <x v="0"/>
    <n v="21"/>
    <n v="2019"/>
    <x v="0"/>
    <n v="3"/>
    <x v="0"/>
    <s v="No"/>
    <x v="3"/>
    <n v="3"/>
    <x v="0"/>
    <x v="0"/>
    <s v="Yes"/>
    <x v="2"/>
    <x v="0"/>
    <x v="4"/>
    <s v="No"/>
    <s v="No"/>
    <x v="0"/>
    <s v="Software Development"/>
    <n v="1"/>
    <x v="2"/>
    <s v="Single"/>
    <x v="0"/>
    <s v="Bachelor"/>
    <x v="0"/>
    <n v="3.52"/>
    <s v="No"/>
    <n v="3.65"/>
    <n v="23"/>
    <n v="62488"/>
    <x v="1"/>
    <x v="0"/>
    <n v="56"/>
  </r>
  <r>
    <x v="1"/>
    <x v="0"/>
    <n v="21"/>
    <n v="2020"/>
    <x v="0"/>
    <n v="3"/>
    <x v="0"/>
    <s v="Yes"/>
    <x v="1"/>
    <n v="2"/>
    <x v="1"/>
    <x v="0"/>
    <s v="Yes"/>
    <x v="2"/>
    <x v="0"/>
    <x v="0"/>
    <s v="No"/>
    <s v="No"/>
    <x v="0"/>
    <s v="Software Development"/>
    <n v="1"/>
    <x v="6"/>
    <s v="Single"/>
    <x v="1"/>
    <s v="Family"/>
    <x v="0"/>
    <n v="3.85"/>
    <s v="No"/>
    <n v="3.79"/>
    <n v="35"/>
    <n v="35000"/>
    <x v="1"/>
    <x v="0"/>
    <n v="42"/>
  </r>
  <r>
    <x v="4"/>
    <x v="1"/>
    <n v="23"/>
    <n v="2018"/>
    <x v="0"/>
    <n v="11"/>
    <x v="0"/>
    <s v="No"/>
    <x v="5"/>
    <n v="2"/>
    <x v="1"/>
    <x v="0"/>
    <s v="Yes"/>
    <x v="0"/>
    <x v="2"/>
    <x v="7"/>
    <s v="Yes"/>
    <s v="No"/>
    <x v="1"/>
    <s v="Cyber security"/>
    <n v="2"/>
    <x v="7"/>
    <s v="Married"/>
    <x v="0"/>
    <s v="Bachelor"/>
    <x v="1"/>
    <n v="3.01"/>
    <s v="No"/>
    <n v="2.89"/>
    <n v="120"/>
    <n v="90000"/>
    <x v="0"/>
    <x v="0"/>
    <n v="46"/>
  </r>
  <r>
    <x v="1"/>
    <x v="1"/>
    <n v="20"/>
    <n v="2020"/>
    <x v="0"/>
    <n v="3"/>
    <x v="0"/>
    <s v="No"/>
    <x v="0"/>
    <n v="2"/>
    <x v="0"/>
    <x v="0"/>
    <s v="Yes"/>
    <x v="2"/>
    <x v="2"/>
    <x v="0"/>
    <s v="No"/>
    <s v="No"/>
    <x v="0"/>
    <s v="Software Development"/>
    <n v="3"/>
    <x v="4"/>
    <s v="Relationship"/>
    <x v="1"/>
    <s v="Family"/>
    <x v="0"/>
    <n v="3.18"/>
    <s v="No"/>
    <n v="3.18"/>
    <n v="24"/>
    <n v="80000"/>
    <x v="0"/>
    <x v="0"/>
    <n v="54"/>
  </r>
  <r>
    <x v="1"/>
    <x v="0"/>
    <n v="19"/>
    <n v="2020"/>
    <x v="0"/>
    <n v="3"/>
    <x v="0"/>
    <s v="Yes"/>
    <x v="3"/>
    <n v="2"/>
    <x v="0"/>
    <x v="0"/>
    <s v="Yes"/>
    <x v="0"/>
    <x v="0"/>
    <x v="5"/>
    <s v="No"/>
    <s v="No"/>
    <x v="0"/>
    <s v="Software Development"/>
    <n v="3"/>
    <x v="2"/>
    <s v="Single"/>
    <x v="0"/>
    <s v="Bachelor"/>
    <x v="0"/>
    <n v="3.72"/>
    <s v="No"/>
    <n v="3.89"/>
    <n v="26"/>
    <n v="60000"/>
    <x v="1"/>
    <x v="0"/>
    <n v="64"/>
  </r>
  <r>
    <x v="1"/>
    <x v="1"/>
    <n v="21"/>
    <n v="2020"/>
    <x v="0"/>
    <n v="5"/>
    <x v="0"/>
    <s v="Yes"/>
    <x v="0"/>
    <n v="2"/>
    <x v="1"/>
    <x v="0"/>
    <s v="No"/>
    <x v="9"/>
    <x v="0"/>
    <x v="7"/>
    <s v="No"/>
    <s v="No"/>
    <x v="0"/>
    <s v="Software Development"/>
    <n v="3"/>
    <x v="2"/>
    <s v="Single"/>
    <x v="1"/>
    <s v="Family"/>
    <x v="1"/>
    <n v="2.8"/>
    <s v="No"/>
    <n v="2.9"/>
    <n v="40"/>
    <n v="500000"/>
    <x v="0"/>
    <x v="0"/>
    <n v="46"/>
  </r>
  <r>
    <x v="1"/>
    <x v="0"/>
    <n v="21"/>
    <n v="2020"/>
    <x v="0"/>
    <n v="3"/>
    <x v="0"/>
    <s v="No"/>
    <x v="2"/>
    <n v="2"/>
    <x v="1"/>
    <x v="0"/>
    <s v="Yes"/>
    <x v="1"/>
    <x v="1"/>
    <x v="0"/>
    <s v="No"/>
    <s v="No"/>
    <x v="0"/>
    <s v="Software Development"/>
    <n v="1"/>
    <x v="2"/>
    <s v="Single"/>
    <x v="1"/>
    <s v="Family"/>
    <x v="0"/>
    <n v="3.42"/>
    <s v="No"/>
    <n v="3.56"/>
    <n v="23"/>
    <n v="50000"/>
    <x v="1"/>
    <x v="0"/>
    <n v="45"/>
  </r>
  <r>
    <x v="1"/>
    <x v="0"/>
    <n v="20"/>
    <n v="2020"/>
    <x v="0"/>
    <n v="4"/>
    <x v="0"/>
    <s v="No"/>
    <x v="0"/>
    <n v="2"/>
    <x v="0"/>
    <x v="0"/>
    <s v="Yes"/>
    <x v="1"/>
    <x v="1"/>
    <x v="9"/>
    <s v="No"/>
    <s v="No"/>
    <x v="1"/>
    <s v="Software Development"/>
    <n v="2"/>
    <x v="2"/>
    <s v="Single"/>
    <x v="1"/>
    <s v="Bachelor"/>
    <x v="0"/>
    <n v="2.4900000000000002"/>
    <s v="No"/>
    <n v="3.03"/>
    <n v="25"/>
    <n v="40000"/>
    <x v="0"/>
    <x v="0"/>
    <n v="49"/>
  </r>
  <r>
    <x v="1"/>
    <x v="1"/>
    <n v="19"/>
    <n v="2020"/>
    <x v="0"/>
    <n v="3"/>
    <x v="1"/>
    <s v="Yes"/>
    <x v="2"/>
    <n v="1"/>
    <x v="0"/>
    <x v="0"/>
    <s v="Yes"/>
    <x v="1"/>
    <x v="0"/>
    <x v="4"/>
    <s v="No"/>
    <s v="No"/>
    <x v="0"/>
    <s v="Software Development"/>
    <n v="1"/>
    <x v="2"/>
    <s v="Single"/>
    <x v="1"/>
    <s v="Family"/>
    <x v="0"/>
    <n v="2.68"/>
    <s v="No"/>
    <n v="3.15"/>
    <n v="23"/>
    <n v="100000"/>
    <x v="0"/>
    <x v="0"/>
    <n v="47"/>
  </r>
  <r>
    <x v="1"/>
    <x v="1"/>
    <n v="22"/>
    <n v="2017"/>
    <x v="0"/>
    <n v="5"/>
    <x v="0"/>
    <s v="Yes"/>
    <x v="0"/>
    <n v="2"/>
    <x v="0"/>
    <x v="0"/>
    <s v="Yes"/>
    <x v="2"/>
    <x v="0"/>
    <x v="0"/>
    <s v="No"/>
    <s v="No"/>
    <x v="0"/>
    <s v="Software Development"/>
    <n v="1"/>
    <x v="2"/>
    <s v="Single"/>
    <x v="1"/>
    <s v="Family"/>
    <x v="1"/>
    <n v="3.86"/>
    <s v="No"/>
    <n v="3.67"/>
    <n v="49"/>
    <n v="20000"/>
    <x v="1"/>
    <x v="0"/>
    <n v="48"/>
  </r>
  <r>
    <x v="3"/>
    <x v="0"/>
    <n v="20"/>
    <n v="2020"/>
    <x v="0"/>
    <n v="1"/>
    <x v="0"/>
    <s v="Yes"/>
    <x v="0"/>
    <n v="1"/>
    <x v="0"/>
    <x v="0"/>
    <s v="Yes"/>
    <x v="3"/>
    <x v="2"/>
    <x v="5"/>
    <s v="No"/>
    <s v="No"/>
    <x v="0"/>
    <s v="Software Development"/>
    <n v="1"/>
    <x v="2"/>
    <s v="Single"/>
    <x v="1"/>
    <s v="Family"/>
    <x v="0"/>
    <n v="0"/>
    <s v="No"/>
    <n v="0"/>
    <n v="0"/>
    <n v="30000"/>
    <x v="2"/>
    <x v="0"/>
    <n v="52"/>
  </r>
  <r>
    <x v="1"/>
    <x v="0"/>
    <n v="21"/>
    <n v="2020"/>
    <x v="0"/>
    <n v="5"/>
    <x v="0"/>
    <s v="Yes"/>
    <x v="4"/>
    <n v="3"/>
    <x v="1"/>
    <x v="0"/>
    <s v="Yes"/>
    <x v="2"/>
    <x v="0"/>
    <x v="0"/>
    <s v="No"/>
    <s v="No"/>
    <x v="1"/>
    <s v="Software Development"/>
    <n v="3"/>
    <x v="2"/>
    <s v="Single"/>
    <x v="0"/>
    <s v="Family"/>
    <x v="0"/>
    <n v="3.82"/>
    <s v="No"/>
    <n v="3.7"/>
    <n v="55"/>
    <n v="50000"/>
    <x v="1"/>
    <x v="0"/>
    <n v="63"/>
  </r>
  <r>
    <x v="1"/>
    <x v="0"/>
    <n v="21"/>
    <n v="2019"/>
    <x v="0"/>
    <n v="3"/>
    <x v="0"/>
    <s v="No"/>
    <x v="2"/>
    <n v="1"/>
    <x v="1"/>
    <x v="0"/>
    <s v="Yes"/>
    <x v="2"/>
    <x v="0"/>
    <x v="11"/>
    <s v="No"/>
    <s v="No"/>
    <x v="0"/>
    <s v="Software Development"/>
    <n v="1"/>
    <x v="2"/>
    <s v="Single"/>
    <x v="1"/>
    <s v="Family"/>
    <x v="0"/>
    <n v="3.58"/>
    <s v="No"/>
    <n v="3.1"/>
    <n v="23"/>
    <n v="40000"/>
    <x v="0"/>
    <x v="0"/>
    <n v="39"/>
  </r>
  <r>
    <x v="1"/>
    <x v="0"/>
    <n v="21"/>
    <n v="2020"/>
    <x v="0"/>
    <n v="5"/>
    <x v="1"/>
    <s v="No"/>
    <x v="3"/>
    <n v="2"/>
    <x v="0"/>
    <x v="0"/>
    <s v="Yes"/>
    <x v="2"/>
    <x v="0"/>
    <x v="8"/>
    <s v="No"/>
    <s v="No"/>
    <x v="0"/>
    <s v="Software Development"/>
    <n v="2"/>
    <x v="2"/>
    <s v="Single"/>
    <x v="1"/>
    <s v="Bachelor"/>
    <x v="0"/>
    <n v="2.57"/>
    <s v="No"/>
    <n v="2.8"/>
    <n v="45"/>
    <n v="30000"/>
    <x v="0"/>
    <x v="0"/>
    <n v="60.2"/>
  </r>
  <r>
    <x v="1"/>
    <x v="0"/>
    <n v="22"/>
    <n v="2020"/>
    <x v="0"/>
    <n v="3"/>
    <x v="0"/>
    <s v="No"/>
    <x v="3"/>
    <n v="2"/>
    <x v="0"/>
    <x v="0"/>
    <s v="Yes"/>
    <x v="2"/>
    <x v="2"/>
    <x v="4"/>
    <s v="No"/>
    <s v="No"/>
    <x v="0"/>
    <s v="Software Development, Mentoring"/>
    <n v="3"/>
    <x v="2"/>
    <s v="Single"/>
    <x v="0"/>
    <s v="Bachelor"/>
    <x v="1"/>
    <n v="3.86"/>
    <s v="No"/>
    <n v="3.92"/>
    <n v="23"/>
    <n v="40000"/>
    <x v="1"/>
    <x v="0"/>
    <n v="62"/>
  </r>
  <r>
    <x v="3"/>
    <x v="0"/>
    <n v="22"/>
    <n v="2019"/>
    <x v="0"/>
    <n v="2"/>
    <x v="1"/>
    <s v="No"/>
    <x v="0"/>
    <n v="1"/>
    <x v="0"/>
    <x v="0"/>
    <s v="Yes"/>
    <x v="1"/>
    <x v="0"/>
    <x v="2"/>
    <s v="No"/>
    <s v="No"/>
    <x v="0"/>
    <s v="Software Development"/>
    <n v="1"/>
    <x v="2"/>
    <s v="Single"/>
    <x v="0"/>
    <s v="Bachelor"/>
    <x v="0"/>
    <n v="4"/>
    <s v="No"/>
    <n v="4"/>
    <n v="11"/>
    <n v="40000"/>
    <x v="1"/>
    <x v="0"/>
    <n v="44"/>
  </r>
  <r>
    <x v="3"/>
    <x v="1"/>
    <n v="20"/>
    <n v="2021"/>
    <x v="0"/>
    <n v="1"/>
    <x v="0"/>
    <s v="Yes"/>
    <x v="1"/>
    <n v="2"/>
    <x v="0"/>
    <x v="0"/>
    <s v="Yes"/>
    <x v="6"/>
    <x v="0"/>
    <x v="2"/>
    <s v="No"/>
    <s v="No"/>
    <x v="1"/>
    <s v="Not yet"/>
    <n v="0"/>
    <x v="3"/>
    <s v="Single"/>
    <x v="0"/>
    <s v="Family"/>
    <x v="0"/>
    <n v="0"/>
    <s v="No"/>
    <n v="0"/>
    <n v="0"/>
    <n v="60000"/>
    <x v="2"/>
    <x v="0"/>
    <n v="35"/>
  </r>
  <r>
    <x v="2"/>
    <x v="0"/>
    <n v="23"/>
    <n v="2018"/>
    <x v="0"/>
    <n v="6"/>
    <x v="1"/>
    <s v="No"/>
    <x v="1"/>
    <n v="2"/>
    <x v="1"/>
    <x v="0"/>
    <s v="Yes"/>
    <x v="2"/>
    <x v="0"/>
    <x v="0"/>
    <s v="Yes"/>
    <s v="No"/>
    <x v="1"/>
    <s v="Software Development"/>
    <n v="1"/>
    <x v="2"/>
    <s v="Single"/>
    <x v="0"/>
    <s v="Bachelor"/>
    <x v="0"/>
    <n v="3.1"/>
    <s v="No"/>
    <n v="3.4"/>
    <n v="65"/>
    <n v="40000"/>
    <x v="0"/>
    <x v="0"/>
    <n v="42"/>
  </r>
  <r>
    <x v="3"/>
    <x v="1"/>
    <n v="21"/>
    <n v="2020"/>
    <x v="0"/>
    <n v="1"/>
    <x v="1"/>
    <s v="No"/>
    <x v="4"/>
    <n v="3"/>
    <x v="0"/>
    <x v="0"/>
    <s v="Yes"/>
    <x v="4"/>
    <x v="2"/>
    <x v="5"/>
    <s v="No"/>
    <s v="No"/>
    <x v="0"/>
    <s v="Software Development"/>
    <n v="3"/>
    <x v="2"/>
    <s v="Single"/>
    <x v="0"/>
    <s v="Bachelor"/>
    <x v="0"/>
    <n v="0"/>
    <s v="No"/>
    <n v="0"/>
    <n v="0"/>
    <n v="40000"/>
    <x v="2"/>
    <x v="0"/>
    <n v="67"/>
  </r>
  <r>
    <x v="1"/>
    <x v="0"/>
    <n v="20"/>
    <n v="2020"/>
    <x v="0"/>
    <n v="3"/>
    <x v="0"/>
    <s v="No"/>
    <x v="1"/>
    <n v="2"/>
    <x v="0"/>
    <x v="0"/>
    <s v="Yes"/>
    <x v="3"/>
    <x v="1"/>
    <x v="4"/>
    <s v="No"/>
    <s v="No"/>
    <x v="0"/>
    <s v="Software Development"/>
    <n v="2"/>
    <x v="2"/>
    <s v="Single"/>
    <x v="1"/>
    <s v="Family"/>
    <x v="1"/>
    <n v="3.68"/>
    <s v="No"/>
    <n v="3.65"/>
    <n v="24"/>
    <n v="45000"/>
    <x v="1"/>
    <x v="0"/>
    <n v="47"/>
  </r>
  <r>
    <x v="3"/>
    <x v="1"/>
    <n v="21"/>
    <n v="2020"/>
    <x v="0"/>
    <n v="2"/>
    <x v="0"/>
    <s v="Yes"/>
    <x v="7"/>
    <n v="2"/>
    <x v="0"/>
    <x v="0"/>
    <s v="Yes"/>
    <x v="1"/>
    <x v="1"/>
    <x v="16"/>
    <s v="No"/>
    <s v="No"/>
    <x v="0"/>
    <s v="Software Development"/>
    <n v="0"/>
    <x v="2"/>
    <s v="Single"/>
    <x v="1"/>
    <s v="Family"/>
    <x v="0"/>
    <n v="3.4"/>
    <s v="No"/>
    <n v="3.4"/>
    <n v="11"/>
    <n v="40000"/>
    <x v="0"/>
    <x v="0"/>
    <n v="21.8"/>
  </r>
  <r>
    <x v="3"/>
    <x v="0"/>
    <n v="19"/>
    <n v="2020"/>
    <x v="0"/>
    <n v="1"/>
    <x v="0"/>
    <s v="No"/>
    <x v="6"/>
    <n v="2"/>
    <x v="0"/>
    <x v="0"/>
    <s v="Yes"/>
    <x v="2"/>
    <x v="1"/>
    <x v="5"/>
    <s v="No"/>
    <s v="No"/>
    <x v="0"/>
    <s v="Data entry"/>
    <n v="1"/>
    <x v="2"/>
    <s v="Single"/>
    <x v="0"/>
    <s v="Bachelor"/>
    <x v="0"/>
    <n v="0"/>
    <s v="No"/>
    <n v="0"/>
    <n v="0"/>
    <n v="10000"/>
    <x v="2"/>
    <x v="0"/>
    <n v="67"/>
  </r>
  <r>
    <x v="1"/>
    <x v="0"/>
    <n v="20"/>
    <n v="2020"/>
    <x v="0"/>
    <n v="3"/>
    <x v="0"/>
    <s v="Yes"/>
    <x v="0"/>
    <n v="2"/>
    <x v="0"/>
    <x v="0"/>
    <s v="Yes"/>
    <x v="2"/>
    <x v="2"/>
    <x v="7"/>
    <s v="No"/>
    <s v="No"/>
    <x v="0"/>
    <s v="Software Development"/>
    <n v="3"/>
    <x v="2"/>
    <s v="Single"/>
    <x v="1"/>
    <s v="Family"/>
    <x v="1"/>
    <n v="2.4500000000000002"/>
    <s v="No"/>
    <n v="2.95"/>
    <n v="25"/>
    <n v="50000"/>
    <x v="0"/>
    <x v="0"/>
    <n v="46"/>
  </r>
  <r>
    <x v="6"/>
    <x v="1"/>
    <n v="25"/>
    <n v="2015"/>
    <x v="0"/>
    <n v="14"/>
    <x v="1"/>
    <s v="Yes"/>
    <x v="2"/>
    <n v="1"/>
    <x v="0"/>
    <x v="0"/>
    <s v="Yes"/>
    <x v="1"/>
    <x v="0"/>
    <x v="2"/>
    <s v="Yes"/>
    <s v="No"/>
    <x v="0"/>
    <s v="Software Development"/>
    <n v="1"/>
    <x v="2"/>
    <s v="Married"/>
    <x v="1"/>
    <s v="Family"/>
    <x v="0"/>
    <n v="2.4"/>
    <s v="No"/>
    <n v="2.89"/>
    <n v="130"/>
    <n v="62488"/>
    <x v="0"/>
    <x v="0"/>
    <n v="41"/>
  </r>
  <r>
    <x v="1"/>
    <x v="1"/>
    <n v="20"/>
    <n v="2020"/>
    <x v="0"/>
    <n v="3"/>
    <x v="0"/>
    <s v="Yes"/>
    <x v="5"/>
    <n v="3"/>
    <x v="0"/>
    <x v="0"/>
    <s v="Yes"/>
    <x v="3"/>
    <x v="0"/>
    <x v="10"/>
    <s v="No"/>
    <s v="No"/>
    <x v="0"/>
    <s v="Software Development"/>
    <n v="3"/>
    <x v="2"/>
    <s v="Married"/>
    <x v="0"/>
    <s v="Family"/>
    <x v="0"/>
    <n v="3.47"/>
    <s v="No"/>
    <n v="3.2"/>
    <n v="23"/>
    <n v="50000"/>
    <x v="0"/>
    <x v="0"/>
    <n v="60.6"/>
  </r>
  <r>
    <x v="4"/>
    <x v="0"/>
    <n v="21"/>
    <n v="2018"/>
    <x v="0"/>
    <n v="11"/>
    <x v="1"/>
    <s v="Yes"/>
    <x v="2"/>
    <n v="1"/>
    <x v="0"/>
    <x v="0"/>
    <s v="Yes"/>
    <x v="3"/>
    <x v="0"/>
    <x v="17"/>
    <s v="No"/>
    <s v="No"/>
    <x v="1"/>
    <s v="Software Development"/>
    <n v="1"/>
    <x v="2"/>
    <s v="Single"/>
    <x v="1"/>
    <s v="Bachelor"/>
    <x v="0"/>
    <n v="2.5299999999999998"/>
    <s v="No"/>
    <n v="3.05"/>
    <n v="115"/>
    <n v="37000"/>
    <x v="0"/>
    <x v="0"/>
    <n v="43.800000000000004"/>
  </r>
  <r>
    <x v="1"/>
    <x v="1"/>
    <n v="23"/>
    <n v="2019"/>
    <x v="0"/>
    <n v="3"/>
    <x v="0"/>
    <s v="Yes"/>
    <x v="1"/>
    <n v="1"/>
    <x v="0"/>
    <x v="0"/>
    <s v="No"/>
    <x v="1"/>
    <x v="1"/>
    <x v="14"/>
    <s v="Yes"/>
    <s v="No"/>
    <x v="0"/>
    <s v="Photographey"/>
    <n v="1"/>
    <x v="2"/>
    <s v="Single"/>
    <x v="0"/>
    <s v="Family"/>
    <x v="1"/>
    <n v="2.56"/>
    <s v="No"/>
    <n v="2.72"/>
    <n v="26"/>
    <n v="45000"/>
    <x v="0"/>
    <x v="0"/>
    <n v="26"/>
  </r>
  <r>
    <x v="3"/>
    <x v="1"/>
    <n v="19"/>
    <n v="2020"/>
    <x v="0"/>
    <n v="1"/>
    <x v="1"/>
    <s v="No"/>
    <x v="5"/>
    <n v="2"/>
    <x v="0"/>
    <x v="0"/>
    <s v="Yes"/>
    <x v="1"/>
    <x v="0"/>
    <x v="5"/>
    <s v="No"/>
    <s v="No"/>
    <x v="1"/>
    <s v="Don't have any"/>
    <n v="1"/>
    <x v="2"/>
    <s v="Single"/>
    <x v="0"/>
    <s v="Family"/>
    <x v="0"/>
    <n v="0"/>
    <s v="No"/>
    <n v="0"/>
    <n v="0"/>
    <n v="100000"/>
    <x v="2"/>
    <x v="0"/>
    <n v="55"/>
  </r>
  <r>
    <x v="2"/>
    <x v="0"/>
    <n v="20"/>
    <n v="2019"/>
    <x v="0"/>
    <n v="7"/>
    <x v="1"/>
    <s v="No"/>
    <x v="2"/>
    <n v="1"/>
    <x v="1"/>
    <x v="0"/>
    <s v="Yes"/>
    <x v="3"/>
    <x v="1"/>
    <x v="2"/>
    <s v="Yes"/>
    <s v="No"/>
    <x v="1"/>
    <s v="I do not know this"/>
    <n v="1"/>
    <x v="6"/>
    <s v="Single"/>
    <x v="0"/>
    <s v="Family"/>
    <x v="0"/>
    <n v="2.36"/>
    <s v="No"/>
    <n v="2.56"/>
    <n v="65"/>
    <n v="35000"/>
    <x v="0"/>
    <x v="0"/>
    <n v="41"/>
  </r>
  <r>
    <x v="3"/>
    <x v="1"/>
    <n v="20"/>
    <n v="2020"/>
    <x v="0"/>
    <n v="1"/>
    <x v="1"/>
    <s v="No"/>
    <x v="2"/>
    <n v="1"/>
    <x v="0"/>
    <x v="1"/>
    <s v="Yes"/>
    <x v="3"/>
    <x v="1"/>
    <x v="5"/>
    <s v="No"/>
    <s v="No"/>
    <x v="0"/>
    <s v="Nothing in this chart"/>
    <n v="1"/>
    <x v="10"/>
    <s v="Married"/>
    <x v="0"/>
    <s v="Bachelor"/>
    <x v="0"/>
    <n v="0"/>
    <s v="No"/>
    <n v="0"/>
    <n v="0"/>
    <n v="400006"/>
    <x v="2"/>
    <x v="0"/>
    <n v="49"/>
  </r>
  <r>
    <x v="3"/>
    <x v="0"/>
    <n v="21"/>
    <n v="2020"/>
    <x v="0"/>
    <n v="1"/>
    <x v="0"/>
    <s v="Yes"/>
    <x v="1"/>
    <n v="1"/>
    <x v="1"/>
    <x v="0"/>
    <s v="Yes"/>
    <x v="2"/>
    <x v="0"/>
    <x v="5"/>
    <s v="No"/>
    <s v="No"/>
    <x v="1"/>
    <s v="Not Any"/>
    <n v="0"/>
    <x v="2"/>
    <s v="Single"/>
    <x v="0"/>
    <s v="Family"/>
    <x v="0"/>
    <n v="0"/>
    <s v="No"/>
    <n v="0"/>
    <n v="0"/>
    <n v="70000"/>
    <x v="2"/>
    <x v="0"/>
    <n v="43"/>
  </r>
  <r>
    <x v="3"/>
    <x v="0"/>
    <n v="22"/>
    <n v="2020"/>
    <x v="0"/>
    <n v="1"/>
    <x v="0"/>
    <s v="Yes"/>
    <x v="5"/>
    <n v="1"/>
    <x v="0"/>
    <x v="0"/>
    <s v="Yes"/>
    <x v="2"/>
    <x v="1"/>
    <x v="5"/>
    <s v="Yes"/>
    <s v="Yes"/>
    <x v="0"/>
    <s v="Software Development"/>
    <n v="2"/>
    <x v="2"/>
    <s v="Single"/>
    <x v="1"/>
    <s v="Bachelor"/>
    <x v="0"/>
    <n v="2.68"/>
    <s v="Yes"/>
    <n v="3.15"/>
    <n v="11"/>
    <n v="20000"/>
    <x v="0"/>
    <x v="0"/>
    <n v="58"/>
  </r>
  <r>
    <x v="1"/>
    <x v="1"/>
    <n v="20"/>
    <n v="2020"/>
    <x v="0"/>
    <n v="3"/>
    <x v="0"/>
    <s v="Yes"/>
    <x v="2"/>
    <n v="2"/>
    <x v="1"/>
    <x v="0"/>
    <s v="Yes"/>
    <x v="3"/>
    <x v="0"/>
    <x v="0"/>
    <s v="No"/>
    <s v="No"/>
    <x v="0"/>
    <s v="Software Development"/>
    <n v="1"/>
    <x v="4"/>
    <s v="Single"/>
    <x v="1"/>
    <s v="Bachelor"/>
    <x v="0"/>
    <n v="3.19"/>
    <s v="Yes"/>
    <n v="2.73"/>
    <n v="24"/>
    <n v="40000"/>
    <x v="0"/>
    <x v="0"/>
    <n v="45"/>
  </r>
  <r>
    <x v="4"/>
    <x v="0"/>
    <n v="21"/>
    <n v="2019"/>
    <x v="0"/>
    <n v="3"/>
    <x v="1"/>
    <s v="No"/>
    <x v="2"/>
    <n v="2"/>
    <x v="1"/>
    <x v="0"/>
    <s v="Yes"/>
    <x v="3"/>
    <x v="1"/>
    <x v="3"/>
    <s v="Yes"/>
    <s v="Yes"/>
    <x v="0"/>
    <s v="no skills"/>
    <n v="1"/>
    <x v="2"/>
    <s v="Single"/>
    <x v="1"/>
    <s v="Bachelor"/>
    <x v="1"/>
    <n v="2.11"/>
    <s v="Yes"/>
    <n v="2.13"/>
    <n v="25"/>
    <n v="30000"/>
    <x v="2"/>
    <x v="0"/>
    <n v="44.2"/>
  </r>
  <r>
    <x v="4"/>
    <x v="1"/>
    <n v="22"/>
    <n v="2018"/>
    <x v="0"/>
    <n v="11"/>
    <x v="1"/>
    <s v="Yes"/>
    <x v="4"/>
    <n v="3"/>
    <x v="0"/>
    <x v="0"/>
    <s v="Yes"/>
    <x v="2"/>
    <x v="1"/>
    <x v="8"/>
    <s v="No"/>
    <s v="No"/>
    <x v="1"/>
    <s v="Software Development"/>
    <n v="2"/>
    <x v="5"/>
    <s v="Single"/>
    <x v="1"/>
    <s v="Family"/>
    <x v="0"/>
    <n v="3.1"/>
    <s v="No"/>
    <n v="3.07"/>
    <n v="107"/>
    <n v="60000"/>
    <x v="0"/>
    <x v="0"/>
    <n v="63.2"/>
  </r>
  <r>
    <x v="1"/>
    <x v="0"/>
    <n v="21"/>
    <n v="2020"/>
    <x v="0"/>
    <n v="3"/>
    <x v="0"/>
    <s v="No"/>
    <x v="5"/>
    <n v="2"/>
    <x v="0"/>
    <x v="0"/>
    <s v="Yes"/>
    <x v="0"/>
    <x v="0"/>
    <x v="4"/>
    <s v="No"/>
    <s v="No"/>
    <x v="1"/>
    <s v="Software Development"/>
    <n v="2"/>
    <x v="2"/>
    <s v="Single"/>
    <x v="0"/>
    <s v="Bachelor"/>
    <x v="0"/>
    <n v="3.28"/>
    <s v="No"/>
    <n v="3"/>
    <n v="25"/>
    <n v="70000"/>
    <x v="0"/>
    <x v="0"/>
    <n v="56"/>
  </r>
  <r>
    <x v="3"/>
    <x v="1"/>
    <n v="21"/>
    <n v="2020"/>
    <x v="0"/>
    <n v="1"/>
    <x v="0"/>
    <s v="Yes"/>
    <x v="1"/>
    <n v="2"/>
    <x v="0"/>
    <x v="0"/>
    <s v="Yes"/>
    <x v="2"/>
    <x v="1"/>
    <x v="5"/>
    <s v="No"/>
    <s v="No"/>
    <x v="1"/>
    <s v="Software Development"/>
    <n v="0"/>
    <x v="2"/>
    <s v="Single"/>
    <x v="1"/>
    <s v="Family"/>
    <x v="0"/>
    <n v="3.15"/>
    <s v="No"/>
    <n v="3.15"/>
    <n v="11"/>
    <n v="35000"/>
    <x v="0"/>
    <x v="0"/>
    <n v="43"/>
  </r>
  <r>
    <x v="3"/>
    <x v="0"/>
    <n v="20"/>
    <n v="2020"/>
    <x v="0"/>
    <n v="2"/>
    <x v="0"/>
    <s v="No"/>
    <x v="3"/>
    <n v="2"/>
    <x v="0"/>
    <x v="0"/>
    <s v="Yes"/>
    <x v="1"/>
    <x v="1"/>
    <x v="0"/>
    <s v="No"/>
    <s v="No"/>
    <x v="0"/>
    <s v="Software Development"/>
    <n v="1"/>
    <x v="2"/>
    <s v="Single"/>
    <x v="0"/>
    <s v="Bachelor"/>
    <x v="0"/>
    <n v="3.6"/>
    <s v="No"/>
    <n v="3.6"/>
    <n v="14"/>
    <n v="10000"/>
    <x v="1"/>
    <x v="0"/>
    <n v="54"/>
  </r>
  <r>
    <x v="1"/>
    <x v="1"/>
    <n v="21"/>
    <n v="2019"/>
    <x v="0"/>
    <n v="3"/>
    <x v="0"/>
    <s v="No"/>
    <x v="0"/>
    <n v="1"/>
    <x v="0"/>
    <x v="0"/>
    <s v="Yes"/>
    <x v="3"/>
    <x v="0"/>
    <x v="0"/>
    <s v="No"/>
    <s v="No"/>
    <x v="0"/>
    <s v="Software Development"/>
    <n v="2"/>
    <x v="4"/>
    <s v="Single"/>
    <x v="1"/>
    <s v="Bachelor"/>
    <x v="0"/>
    <n v="3.75"/>
    <s v="No"/>
    <n v="3.7"/>
    <n v="24"/>
    <n v="50000"/>
    <x v="1"/>
    <x v="0"/>
    <n v="51"/>
  </r>
  <r>
    <x v="1"/>
    <x v="0"/>
    <n v="20"/>
    <n v="2020"/>
    <x v="0"/>
    <n v="4"/>
    <x v="1"/>
    <s v="No"/>
    <x v="1"/>
    <n v="1"/>
    <x v="1"/>
    <x v="0"/>
    <s v="Yes"/>
    <x v="1"/>
    <x v="0"/>
    <x v="0"/>
    <s v="No"/>
    <s v="No"/>
    <x v="1"/>
    <s v="Software Development"/>
    <n v="2"/>
    <x v="2"/>
    <s v="Single"/>
    <x v="0"/>
    <s v="Family"/>
    <x v="0"/>
    <n v="3.85"/>
    <s v="No"/>
    <n v="3.92"/>
    <n v="34"/>
    <n v="40000"/>
    <x v="1"/>
    <x v="0"/>
    <n v="45"/>
  </r>
  <r>
    <x v="1"/>
    <x v="1"/>
    <n v="20"/>
    <n v="2019"/>
    <x v="0"/>
    <n v="4"/>
    <x v="0"/>
    <s v="Yes"/>
    <x v="0"/>
    <n v="3"/>
    <x v="0"/>
    <x v="0"/>
    <s v="Yes"/>
    <x v="2"/>
    <x v="1"/>
    <x v="0"/>
    <s v="No"/>
    <s v="No"/>
    <x v="1"/>
    <s v="Software Development"/>
    <n v="2"/>
    <x v="5"/>
    <s v="Single"/>
    <x v="1"/>
    <s v="Family"/>
    <x v="0"/>
    <n v="2.68"/>
    <s v="No"/>
    <n v="2.68"/>
    <n v="23"/>
    <n v="100000"/>
    <x v="0"/>
    <x v="0"/>
    <n v="51"/>
  </r>
  <r>
    <x v="1"/>
    <x v="1"/>
    <n v="21"/>
    <n v="2020"/>
    <x v="0"/>
    <n v="2"/>
    <x v="0"/>
    <s v="No"/>
    <x v="0"/>
    <n v="2"/>
    <x v="1"/>
    <x v="0"/>
    <s v="Yes"/>
    <x v="3"/>
    <x v="0"/>
    <x v="10"/>
    <s v="No"/>
    <s v="No"/>
    <x v="0"/>
    <s v="Software Development"/>
    <n v="3"/>
    <x v="2"/>
    <s v="Single"/>
    <x v="1"/>
    <s v="Bachelor"/>
    <x v="0"/>
    <n v="3.18"/>
    <s v="No"/>
    <n v="3.18"/>
    <n v="11"/>
    <n v="62488"/>
    <x v="0"/>
    <x v="0"/>
    <n v="57.6"/>
  </r>
  <r>
    <x v="4"/>
    <x v="1"/>
    <n v="24"/>
    <n v="2018"/>
    <x v="0"/>
    <n v="11"/>
    <x v="0"/>
    <s v="No"/>
    <x v="2"/>
    <n v="1"/>
    <x v="0"/>
    <x v="0"/>
    <s v="Yes"/>
    <x v="3"/>
    <x v="0"/>
    <x v="0"/>
    <s v="No"/>
    <s v="No"/>
    <x v="0"/>
    <s v="Software Development"/>
    <n v="2"/>
    <x v="0"/>
    <s v="Married"/>
    <x v="1"/>
    <s v="Family"/>
    <x v="0"/>
    <n v="3.39"/>
    <s v="No"/>
    <n v="3.4"/>
    <n v="128"/>
    <n v="5000"/>
    <x v="0"/>
    <x v="0"/>
    <n v="48"/>
  </r>
  <r>
    <x v="1"/>
    <x v="1"/>
    <n v="20"/>
    <n v="2020"/>
    <x v="0"/>
    <n v="4"/>
    <x v="1"/>
    <s v="No"/>
    <x v="5"/>
    <n v="1"/>
    <x v="1"/>
    <x v="0"/>
    <s v="Yes"/>
    <x v="4"/>
    <x v="0"/>
    <x v="5"/>
    <s v="No"/>
    <s v="No"/>
    <x v="0"/>
    <s v="Software Development"/>
    <n v="2"/>
    <x v="2"/>
    <s v="Single"/>
    <x v="1"/>
    <s v="Bachelor"/>
    <x v="1"/>
    <n v="2.98"/>
    <s v="No"/>
    <n v="3.38"/>
    <n v="25"/>
    <n v="60000"/>
    <x v="0"/>
    <x v="0"/>
    <n v="58"/>
  </r>
  <r>
    <x v="1"/>
    <x v="1"/>
    <n v="21"/>
    <n v="2020"/>
    <x v="0"/>
    <n v="2"/>
    <x v="1"/>
    <s v="No"/>
    <x v="8"/>
    <n v="2"/>
    <x v="0"/>
    <x v="0"/>
    <s v="Yes"/>
    <x v="1"/>
    <x v="0"/>
    <x v="6"/>
    <s v="Yes"/>
    <s v="No"/>
    <x v="1"/>
    <s v="Software Development"/>
    <n v="5"/>
    <x v="2"/>
    <s v="Single"/>
    <x v="1"/>
    <s v="Family"/>
    <x v="0"/>
    <n v="3.7"/>
    <s v="No"/>
    <n v="3.15"/>
    <n v="23"/>
    <n v="50000"/>
    <x v="0"/>
    <x v="0"/>
    <n v="80.800000000000011"/>
  </r>
  <r>
    <x v="0"/>
    <x v="1"/>
    <n v="23"/>
    <n v="2017"/>
    <x v="0"/>
    <n v="14"/>
    <x v="1"/>
    <s v="Yes"/>
    <x v="1"/>
    <n v="2"/>
    <x v="0"/>
    <x v="0"/>
    <s v="Yes"/>
    <x v="2"/>
    <x v="2"/>
    <x v="2"/>
    <s v="Yes"/>
    <s v="No"/>
    <x v="0"/>
    <s v="Software Development"/>
    <n v="2"/>
    <x v="5"/>
    <s v="Married"/>
    <x v="1"/>
    <s v="Family"/>
    <x v="0"/>
    <n v="3.25"/>
    <s v="No"/>
    <n v="2.95"/>
    <n v="130"/>
    <n v="40000"/>
    <x v="0"/>
    <x v="0"/>
    <n v="41"/>
  </r>
  <r>
    <x v="1"/>
    <x v="0"/>
    <n v="19"/>
    <n v="2020"/>
    <x v="0"/>
    <n v="3"/>
    <x v="1"/>
    <s v="Yes"/>
    <x v="2"/>
    <n v="1"/>
    <x v="1"/>
    <x v="0"/>
    <s v="Yes"/>
    <x v="1"/>
    <x v="1"/>
    <x v="9"/>
    <s v="No"/>
    <s v="No"/>
    <x v="1"/>
    <s v="Software Development"/>
    <n v="1"/>
    <x v="2"/>
    <s v="Single"/>
    <x v="1"/>
    <s v="Family"/>
    <x v="0"/>
    <n v="3.03"/>
    <s v="No"/>
    <n v="3.21"/>
    <n v="25"/>
    <n v="30000"/>
    <x v="0"/>
    <x v="0"/>
    <n v="43"/>
  </r>
  <r>
    <x v="1"/>
    <x v="1"/>
    <n v="22"/>
    <n v="2020"/>
    <x v="0"/>
    <n v="5"/>
    <x v="1"/>
    <s v="No"/>
    <x v="2"/>
    <n v="2"/>
    <x v="0"/>
    <x v="0"/>
    <s v="Yes"/>
    <x v="1"/>
    <x v="0"/>
    <x v="4"/>
    <s v="No"/>
    <s v="No"/>
    <x v="1"/>
    <s v="Software Development"/>
    <n v="1"/>
    <x v="2"/>
    <s v="Single"/>
    <x v="1"/>
    <s v="Bachelor"/>
    <x v="0"/>
    <n v="3.1"/>
    <s v="No"/>
    <n v="3.18"/>
    <n v="48"/>
    <n v="50000"/>
    <x v="0"/>
    <x v="0"/>
    <n v="47"/>
  </r>
  <r>
    <x v="3"/>
    <x v="1"/>
    <n v="21"/>
    <n v="2020"/>
    <x v="0"/>
    <n v="2"/>
    <x v="0"/>
    <s v="Yes"/>
    <x v="2"/>
    <n v="1"/>
    <x v="0"/>
    <x v="0"/>
    <s v="Yes"/>
    <x v="1"/>
    <x v="0"/>
    <x v="8"/>
    <s v="No"/>
    <s v="No"/>
    <x v="0"/>
    <s v="Software Development"/>
    <n v="1"/>
    <x v="2"/>
    <s v="Single"/>
    <x v="1"/>
    <s v="Family"/>
    <x v="0"/>
    <n v="3.7"/>
    <s v="No"/>
    <n v="3.7"/>
    <n v="12"/>
    <n v="120000"/>
    <x v="1"/>
    <x v="0"/>
    <n v="48.2"/>
  </r>
  <r>
    <x v="3"/>
    <x v="0"/>
    <n v="21"/>
    <n v="2020"/>
    <x v="0"/>
    <n v="2"/>
    <x v="0"/>
    <s v="Yes"/>
    <x v="8"/>
    <n v="2"/>
    <x v="0"/>
    <x v="0"/>
    <s v="Yes"/>
    <x v="5"/>
    <x v="0"/>
    <x v="7"/>
    <s v="Yes"/>
    <s v="No"/>
    <x v="0"/>
    <s v="Software Development"/>
    <n v="4"/>
    <x v="2"/>
    <s v="Single"/>
    <x v="0"/>
    <s v="Family"/>
    <x v="0"/>
    <n v="4"/>
    <s v="No"/>
    <n v="4"/>
    <n v="12"/>
    <n v="30000"/>
    <x v="1"/>
    <x v="0"/>
    <n v="67"/>
  </r>
  <r>
    <x v="1"/>
    <x v="0"/>
    <n v="19"/>
    <n v="2020"/>
    <x v="0"/>
    <n v="3"/>
    <x v="0"/>
    <s v="Yes"/>
    <x v="1"/>
    <n v="1"/>
    <x v="0"/>
    <x v="0"/>
    <s v="Yes"/>
    <x v="2"/>
    <x v="0"/>
    <x v="9"/>
    <s v="No"/>
    <s v="No"/>
    <x v="0"/>
    <s v="Software Development"/>
    <n v="1"/>
    <x v="2"/>
    <s v="Single"/>
    <x v="0"/>
    <s v="Bachelor"/>
    <x v="0"/>
    <n v="3.18"/>
    <s v="No"/>
    <n v="3.45"/>
    <n v="23"/>
    <n v="62488"/>
    <x v="0"/>
    <x v="0"/>
    <n v="40"/>
  </r>
  <r>
    <x v="1"/>
    <x v="1"/>
    <n v="19"/>
    <n v="2020"/>
    <x v="0"/>
    <n v="3"/>
    <x v="0"/>
    <s v="Yes"/>
    <x v="2"/>
    <n v="2"/>
    <x v="0"/>
    <x v="0"/>
    <s v="Yes"/>
    <x v="1"/>
    <x v="1"/>
    <x v="5"/>
    <s v="No"/>
    <s v="No"/>
    <x v="0"/>
    <s v="Software Development"/>
    <n v="2"/>
    <x v="2"/>
    <s v="Single"/>
    <x v="1"/>
    <s v="Family"/>
    <x v="0"/>
    <n v="3.61"/>
    <s v="No"/>
    <n v="3.74"/>
    <n v="25"/>
    <n v="40000"/>
    <x v="1"/>
    <x v="0"/>
    <n v="52"/>
  </r>
  <r>
    <x v="1"/>
    <x v="0"/>
    <n v="22"/>
    <n v="2017"/>
    <x v="0"/>
    <n v="3"/>
    <x v="0"/>
    <s v="No"/>
    <x v="2"/>
    <n v="1"/>
    <x v="1"/>
    <x v="0"/>
    <s v="Yes"/>
    <x v="11"/>
    <x v="0"/>
    <x v="7"/>
    <s v="No"/>
    <s v="No"/>
    <x v="1"/>
    <s v="Software Development"/>
    <n v="1"/>
    <x v="2"/>
    <s v="Single"/>
    <x v="1"/>
    <s v="Family"/>
    <x v="0"/>
    <n v="3.01"/>
    <s v="No"/>
    <n v="3.22"/>
    <n v="23"/>
    <n v="70000"/>
    <x v="0"/>
    <x v="0"/>
    <n v="37"/>
  </r>
  <r>
    <x v="1"/>
    <x v="1"/>
    <n v="21"/>
    <n v="2020"/>
    <x v="0"/>
    <n v="3"/>
    <x v="1"/>
    <s v="Yes"/>
    <x v="2"/>
    <n v="2"/>
    <x v="0"/>
    <x v="0"/>
    <s v="Yes"/>
    <x v="0"/>
    <x v="1"/>
    <x v="2"/>
    <s v="No"/>
    <s v="No"/>
    <x v="1"/>
    <s v="Software Development"/>
    <n v="2"/>
    <x v="2"/>
    <s v="Single"/>
    <x v="1"/>
    <s v="Family"/>
    <x v="1"/>
    <n v="3.26"/>
    <s v="No"/>
    <n v="3.36"/>
    <n v="23"/>
    <n v="40000"/>
    <x v="0"/>
    <x v="0"/>
    <n v="44"/>
  </r>
  <r>
    <x v="7"/>
    <x v="0"/>
    <n v="25"/>
    <n v="2016"/>
    <x v="0"/>
    <n v="19"/>
    <x v="0"/>
    <s v="No"/>
    <x v="1"/>
    <n v="1"/>
    <x v="0"/>
    <x v="0"/>
    <s v="Yes"/>
    <x v="2"/>
    <x v="0"/>
    <x v="5"/>
    <s v="No"/>
    <s v="No"/>
    <x v="1"/>
    <s v="Software Development"/>
    <n v="2"/>
    <x v="2"/>
    <s v="Single"/>
    <x v="0"/>
    <s v="Bachelor"/>
    <x v="0"/>
    <n v="3.6"/>
    <s v="No"/>
    <n v="3.72"/>
    <n v="130"/>
    <n v="300000"/>
    <x v="1"/>
    <x v="0"/>
    <n v="49"/>
  </r>
  <r>
    <x v="1"/>
    <x v="0"/>
    <n v="20"/>
    <n v="2019"/>
    <x v="0"/>
    <n v="3"/>
    <x v="1"/>
    <s v="No"/>
    <x v="2"/>
    <n v="3"/>
    <x v="0"/>
    <x v="0"/>
    <s v="Yes"/>
    <x v="0"/>
    <x v="1"/>
    <x v="5"/>
    <s v="No"/>
    <s v="No"/>
    <x v="1"/>
    <s v="Software Development"/>
    <n v="3"/>
    <x v="3"/>
    <s v="Single"/>
    <x v="1"/>
    <s v="Bachelor"/>
    <x v="1"/>
    <n v="3.12"/>
    <s v="No"/>
    <n v="3.01"/>
    <n v="23"/>
    <n v="50000"/>
    <x v="0"/>
    <x v="0"/>
    <n v="55"/>
  </r>
  <r>
    <x v="3"/>
    <x v="1"/>
    <n v="20"/>
    <n v="2020"/>
    <x v="0"/>
    <n v="1"/>
    <x v="0"/>
    <s v="No"/>
    <x v="5"/>
    <n v="3"/>
    <x v="0"/>
    <x v="0"/>
    <s v="Yes"/>
    <x v="2"/>
    <x v="1"/>
    <x v="5"/>
    <s v="No"/>
    <s v="No"/>
    <x v="0"/>
    <s v="Software Development"/>
    <n v="2"/>
    <x v="2"/>
    <s v="Single"/>
    <x v="0"/>
    <s v="Bachelor"/>
    <x v="0"/>
    <n v="3.93"/>
    <s v="No"/>
    <n v="3.93"/>
    <n v="11"/>
    <n v="50000"/>
    <x v="1"/>
    <x v="0"/>
    <n v="58"/>
  </r>
  <r>
    <x v="1"/>
    <x v="0"/>
    <n v="20"/>
    <n v="2020"/>
    <x v="0"/>
    <n v="3"/>
    <x v="0"/>
    <s v="No"/>
    <x v="3"/>
    <n v="3"/>
    <x v="1"/>
    <x v="0"/>
    <s v="Yes"/>
    <x v="5"/>
    <x v="2"/>
    <x v="4"/>
    <s v="Yes"/>
    <s v="No"/>
    <x v="1"/>
    <s v="Software Development"/>
    <n v="1"/>
    <x v="2"/>
    <s v="Single"/>
    <x v="0"/>
    <s v="Bachelor"/>
    <x v="0"/>
    <n v="3"/>
    <s v="No"/>
    <n v="3.55"/>
    <n v="23"/>
    <n v="150000"/>
    <x v="1"/>
    <x v="0"/>
    <n v="56"/>
  </r>
  <r>
    <x v="4"/>
    <x v="0"/>
    <n v="24"/>
    <n v="2018"/>
    <x v="0"/>
    <n v="9"/>
    <x v="1"/>
    <s v="No"/>
    <x v="1"/>
    <n v="2"/>
    <x v="1"/>
    <x v="0"/>
    <s v="Yes"/>
    <x v="1"/>
    <x v="1"/>
    <x v="7"/>
    <s v="Yes"/>
    <s v="No"/>
    <x v="0"/>
    <s v="Software Development"/>
    <n v="1"/>
    <x v="6"/>
    <s v="Single"/>
    <x v="0"/>
    <s v="Family"/>
    <x v="0"/>
    <n v="1.61"/>
    <s v="No"/>
    <n v="2.44"/>
    <n v="40"/>
    <n v="25000"/>
    <x v="2"/>
    <x v="0"/>
    <n v="34"/>
  </r>
  <r>
    <x v="2"/>
    <x v="0"/>
    <n v="22"/>
    <n v="2018"/>
    <x v="0"/>
    <n v="6"/>
    <x v="0"/>
    <s v="Yes"/>
    <x v="1"/>
    <n v="1"/>
    <x v="1"/>
    <x v="0"/>
    <s v="Yes"/>
    <x v="1"/>
    <x v="1"/>
    <x v="2"/>
    <s v="No"/>
    <s v="No"/>
    <x v="1"/>
    <s v="Software Development"/>
    <n v="1"/>
    <x v="2"/>
    <s v="Single"/>
    <x v="1"/>
    <s v="Family"/>
    <x v="0"/>
    <n v="2.79"/>
    <s v="No"/>
    <n v="3.15"/>
    <n v="50"/>
    <n v="40000"/>
    <x v="0"/>
    <x v="0"/>
    <n v="38"/>
  </r>
  <r>
    <x v="1"/>
    <x v="1"/>
    <n v="22"/>
    <n v="2020"/>
    <x v="0"/>
    <n v="4"/>
    <x v="1"/>
    <s v="No"/>
    <x v="2"/>
    <n v="1"/>
    <x v="0"/>
    <x v="0"/>
    <s v="No"/>
    <x v="1"/>
    <x v="0"/>
    <x v="8"/>
    <s v="No"/>
    <s v="No"/>
    <x v="1"/>
    <s v="Software Development"/>
    <n v="2"/>
    <x v="2"/>
    <s v="Single"/>
    <x v="1"/>
    <s v="Bachelor"/>
    <x v="0"/>
    <n v="3.83"/>
    <s v="No"/>
    <n v="3.4"/>
    <n v="25"/>
    <n v="40000"/>
    <x v="0"/>
    <x v="0"/>
    <n v="51.2"/>
  </r>
  <r>
    <x v="0"/>
    <x v="0"/>
    <n v="26"/>
    <n v="2018"/>
    <x v="0"/>
    <n v="12"/>
    <x v="0"/>
    <s v="Yes"/>
    <x v="0"/>
    <n v="1"/>
    <x v="1"/>
    <x v="0"/>
    <s v="Yes"/>
    <x v="2"/>
    <x v="2"/>
    <x v="5"/>
    <s v="No"/>
    <s v="No"/>
    <x v="0"/>
    <s v="Software Development"/>
    <n v="3"/>
    <x v="6"/>
    <s v="Single"/>
    <x v="1"/>
    <s v="Family"/>
    <x v="0"/>
    <n v="3.58"/>
    <s v="No"/>
    <n v="3.27"/>
    <n v="130"/>
    <n v="62488"/>
    <x v="0"/>
    <x v="0"/>
    <n v="58"/>
  </r>
  <r>
    <x v="1"/>
    <x v="1"/>
    <n v="21"/>
    <n v="2020"/>
    <x v="0"/>
    <n v="3"/>
    <x v="0"/>
    <s v="Yes"/>
    <x v="0"/>
    <n v="1"/>
    <x v="0"/>
    <x v="0"/>
    <s v="Yes"/>
    <x v="4"/>
    <x v="1"/>
    <x v="5"/>
    <s v="No"/>
    <s v="No"/>
    <x v="0"/>
    <s v="Software Development"/>
    <n v="2"/>
    <x v="4"/>
    <s v="Single"/>
    <x v="1"/>
    <s v="Family"/>
    <x v="0"/>
    <n v="3.39"/>
    <s v="No"/>
    <n v="3.19"/>
    <n v="25"/>
    <n v="70000"/>
    <x v="0"/>
    <x v="0"/>
    <n v="55"/>
  </r>
  <r>
    <x v="1"/>
    <x v="0"/>
    <n v="20"/>
    <n v="2020"/>
    <x v="0"/>
    <n v="3"/>
    <x v="0"/>
    <s v="No"/>
    <x v="0"/>
    <n v="3"/>
    <x v="0"/>
    <x v="0"/>
    <s v="Yes"/>
    <x v="2"/>
    <x v="0"/>
    <x v="5"/>
    <s v="No"/>
    <s v="No"/>
    <x v="1"/>
    <s v="Software Development"/>
    <n v="2"/>
    <x v="2"/>
    <s v="Single"/>
    <x v="1"/>
    <s v="Bachelor"/>
    <x v="0"/>
    <n v="3.38"/>
    <s v="No"/>
    <n v="3.37"/>
    <n v="23"/>
    <n v="25000"/>
    <x v="0"/>
    <x v="0"/>
    <n v="55"/>
  </r>
  <r>
    <x v="1"/>
    <x v="1"/>
    <n v="19"/>
    <n v="2020"/>
    <x v="0"/>
    <n v="3"/>
    <x v="0"/>
    <s v="No"/>
    <x v="0"/>
    <n v="3"/>
    <x v="0"/>
    <x v="0"/>
    <s v="Yes"/>
    <x v="3"/>
    <x v="0"/>
    <x v="5"/>
    <s v="No"/>
    <s v="No"/>
    <x v="0"/>
    <s v="Software Development"/>
    <n v="2"/>
    <x v="0"/>
    <s v="Single"/>
    <x v="1"/>
    <s v="Bachelor"/>
    <x v="1"/>
    <n v="3.03"/>
    <s v="No"/>
    <n v="3.15"/>
    <n v="23"/>
    <n v="30000"/>
    <x v="0"/>
    <x v="0"/>
    <n v="55"/>
  </r>
  <r>
    <x v="3"/>
    <x v="0"/>
    <n v="20"/>
    <n v="2020"/>
    <x v="0"/>
    <n v="1"/>
    <x v="1"/>
    <s v="No"/>
    <x v="0"/>
    <n v="1"/>
    <x v="0"/>
    <x v="1"/>
    <s v="Yes"/>
    <x v="3"/>
    <x v="0"/>
    <x v="5"/>
    <s v="No"/>
    <s v="No"/>
    <x v="0"/>
    <s v="Nothing"/>
    <n v="1"/>
    <x v="10"/>
    <s v="Married"/>
    <x v="0"/>
    <s v="Family"/>
    <x v="0"/>
    <n v="0"/>
    <s v="No"/>
    <n v="0"/>
    <n v="0"/>
    <n v="40000"/>
    <x v="2"/>
    <x v="0"/>
    <n v="52"/>
  </r>
  <r>
    <x v="1"/>
    <x v="0"/>
    <n v="21"/>
    <n v="2020"/>
    <x v="0"/>
    <n v="3"/>
    <x v="0"/>
    <s v="Yes"/>
    <x v="1"/>
    <n v="1"/>
    <x v="0"/>
    <x v="0"/>
    <s v="Yes"/>
    <x v="3"/>
    <x v="0"/>
    <x v="4"/>
    <s v="No"/>
    <s v="No"/>
    <x v="0"/>
    <s v="Software Development"/>
    <n v="1"/>
    <x v="2"/>
    <s v="Single"/>
    <x v="0"/>
    <s v="Family"/>
    <x v="0"/>
    <n v="3.65"/>
    <s v="No"/>
    <n v="3.7"/>
    <n v="30"/>
    <n v="40000"/>
    <x v="1"/>
    <x v="0"/>
    <n v="44"/>
  </r>
  <r>
    <x v="4"/>
    <x v="1"/>
    <n v="22"/>
    <n v="2019"/>
    <x v="0"/>
    <n v="9"/>
    <x v="1"/>
    <s v="Yes"/>
    <x v="0"/>
    <n v="1"/>
    <x v="0"/>
    <x v="0"/>
    <s v="Yes"/>
    <x v="2"/>
    <x v="0"/>
    <x v="2"/>
    <s v="No"/>
    <s v="No"/>
    <x v="0"/>
    <s v="Software Development"/>
    <n v="1"/>
    <x v="6"/>
    <s v="Single"/>
    <x v="1"/>
    <s v="Family"/>
    <x v="1"/>
    <n v="3.18"/>
    <s v="No"/>
    <n v="2.69"/>
    <n v="90"/>
    <n v="30000"/>
    <x v="0"/>
    <x v="0"/>
    <n v="44"/>
  </r>
  <r>
    <x v="3"/>
    <x v="0"/>
    <n v="21"/>
    <n v="2020"/>
    <x v="0"/>
    <n v="2"/>
    <x v="0"/>
    <s v="Yes"/>
    <x v="0"/>
    <n v="2"/>
    <x v="0"/>
    <x v="0"/>
    <s v="Yes"/>
    <x v="2"/>
    <x v="1"/>
    <x v="5"/>
    <s v="No"/>
    <s v="No"/>
    <x v="0"/>
    <s v="Software Development"/>
    <n v="2"/>
    <x v="2"/>
    <s v="Single"/>
    <x v="0"/>
    <s v="Family"/>
    <x v="0"/>
    <n v="3.78"/>
    <s v="No"/>
    <n v="3.15"/>
    <n v="90"/>
    <n v="30000"/>
    <x v="0"/>
    <x v="0"/>
    <n v="55"/>
  </r>
  <r>
    <x v="2"/>
    <x v="0"/>
    <n v="24"/>
    <n v="2017"/>
    <x v="0"/>
    <n v="8"/>
    <x v="0"/>
    <s v="Yes"/>
    <x v="1"/>
    <n v="1"/>
    <x v="0"/>
    <x v="0"/>
    <s v="Yes"/>
    <x v="4"/>
    <x v="0"/>
    <x v="7"/>
    <s v="No"/>
    <s v="No"/>
    <x v="1"/>
    <s v="Software Development"/>
    <n v="3"/>
    <x v="5"/>
    <s v="Relationship"/>
    <x v="0"/>
    <s v="Family"/>
    <x v="0"/>
    <n v="2.56"/>
    <s v="No"/>
    <n v="3.38"/>
    <n v="90"/>
    <n v="30000"/>
    <x v="0"/>
    <x v="0"/>
    <n v="40"/>
  </r>
  <r>
    <x v="1"/>
    <x v="0"/>
    <n v="20"/>
    <n v="2020"/>
    <x v="0"/>
    <n v="3"/>
    <x v="0"/>
    <s v="No"/>
    <x v="2"/>
    <n v="2"/>
    <x v="0"/>
    <x v="1"/>
    <s v="Yes"/>
    <x v="10"/>
    <x v="1"/>
    <x v="0"/>
    <s v="No"/>
    <s v="No"/>
    <x v="1"/>
    <s v="learner"/>
    <n v="0"/>
    <x v="2"/>
    <s v="Single"/>
    <x v="1"/>
    <s v="Family"/>
    <x v="1"/>
    <n v="2.94"/>
    <s v="No"/>
    <n v="3.1"/>
    <n v="24"/>
    <n v="45000"/>
    <x v="0"/>
    <x v="0"/>
    <n v="42"/>
  </r>
  <r>
    <x v="1"/>
    <x v="1"/>
    <n v="19"/>
    <n v="2020"/>
    <x v="0"/>
    <n v="3"/>
    <x v="1"/>
    <s v="No"/>
    <x v="0"/>
    <n v="2"/>
    <x v="0"/>
    <x v="0"/>
    <s v="Yes"/>
    <x v="4"/>
    <x v="0"/>
    <x v="22"/>
    <s v="Yes"/>
    <s v="No"/>
    <x v="0"/>
    <s v="Software Development"/>
    <n v="3"/>
    <x v="2"/>
    <s v="Single"/>
    <x v="1"/>
    <s v="Family"/>
    <x v="0"/>
    <n v="2.36"/>
    <s v="No"/>
    <n v="2.88"/>
    <n v="23"/>
    <n v="80000"/>
    <x v="0"/>
    <x v="0"/>
    <n v="48.8"/>
  </r>
  <r>
    <x v="3"/>
    <x v="0"/>
    <n v="21"/>
    <n v="2021"/>
    <x v="0"/>
    <n v="2"/>
    <x v="0"/>
    <s v="No"/>
    <x v="0"/>
    <n v="2"/>
    <x v="1"/>
    <x v="0"/>
    <s v="No"/>
    <x v="0"/>
    <x v="0"/>
    <x v="5"/>
    <s v="No"/>
    <s v="No"/>
    <x v="0"/>
    <s v="Software Development"/>
    <n v="2"/>
    <x v="2"/>
    <s v="Single"/>
    <x v="1"/>
    <s v="Family"/>
    <x v="0"/>
    <n v="3.8"/>
    <s v="No"/>
    <n v="3.8"/>
    <n v="11"/>
    <n v="30000"/>
    <x v="1"/>
    <x v="0"/>
    <n v="55"/>
  </r>
  <r>
    <x v="1"/>
    <x v="0"/>
    <n v="22"/>
    <n v="2020"/>
    <x v="0"/>
    <n v="3"/>
    <x v="0"/>
    <s v="No"/>
    <x v="9"/>
    <n v="0"/>
    <x v="0"/>
    <x v="0"/>
    <s v="Yes"/>
    <x v="8"/>
    <x v="1"/>
    <x v="2"/>
    <s v="Yes"/>
    <s v="No"/>
    <x v="1"/>
    <s v="Software Development"/>
    <n v="0"/>
    <x v="2"/>
    <s v="Single"/>
    <x v="1"/>
    <s v="Bachelor"/>
    <x v="0"/>
    <n v="1.53"/>
    <s v="No"/>
    <n v="2.4300000000000002"/>
    <n v="23"/>
    <n v="30000"/>
    <x v="2"/>
    <x v="0"/>
    <n v="32"/>
  </r>
  <r>
    <x v="2"/>
    <x v="1"/>
    <n v="21"/>
    <n v="2019"/>
    <x v="0"/>
    <n v="7"/>
    <x v="1"/>
    <s v="Yes"/>
    <x v="2"/>
    <n v="2"/>
    <x v="1"/>
    <x v="0"/>
    <s v="Yes"/>
    <x v="0"/>
    <x v="0"/>
    <x v="2"/>
    <s v="No"/>
    <s v="No"/>
    <x v="0"/>
    <s v="Software Development"/>
    <n v="3"/>
    <x v="7"/>
    <s v="Relationship"/>
    <x v="1"/>
    <s v="Family"/>
    <x v="0"/>
    <n v="3"/>
    <s v="No"/>
    <n v="2.91"/>
    <n v="90"/>
    <n v="35000"/>
    <x v="0"/>
    <x v="0"/>
    <n v="47"/>
  </r>
  <r>
    <x v="1"/>
    <x v="1"/>
    <n v="20"/>
    <n v="2020"/>
    <x v="0"/>
    <n v="3"/>
    <x v="1"/>
    <s v="Yes"/>
    <x v="2"/>
    <n v="1"/>
    <x v="0"/>
    <x v="0"/>
    <s v="No"/>
    <x v="0"/>
    <x v="1"/>
    <x v="2"/>
    <s v="No"/>
    <s v="No"/>
    <x v="0"/>
    <s v="Software Development"/>
    <n v="1"/>
    <x v="2"/>
    <s v="Single"/>
    <x v="0"/>
    <s v="Family"/>
    <x v="0"/>
    <n v="2.3199999999999998"/>
    <s v="No"/>
    <n v="2.66"/>
    <n v="23"/>
    <n v="40000"/>
    <x v="0"/>
    <x v="0"/>
    <n v="41"/>
  </r>
  <r>
    <x v="3"/>
    <x v="0"/>
    <n v="21"/>
    <n v="2022"/>
    <x v="0"/>
    <n v="1"/>
    <x v="0"/>
    <s v="Yes"/>
    <x v="4"/>
    <n v="2"/>
    <x v="1"/>
    <x v="0"/>
    <s v="Yes"/>
    <x v="4"/>
    <x v="0"/>
    <x v="0"/>
    <s v="Yes"/>
    <s v="No"/>
    <x v="0"/>
    <s v="Cyber security"/>
    <n v="1"/>
    <x v="2"/>
    <s v="Single"/>
    <x v="1"/>
    <s v="Bachelor"/>
    <x v="1"/>
    <n v="0"/>
    <s v="Yes"/>
    <n v="0"/>
    <n v="11"/>
    <n v="62488"/>
    <x v="2"/>
    <x v="0"/>
    <n v="57"/>
  </r>
  <r>
    <x v="1"/>
    <x v="1"/>
    <n v="21"/>
    <n v="2019"/>
    <x v="0"/>
    <n v="3"/>
    <x v="0"/>
    <s v="No"/>
    <x v="0"/>
    <n v="0"/>
    <x v="0"/>
    <x v="0"/>
    <s v="Yes"/>
    <x v="10"/>
    <x v="2"/>
    <x v="14"/>
    <s v="No"/>
    <s v="No"/>
    <x v="0"/>
    <s v="No skill"/>
    <n v="0"/>
    <x v="4"/>
    <s v="Relationship"/>
    <x v="0"/>
    <s v="Family"/>
    <x v="1"/>
    <n v="3.37"/>
    <s v="No"/>
    <n v="3.15"/>
    <n v="23"/>
    <n v="62488"/>
    <x v="0"/>
    <x v="0"/>
    <n v="29"/>
  </r>
  <r>
    <x v="1"/>
    <x v="1"/>
    <n v="22"/>
    <n v="2020"/>
    <x v="0"/>
    <n v="3"/>
    <x v="0"/>
    <s v="No"/>
    <x v="2"/>
    <n v="1"/>
    <x v="0"/>
    <x v="0"/>
    <s v="Yes"/>
    <x v="1"/>
    <x v="0"/>
    <x v="5"/>
    <s v="No"/>
    <s v="No"/>
    <x v="0"/>
    <s v="Software Development"/>
    <n v="1"/>
    <x v="5"/>
    <s v="Single"/>
    <x v="0"/>
    <s v="Bachelor"/>
    <x v="1"/>
    <n v="2.89"/>
    <s v="No"/>
    <n v="3.37"/>
    <n v="24"/>
    <n v="50000"/>
    <x v="0"/>
    <x v="0"/>
    <n v="49"/>
  </r>
  <r>
    <x v="1"/>
    <x v="1"/>
    <n v="21"/>
    <n v="2019"/>
    <x v="0"/>
    <n v="3"/>
    <x v="0"/>
    <s v="Yes"/>
    <x v="2"/>
    <n v="3"/>
    <x v="0"/>
    <x v="0"/>
    <s v="Yes"/>
    <x v="2"/>
    <x v="1"/>
    <x v="0"/>
    <s v="No"/>
    <s v="No"/>
    <x v="1"/>
    <s v="Software Development"/>
    <n v="2"/>
    <x v="2"/>
    <s v="Single"/>
    <x v="1"/>
    <s v="Family"/>
    <x v="0"/>
    <n v="3.17"/>
    <s v="No"/>
    <n v="3.15"/>
    <n v="24"/>
    <n v="40000"/>
    <x v="0"/>
    <x v="0"/>
    <n v="48"/>
  </r>
  <r>
    <x v="1"/>
    <x v="1"/>
    <n v="20"/>
    <n v="2020"/>
    <x v="0"/>
    <n v="3"/>
    <x v="0"/>
    <s v="Yes"/>
    <x v="2"/>
    <n v="2"/>
    <x v="0"/>
    <x v="0"/>
    <s v="Yes"/>
    <x v="0"/>
    <x v="1"/>
    <x v="5"/>
    <s v="Yes"/>
    <s v="No"/>
    <x v="1"/>
    <s v="Software Development"/>
    <n v="1"/>
    <x v="2"/>
    <s v="Single"/>
    <x v="1"/>
    <s v="Family"/>
    <x v="1"/>
    <n v="2.2599999999999998"/>
    <s v="No"/>
    <n v="2.31"/>
    <n v="20"/>
    <n v="35000"/>
    <x v="2"/>
    <x v="0"/>
    <n v="49"/>
  </r>
  <r>
    <x v="3"/>
    <x v="1"/>
    <n v="21"/>
    <n v="2020"/>
    <x v="0"/>
    <n v="2"/>
    <x v="0"/>
    <s v="No"/>
    <x v="3"/>
    <n v="2"/>
    <x v="0"/>
    <x v="0"/>
    <s v="Yes"/>
    <x v="2"/>
    <x v="1"/>
    <x v="10"/>
    <s v="No"/>
    <s v="No"/>
    <x v="1"/>
    <s v="Software Development"/>
    <n v="1"/>
    <x v="2"/>
    <s v="Single"/>
    <x v="1"/>
    <s v="Bachelor"/>
    <x v="0"/>
    <n v="3.65"/>
    <s v="No"/>
    <n v="3.65"/>
    <n v="12"/>
    <n v="35000"/>
    <x v="1"/>
    <x v="0"/>
    <n v="57.6"/>
  </r>
  <r>
    <x v="1"/>
    <x v="1"/>
    <n v="22"/>
    <n v="2019"/>
    <x v="0"/>
    <n v="3"/>
    <x v="0"/>
    <s v="Yes"/>
    <x v="2"/>
    <n v="1"/>
    <x v="0"/>
    <x v="0"/>
    <s v="Yes"/>
    <x v="3"/>
    <x v="0"/>
    <x v="1"/>
    <s v="No"/>
    <s v="No"/>
    <x v="0"/>
    <s v="Software Development"/>
    <n v="1"/>
    <x v="5"/>
    <s v="Single"/>
    <x v="1"/>
    <s v="Family"/>
    <x v="0"/>
    <n v="3.03"/>
    <s v="No"/>
    <n v="3.02"/>
    <n v="25"/>
    <n v="49000"/>
    <x v="0"/>
    <x v="0"/>
    <n v="47.400000000000006"/>
  </r>
  <r>
    <x v="2"/>
    <x v="0"/>
    <n v="22"/>
    <n v="2018"/>
    <x v="0"/>
    <n v="7"/>
    <x v="0"/>
    <s v="Yes"/>
    <x v="2"/>
    <n v="1"/>
    <x v="0"/>
    <x v="0"/>
    <s v="Yes"/>
    <x v="4"/>
    <x v="1"/>
    <x v="2"/>
    <s v="No"/>
    <s v="No"/>
    <x v="0"/>
    <s v="Software Development"/>
    <n v="0"/>
    <x v="2"/>
    <s v="Single"/>
    <x v="1"/>
    <s v="Bachelor"/>
    <x v="1"/>
    <n v="3.93"/>
    <s v="No"/>
    <n v="3.44"/>
    <n v="53"/>
    <n v="15000"/>
    <x v="0"/>
    <x v="0"/>
    <n v="38"/>
  </r>
  <r>
    <x v="4"/>
    <x v="1"/>
    <n v="22"/>
    <n v="2018"/>
    <x v="0"/>
    <n v="9"/>
    <x v="1"/>
    <s v="Yes"/>
    <x v="5"/>
    <n v="3"/>
    <x v="0"/>
    <x v="0"/>
    <s v="Yes"/>
    <x v="2"/>
    <x v="2"/>
    <x v="2"/>
    <s v="No"/>
    <s v="No"/>
    <x v="0"/>
    <s v="Software Development"/>
    <n v="2"/>
    <x v="0"/>
    <s v="Single"/>
    <x v="0"/>
    <s v="Family"/>
    <x v="0"/>
    <n v="3"/>
    <s v="No"/>
    <n v="3.09"/>
    <n v="105"/>
    <n v="2000000"/>
    <x v="0"/>
    <x v="0"/>
    <n v="50"/>
  </r>
  <r>
    <x v="3"/>
    <x v="1"/>
    <n v="20"/>
    <n v="2021"/>
    <x v="0"/>
    <n v="1"/>
    <x v="0"/>
    <s v="Yes"/>
    <x v="2"/>
    <n v="1"/>
    <x v="0"/>
    <x v="0"/>
    <s v="Yes"/>
    <x v="1"/>
    <x v="1"/>
    <x v="8"/>
    <s v="No"/>
    <s v="No"/>
    <x v="0"/>
    <s v="Software Development"/>
    <n v="0"/>
    <x v="2"/>
    <s v="Single"/>
    <x v="1"/>
    <s v="Family"/>
    <x v="0"/>
    <n v="0"/>
    <s v="No"/>
    <n v="0"/>
    <n v="0"/>
    <n v="62488"/>
    <x v="2"/>
    <x v="0"/>
    <n v="45.2"/>
  </r>
  <r>
    <x v="3"/>
    <x v="0"/>
    <n v="20"/>
    <n v="2020"/>
    <x v="0"/>
    <n v="2"/>
    <x v="0"/>
    <s v="Yes"/>
    <x v="6"/>
    <n v="4"/>
    <x v="0"/>
    <x v="0"/>
    <s v="Yes"/>
    <x v="2"/>
    <x v="1"/>
    <x v="3"/>
    <s v="No"/>
    <s v="No"/>
    <x v="0"/>
    <s v="Software Development"/>
    <n v="2"/>
    <x v="2"/>
    <s v="Single"/>
    <x v="0"/>
    <s v="Bachelor"/>
    <x v="0"/>
    <n v="3.45"/>
    <s v="No"/>
    <n v="3.45"/>
    <n v="11"/>
    <n v="30000"/>
    <x v="0"/>
    <x v="0"/>
    <n v="65.2"/>
  </r>
  <r>
    <x v="1"/>
    <x v="1"/>
    <n v="21"/>
    <n v="2020"/>
    <x v="0"/>
    <n v="3"/>
    <x v="0"/>
    <s v="Yes"/>
    <x v="0"/>
    <n v="4"/>
    <x v="0"/>
    <x v="0"/>
    <s v="Yes"/>
    <x v="3"/>
    <x v="1"/>
    <x v="5"/>
    <s v="No"/>
    <s v="No"/>
    <x v="0"/>
    <s v="Software Development"/>
    <n v="1"/>
    <x v="2"/>
    <s v="Single"/>
    <x v="1"/>
    <s v="Family"/>
    <x v="0"/>
    <n v="2.94"/>
    <s v="No"/>
    <n v="3.03"/>
    <n v="23"/>
    <n v="62488"/>
    <x v="0"/>
    <x v="0"/>
    <n v="52"/>
  </r>
  <r>
    <x v="1"/>
    <x v="0"/>
    <n v="21"/>
    <n v="2019"/>
    <x v="0"/>
    <n v="3"/>
    <x v="0"/>
    <s v="Yes"/>
    <x v="6"/>
    <n v="2"/>
    <x v="0"/>
    <x v="0"/>
    <s v="Yes"/>
    <x v="3"/>
    <x v="0"/>
    <x v="5"/>
    <s v="No"/>
    <s v="No"/>
    <x v="1"/>
    <s v="Software Development"/>
    <n v="4"/>
    <x v="2"/>
    <s v="Relationship"/>
    <x v="0"/>
    <s v="Family"/>
    <x v="0"/>
    <n v="3.93"/>
    <s v="No"/>
    <n v="3.95"/>
    <n v="25"/>
    <n v="50000"/>
    <x v="1"/>
    <x v="0"/>
    <n v="76"/>
  </r>
  <r>
    <x v="1"/>
    <x v="0"/>
    <n v="21"/>
    <n v="2019"/>
    <x v="0"/>
    <n v="3"/>
    <x v="0"/>
    <s v="Yes"/>
    <x v="1"/>
    <n v="1"/>
    <x v="1"/>
    <x v="0"/>
    <s v="Yes"/>
    <x v="2"/>
    <x v="0"/>
    <x v="9"/>
    <s v="No"/>
    <s v="No"/>
    <x v="1"/>
    <s v="Software Development"/>
    <n v="2"/>
    <x v="0"/>
    <s v="Single"/>
    <x v="0"/>
    <s v="Family"/>
    <x v="1"/>
    <n v="3.86"/>
    <s v="No"/>
    <n v="3.84"/>
    <n v="24"/>
    <n v="50000"/>
    <x v="1"/>
    <x v="0"/>
    <n v="43"/>
  </r>
  <r>
    <x v="3"/>
    <x v="0"/>
    <n v="20"/>
    <n v="2020"/>
    <x v="0"/>
    <n v="3"/>
    <x v="1"/>
    <s v="Yes"/>
    <x v="5"/>
    <n v="2"/>
    <x v="0"/>
    <x v="0"/>
    <s v="Yes"/>
    <x v="2"/>
    <x v="0"/>
    <x v="5"/>
    <s v="Yes"/>
    <s v="No"/>
    <x v="1"/>
    <s v="Software Development"/>
    <n v="1"/>
    <x v="2"/>
    <s v="Single"/>
    <x v="1"/>
    <s v="Family"/>
    <x v="0"/>
    <n v="2.93"/>
    <s v="No"/>
    <n v="2.84"/>
    <n v="26"/>
    <n v="30000"/>
    <x v="0"/>
    <x v="0"/>
    <n v="55"/>
  </r>
  <r>
    <x v="1"/>
    <x v="0"/>
    <n v="20"/>
    <n v="2020"/>
    <x v="0"/>
    <n v="4"/>
    <x v="0"/>
    <s v="No"/>
    <x v="3"/>
    <n v="3"/>
    <x v="1"/>
    <x v="0"/>
    <s v="Yes"/>
    <x v="3"/>
    <x v="0"/>
    <x v="2"/>
    <s v="No"/>
    <s v="No"/>
    <x v="0"/>
    <s v="Software Development"/>
    <n v="2"/>
    <x v="2"/>
    <s v="Single"/>
    <x v="1"/>
    <s v="Bachelor"/>
    <x v="0"/>
    <n v="3.06"/>
    <s v="No"/>
    <n v="3.08"/>
    <n v="36"/>
    <n v="7000"/>
    <x v="0"/>
    <x v="0"/>
    <n v="53"/>
  </r>
  <r>
    <x v="3"/>
    <x v="1"/>
    <n v="21"/>
    <n v="2019"/>
    <x v="0"/>
    <n v="1"/>
    <x v="0"/>
    <s v="Yes"/>
    <x v="2"/>
    <n v="1"/>
    <x v="0"/>
    <x v="0"/>
    <s v="Yes"/>
    <x v="6"/>
    <x v="2"/>
    <x v="5"/>
    <s v="No"/>
    <s v="No"/>
    <x v="0"/>
    <s v="Cyber security"/>
    <n v="0"/>
    <x v="2"/>
    <s v="Single"/>
    <x v="1"/>
    <s v="Family"/>
    <x v="0"/>
    <n v="0"/>
    <s v="No"/>
    <n v="0"/>
    <n v="0"/>
    <n v="50000"/>
    <x v="2"/>
    <x v="0"/>
    <n v="46"/>
  </r>
  <r>
    <x v="2"/>
    <x v="1"/>
    <n v="21"/>
    <n v="2018"/>
    <x v="0"/>
    <n v="8"/>
    <x v="0"/>
    <s v="Yes"/>
    <x v="9"/>
    <n v="0"/>
    <x v="0"/>
    <x v="0"/>
    <s v="Yes"/>
    <x v="1"/>
    <x v="0"/>
    <x v="5"/>
    <s v="No"/>
    <s v="No"/>
    <x v="0"/>
    <s v="Software Development"/>
    <n v="4"/>
    <x v="2"/>
    <s v="Single"/>
    <x v="1"/>
    <s v="Family"/>
    <x v="0"/>
    <n v="3.92"/>
    <s v="No"/>
    <n v="3.94"/>
    <n v="60"/>
    <n v="50000"/>
    <x v="1"/>
    <x v="0"/>
    <n v="52"/>
  </r>
  <r>
    <x v="1"/>
    <x v="0"/>
    <n v="21"/>
    <n v="2019"/>
    <x v="0"/>
    <n v="3"/>
    <x v="1"/>
    <s v="Yes"/>
    <x v="2"/>
    <n v="1"/>
    <x v="0"/>
    <x v="0"/>
    <s v="Yes"/>
    <x v="2"/>
    <x v="0"/>
    <x v="8"/>
    <s v="No"/>
    <s v="No"/>
    <x v="1"/>
    <s v="Software Development"/>
    <n v="1"/>
    <x v="2"/>
    <s v="Single"/>
    <x v="0"/>
    <s v="Family"/>
    <x v="0"/>
    <n v="3.17"/>
    <s v="No"/>
    <n v="3.53"/>
    <n v="25"/>
    <n v="30000"/>
    <x v="1"/>
    <x v="0"/>
    <n v="48.2"/>
  </r>
  <r>
    <x v="3"/>
    <x v="1"/>
    <n v="20"/>
    <n v="2020"/>
    <x v="0"/>
    <n v="1"/>
    <x v="0"/>
    <s v="Yes"/>
    <x v="1"/>
    <n v="1"/>
    <x v="0"/>
    <x v="0"/>
    <s v="Yes"/>
    <x v="1"/>
    <x v="1"/>
    <x v="4"/>
    <s v="No"/>
    <s v="No"/>
    <x v="1"/>
    <s v="Software Development"/>
    <n v="1"/>
    <x v="2"/>
    <s v="Single"/>
    <x v="1"/>
    <s v="Family"/>
    <x v="0"/>
    <n v="3.63"/>
    <s v="No"/>
    <n v="3.63"/>
    <n v="11"/>
    <n v="35000"/>
    <x v="1"/>
    <x v="0"/>
    <n v="44"/>
  </r>
  <r>
    <x v="1"/>
    <x v="0"/>
    <n v="20"/>
    <n v="2020"/>
    <x v="0"/>
    <n v="3"/>
    <x v="0"/>
    <s v="No"/>
    <x v="6"/>
    <n v="2"/>
    <x v="0"/>
    <x v="0"/>
    <s v="Yes"/>
    <x v="2"/>
    <x v="0"/>
    <x v="8"/>
    <s v="No"/>
    <s v="No"/>
    <x v="0"/>
    <s v="Software Development"/>
    <n v="2"/>
    <x v="2"/>
    <s v="Single"/>
    <x v="1"/>
    <s v="Family"/>
    <x v="0"/>
    <n v="3.98"/>
    <s v="No"/>
    <n v="3.86"/>
    <n v="23"/>
    <n v="20000"/>
    <x v="1"/>
    <x v="0"/>
    <n v="69.2"/>
  </r>
  <r>
    <x v="1"/>
    <x v="1"/>
    <n v="21"/>
    <n v="2020"/>
    <x v="0"/>
    <n v="4"/>
    <x v="1"/>
    <s v="Yes"/>
    <x v="4"/>
    <n v="1"/>
    <x v="0"/>
    <x v="0"/>
    <s v="No"/>
    <x v="2"/>
    <x v="0"/>
    <x v="6"/>
    <s v="Yes"/>
    <s v="No"/>
    <x v="0"/>
    <s v="Software Development"/>
    <n v="3"/>
    <x v="2"/>
    <s v="Single"/>
    <x v="0"/>
    <s v="Family"/>
    <x v="0"/>
    <n v="3.39"/>
    <s v="No"/>
    <n v="2.8"/>
    <n v="20"/>
    <n v="40000"/>
    <x v="0"/>
    <x v="0"/>
    <n v="65.800000000000011"/>
  </r>
  <r>
    <x v="1"/>
    <x v="1"/>
    <n v="18"/>
    <n v="2020"/>
    <x v="0"/>
    <n v="2"/>
    <x v="0"/>
    <s v="No"/>
    <x v="2"/>
    <n v="2"/>
    <x v="1"/>
    <x v="0"/>
    <s v="No"/>
    <x v="1"/>
    <x v="0"/>
    <x v="0"/>
    <s v="No"/>
    <s v="No"/>
    <x v="1"/>
    <s v="Software Development"/>
    <n v="1"/>
    <x v="2"/>
    <s v="Engaged"/>
    <x v="1"/>
    <s v="Bachelor"/>
    <x v="1"/>
    <n v="3.68"/>
    <s v="No"/>
    <n v="3.68"/>
    <n v="11"/>
    <n v="40000"/>
    <x v="1"/>
    <x v="0"/>
    <n v="45"/>
  </r>
  <r>
    <x v="3"/>
    <x v="0"/>
    <n v="21"/>
    <n v="2019"/>
    <x v="0"/>
    <n v="2"/>
    <x v="0"/>
    <s v="No"/>
    <x v="3"/>
    <n v="3"/>
    <x v="0"/>
    <x v="0"/>
    <s v="Yes"/>
    <x v="4"/>
    <x v="1"/>
    <x v="0"/>
    <s v="Yes"/>
    <s v="No"/>
    <x v="0"/>
    <s v="Software Development"/>
    <n v="3"/>
    <x v="2"/>
    <s v="Single"/>
    <x v="0"/>
    <s v="Bachelor"/>
    <x v="0"/>
    <n v="3.83"/>
    <s v="No"/>
    <n v="3.83"/>
    <n v="11"/>
    <n v="20000"/>
    <x v="1"/>
    <x v="0"/>
    <n v="60"/>
  </r>
  <r>
    <x v="2"/>
    <x v="0"/>
    <n v="22"/>
    <n v="2019"/>
    <x v="0"/>
    <n v="8"/>
    <x v="1"/>
    <s v="No"/>
    <x v="0"/>
    <n v="1"/>
    <x v="0"/>
    <x v="0"/>
    <s v="Yes"/>
    <x v="4"/>
    <x v="0"/>
    <x v="5"/>
    <s v="No"/>
    <s v="No"/>
    <x v="0"/>
    <s v="Software Development"/>
    <n v="2"/>
    <x v="2"/>
    <s v="Single"/>
    <x v="1"/>
    <s v="Bachelor"/>
    <x v="0"/>
    <n v="3.64"/>
    <s v="No"/>
    <n v="3.74"/>
    <n v="87"/>
    <n v="50000"/>
    <x v="1"/>
    <x v="0"/>
    <n v="55"/>
  </r>
  <r>
    <x v="1"/>
    <x v="0"/>
    <n v="20"/>
    <n v="2020"/>
    <x v="0"/>
    <n v="3"/>
    <x v="0"/>
    <s v="Yes"/>
    <x v="2"/>
    <n v="1"/>
    <x v="0"/>
    <x v="0"/>
    <s v="Yes"/>
    <x v="3"/>
    <x v="0"/>
    <x v="5"/>
    <s v="No"/>
    <s v="No"/>
    <x v="0"/>
    <s v="Software Development"/>
    <n v="1"/>
    <x v="10"/>
    <s v="Single"/>
    <x v="1"/>
    <s v="Family"/>
    <x v="0"/>
    <n v="2.96"/>
    <s v="No"/>
    <n v="3.38"/>
    <n v="25"/>
    <n v="25000"/>
    <x v="0"/>
    <x v="0"/>
    <n v="49"/>
  </r>
  <r>
    <x v="2"/>
    <x v="0"/>
    <n v="22"/>
    <n v="2019"/>
    <x v="0"/>
    <n v="6"/>
    <x v="1"/>
    <s v="Yes"/>
    <x v="0"/>
    <n v="2"/>
    <x v="0"/>
    <x v="0"/>
    <s v="Yes"/>
    <x v="3"/>
    <x v="0"/>
    <x v="5"/>
    <s v="Yes"/>
    <s v="No"/>
    <x v="0"/>
    <s v="Software Development"/>
    <n v="2"/>
    <x v="2"/>
    <s v="Single"/>
    <x v="0"/>
    <s v="Bachelor"/>
    <x v="0"/>
    <n v="2.25"/>
    <s v="No"/>
    <n v="3.15"/>
    <n v="60"/>
    <n v="20000"/>
    <x v="0"/>
    <x v="0"/>
    <n v="55"/>
  </r>
  <r>
    <x v="2"/>
    <x v="0"/>
    <n v="19"/>
    <n v="2020"/>
    <x v="0"/>
    <n v="2"/>
    <x v="0"/>
    <s v="No"/>
    <x v="3"/>
    <n v="1"/>
    <x v="0"/>
    <x v="0"/>
    <s v="Yes"/>
    <x v="2"/>
    <x v="0"/>
    <x v="5"/>
    <s v="No"/>
    <s v="No"/>
    <x v="1"/>
    <s v="Software Development"/>
    <n v="2"/>
    <x v="0"/>
    <s v="Single"/>
    <x v="0"/>
    <s v="Bachelor"/>
    <x v="1"/>
    <n v="3.8"/>
    <s v="No"/>
    <n v="3.8"/>
    <n v="11"/>
    <n v="20000"/>
    <x v="1"/>
    <x v="0"/>
    <n v="61"/>
  </r>
  <r>
    <x v="1"/>
    <x v="1"/>
    <n v="20"/>
    <n v="2018"/>
    <x v="0"/>
    <n v="3"/>
    <x v="0"/>
    <s v="Yes"/>
    <x v="1"/>
    <n v="2"/>
    <x v="1"/>
    <x v="0"/>
    <s v="Yes"/>
    <x v="0"/>
    <x v="0"/>
    <x v="0"/>
    <s v="No"/>
    <s v="No"/>
    <x v="0"/>
    <s v="Software Development"/>
    <n v="1"/>
    <x v="2"/>
    <s v="Single"/>
    <x v="1"/>
    <s v="Family"/>
    <x v="0"/>
    <n v="3.49"/>
    <s v="No"/>
    <n v="3.5"/>
    <n v="23"/>
    <n v="30000"/>
    <x v="1"/>
    <x v="0"/>
    <n v="42"/>
  </r>
  <r>
    <x v="1"/>
    <x v="0"/>
    <n v="21"/>
    <n v="2021"/>
    <x v="0"/>
    <n v="3"/>
    <x v="0"/>
    <s v="Yes"/>
    <x v="2"/>
    <n v="1"/>
    <x v="0"/>
    <x v="0"/>
    <s v="Yes"/>
    <x v="2"/>
    <x v="0"/>
    <x v="23"/>
    <s v="No"/>
    <s v="No"/>
    <x v="1"/>
    <s v="Software Development"/>
    <n v="1"/>
    <x v="2"/>
    <s v="Single"/>
    <x v="1"/>
    <s v="Family"/>
    <x v="0"/>
    <n v="2.11"/>
    <s v="No"/>
    <n v="3"/>
    <n v="26"/>
    <n v="50000"/>
    <x v="0"/>
    <x v="0"/>
    <n v="33"/>
  </r>
  <r>
    <x v="1"/>
    <x v="0"/>
    <n v="20"/>
    <n v="2020"/>
    <x v="0"/>
    <n v="2"/>
    <x v="0"/>
    <s v="No"/>
    <x v="0"/>
    <n v="1"/>
    <x v="0"/>
    <x v="0"/>
    <s v="Yes"/>
    <x v="1"/>
    <x v="0"/>
    <x v="10"/>
    <s v="Yes"/>
    <s v="Yes"/>
    <x v="0"/>
    <s v="Software Development"/>
    <n v="1"/>
    <x v="2"/>
    <s v="Single"/>
    <x v="1"/>
    <s v="Family"/>
    <x v="0"/>
    <n v="3.42"/>
    <s v="No"/>
    <n v="3.42"/>
    <n v="11"/>
    <n v="20000"/>
    <x v="0"/>
    <x v="0"/>
    <n v="51.6"/>
  </r>
  <r>
    <x v="2"/>
    <x v="1"/>
    <n v="23"/>
    <n v="2019"/>
    <x v="0"/>
    <n v="7"/>
    <x v="0"/>
    <s v="No"/>
    <x v="3"/>
    <n v="2"/>
    <x v="0"/>
    <x v="0"/>
    <s v="Yes"/>
    <x v="5"/>
    <x v="0"/>
    <x v="10"/>
    <s v="No"/>
    <s v="No"/>
    <x v="0"/>
    <s v="Basic knowledge"/>
    <n v="2"/>
    <x v="4"/>
    <s v="Engaged"/>
    <x v="0"/>
    <s v="Bachelor"/>
    <x v="1"/>
    <n v="3.96"/>
    <s v="No"/>
    <n v="3.93"/>
    <n v="76"/>
    <n v="12500"/>
    <x v="1"/>
    <x v="0"/>
    <n v="60.6"/>
  </r>
  <r>
    <x v="0"/>
    <x v="0"/>
    <n v="23"/>
    <n v="2017"/>
    <x v="0"/>
    <n v="12"/>
    <x v="1"/>
    <s v="Yes"/>
    <x v="7"/>
    <n v="3"/>
    <x v="0"/>
    <x v="0"/>
    <s v="Yes"/>
    <x v="2"/>
    <x v="0"/>
    <x v="0"/>
    <s v="Yes"/>
    <s v="No"/>
    <x v="0"/>
    <s v="Software Development"/>
    <n v="4"/>
    <x v="2"/>
    <s v="Single"/>
    <x v="1"/>
    <s v="Bachelor"/>
    <x v="0"/>
    <n v="2.86"/>
    <s v="No"/>
    <n v="3.26"/>
    <n v="125"/>
    <n v="15000"/>
    <x v="0"/>
    <x v="0"/>
    <n v="69"/>
  </r>
  <r>
    <x v="3"/>
    <x v="0"/>
    <n v="21"/>
    <n v="2020"/>
    <x v="0"/>
    <n v="2"/>
    <x v="1"/>
    <s v="No"/>
    <x v="3"/>
    <n v="3"/>
    <x v="0"/>
    <x v="0"/>
    <s v="No"/>
    <x v="4"/>
    <x v="1"/>
    <x v="23"/>
    <s v="Yes"/>
    <s v="No"/>
    <x v="0"/>
    <s v="Software Development"/>
    <n v="1"/>
    <x v="2"/>
    <s v="Single"/>
    <x v="1"/>
    <s v="Bachelor"/>
    <x v="0"/>
    <n v="0.5"/>
    <s v="No"/>
    <n v="0.5"/>
    <n v="11"/>
    <n v="5000"/>
    <x v="2"/>
    <x v="0"/>
    <n v="42"/>
  </r>
  <r>
    <x v="3"/>
    <x v="1"/>
    <n v="20"/>
    <n v="2020"/>
    <x v="0"/>
    <n v="1"/>
    <x v="1"/>
    <s v="No"/>
    <x v="3"/>
    <n v="2"/>
    <x v="0"/>
    <x v="0"/>
    <s v="Yes"/>
    <x v="1"/>
    <x v="0"/>
    <x v="8"/>
    <s v="No"/>
    <s v="No"/>
    <x v="0"/>
    <s v="Software Development"/>
    <n v="1"/>
    <x v="2"/>
    <s v="Single"/>
    <x v="1"/>
    <s v="Family"/>
    <x v="0"/>
    <n v="3.5"/>
    <s v="No"/>
    <n v="3.5"/>
    <n v="0"/>
    <n v="20000"/>
    <x v="1"/>
    <x v="0"/>
    <n v="57.2"/>
  </r>
  <r>
    <x v="3"/>
    <x v="0"/>
    <n v="20"/>
    <n v="2020"/>
    <x v="0"/>
    <n v="2"/>
    <x v="0"/>
    <s v="No"/>
    <x v="1"/>
    <n v="2"/>
    <x v="0"/>
    <x v="0"/>
    <s v="Yes"/>
    <x v="2"/>
    <x v="1"/>
    <x v="0"/>
    <s v="No"/>
    <s v="No"/>
    <x v="1"/>
    <s v="Software Development"/>
    <n v="1"/>
    <x v="2"/>
    <s v="Single"/>
    <x v="1"/>
    <s v="Family"/>
    <x v="0"/>
    <n v="2.52"/>
    <s v="No"/>
    <n v="2.52"/>
    <n v="12"/>
    <n v="50000"/>
    <x v="0"/>
    <x v="0"/>
    <n v="42"/>
  </r>
  <r>
    <x v="1"/>
    <x v="0"/>
    <n v="21"/>
    <n v="2019"/>
    <x v="0"/>
    <n v="3"/>
    <x v="1"/>
    <s v="Yes"/>
    <x v="5"/>
    <n v="1"/>
    <x v="0"/>
    <x v="0"/>
    <s v="Yes"/>
    <x v="2"/>
    <x v="0"/>
    <x v="8"/>
    <s v="No"/>
    <s v="No"/>
    <x v="1"/>
    <s v="Software Development"/>
    <n v="3"/>
    <x v="2"/>
    <s v="Single"/>
    <x v="1"/>
    <s v="Family"/>
    <x v="0"/>
    <n v="3.72"/>
    <s v="No"/>
    <n v="3.71"/>
    <n v="25"/>
    <n v="60000"/>
    <x v="1"/>
    <x v="0"/>
    <n v="60.2"/>
  </r>
  <r>
    <x v="4"/>
    <x v="1"/>
    <n v="22"/>
    <n v="2018"/>
    <x v="0"/>
    <n v="11"/>
    <x v="0"/>
    <s v="No"/>
    <x v="3"/>
    <n v="2"/>
    <x v="1"/>
    <x v="0"/>
    <s v="Yes"/>
    <x v="2"/>
    <x v="0"/>
    <x v="4"/>
    <s v="No"/>
    <s v="No"/>
    <x v="0"/>
    <s v="System analysis"/>
    <n v="1"/>
    <x v="6"/>
    <s v="Relationship"/>
    <x v="0"/>
    <s v="Family"/>
    <x v="0"/>
    <n v="2.8"/>
    <s v="No"/>
    <n v="3.35"/>
    <n v="120"/>
    <n v="68000"/>
    <x v="0"/>
    <x v="0"/>
    <n v="56"/>
  </r>
  <r>
    <x v="2"/>
    <x v="1"/>
    <n v="21"/>
    <n v="2019"/>
    <x v="0"/>
    <n v="6"/>
    <x v="0"/>
    <s v="No"/>
    <x v="0"/>
    <n v="2"/>
    <x v="0"/>
    <x v="0"/>
    <s v="Yes"/>
    <x v="2"/>
    <x v="0"/>
    <x v="10"/>
    <s v="No"/>
    <s v="No"/>
    <x v="0"/>
    <s v="Software Development"/>
    <n v="1"/>
    <x v="2"/>
    <s v="Single"/>
    <x v="1"/>
    <s v="Family"/>
    <x v="0"/>
    <n v="3.98"/>
    <s v="No"/>
    <n v="3.99"/>
    <n v="58"/>
    <n v="40000"/>
    <x v="1"/>
    <x v="0"/>
    <n v="51.6"/>
  </r>
  <r>
    <x v="1"/>
    <x v="0"/>
    <n v="20"/>
    <n v="2019"/>
    <x v="0"/>
    <n v="3"/>
    <x v="1"/>
    <s v="No"/>
    <x v="5"/>
    <n v="2"/>
    <x v="0"/>
    <x v="0"/>
    <s v="Yes"/>
    <x v="1"/>
    <x v="0"/>
    <x v="5"/>
    <s v="No"/>
    <s v="No"/>
    <x v="1"/>
    <s v="Software Development"/>
    <n v="2"/>
    <x v="2"/>
    <s v="Single"/>
    <x v="1"/>
    <s v="Bachelor"/>
    <x v="1"/>
    <n v="3.68"/>
    <s v="No"/>
    <n v="3.61"/>
    <n v="24"/>
    <n v="40000"/>
    <x v="1"/>
    <x v="0"/>
    <n v="58"/>
  </r>
  <r>
    <x v="1"/>
    <x v="0"/>
    <n v="21"/>
    <n v="2019"/>
    <x v="0"/>
    <n v="3"/>
    <x v="0"/>
    <s v="No"/>
    <x v="1"/>
    <n v="1"/>
    <x v="0"/>
    <x v="0"/>
    <s v="Yes"/>
    <x v="0"/>
    <x v="0"/>
    <x v="0"/>
    <s v="No"/>
    <s v="No"/>
    <x v="1"/>
    <s v="Software Development"/>
    <n v="1"/>
    <x v="2"/>
    <s v="Single"/>
    <x v="1"/>
    <s v="Family"/>
    <x v="1"/>
    <n v="3.03"/>
    <s v="No"/>
    <n v="2.94"/>
    <n v="25"/>
    <n v="50000"/>
    <x v="0"/>
    <x v="0"/>
    <n v="42"/>
  </r>
  <r>
    <x v="4"/>
    <x v="1"/>
    <n v="22"/>
    <n v="2017"/>
    <x v="0"/>
    <n v="11"/>
    <x v="1"/>
    <s v="No"/>
    <x v="0"/>
    <n v="2"/>
    <x v="0"/>
    <x v="0"/>
    <s v="Yes"/>
    <x v="4"/>
    <x v="0"/>
    <x v="4"/>
    <s v="No"/>
    <s v="No"/>
    <x v="0"/>
    <s v="Software Development"/>
    <n v="1"/>
    <x v="5"/>
    <s v="Single"/>
    <x v="1"/>
    <s v="Family"/>
    <x v="1"/>
    <n v="3.34"/>
    <s v="No"/>
    <n v="3.18"/>
    <n v="120"/>
    <n v="40000"/>
    <x v="0"/>
    <x v="0"/>
    <n v="50"/>
  </r>
  <r>
    <x v="1"/>
    <x v="1"/>
    <n v="21"/>
    <n v="2020"/>
    <x v="0"/>
    <n v="2"/>
    <x v="0"/>
    <s v="Yes"/>
    <x v="6"/>
    <n v="2"/>
    <x v="0"/>
    <x v="0"/>
    <s v="Yes"/>
    <x v="2"/>
    <x v="1"/>
    <x v="5"/>
    <s v="No"/>
    <s v="No"/>
    <x v="0"/>
    <s v="Software Development"/>
    <n v="1"/>
    <x v="2"/>
    <s v="Single"/>
    <x v="0"/>
    <s v="Family"/>
    <x v="0"/>
    <n v="3.39"/>
    <s v="No"/>
    <n v="3.39"/>
    <n v="12"/>
    <n v="50000"/>
    <x v="0"/>
    <x v="0"/>
    <n v="67"/>
  </r>
  <r>
    <x v="4"/>
    <x v="1"/>
    <n v="23"/>
    <n v="2018"/>
    <x v="0"/>
    <n v="11"/>
    <x v="1"/>
    <s v="Yes"/>
    <x v="0"/>
    <n v="2"/>
    <x v="0"/>
    <x v="0"/>
    <s v="Yes"/>
    <x v="1"/>
    <x v="0"/>
    <x v="1"/>
    <s v="No"/>
    <s v="No"/>
    <x v="0"/>
    <s v="Software Development"/>
    <n v="2"/>
    <x v="2"/>
    <s v="Single"/>
    <x v="1"/>
    <s v="Family"/>
    <x v="0"/>
    <n v="3.78"/>
    <s v="No"/>
    <n v="3.55"/>
    <n v="141"/>
    <n v="18000"/>
    <x v="1"/>
    <x v="0"/>
    <n v="53.400000000000006"/>
  </r>
  <r>
    <x v="4"/>
    <x v="0"/>
    <n v="24"/>
    <n v="2019"/>
    <x v="0"/>
    <n v="5"/>
    <x v="1"/>
    <s v="Yes"/>
    <x v="2"/>
    <n v="2"/>
    <x v="0"/>
    <x v="0"/>
    <s v="Yes"/>
    <x v="7"/>
    <x v="1"/>
    <x v="5"/>
    <s v="Yes"/>
    <s v="No"/>
    <x v="0"/>
    <s v="Software Development"/>
    <n v="8"/>
    <x v="2"/>
    <s v="Single"/>
    <x v="1"/>
    <s v="Family"/>
    <x v="0"/>
    <n v="1.05"/>
    <s v="No"/>
    <n v="2.97"/>
    <n v="42"/>
    <n v="62488"/>
    <x v="0"/>
    <x v="0"/>
    <n v="70"/>
  </r>
  <r>
    <x v="1"/>
    <x v="1"/>
    <n v="20"/>
    <n v="2020"/>
    <x v="0"/>
    <n v="3"/>
    <x v="1"/>
    <s v="No"/>
    <x v="2"/>
    <n v="3"/>
    <x v="0"/>
    <x v="0"/>
    <s v="Yes"/>
    <x v="4"/>
    <x v="1"/>
    <x v="9"/>
    <s v="Yes"/>
    <s v="No"/>
    <x v="1"/>
    <s v="Software Development"/>
    <n v="2"/>
    <x v="4"/>
    <s v="Single"/>
    <x v="1"/>
    <s v="Bachelor"/>
    <x v="0"/>
    <n v="2.06"/>
    <s v="No"/>
    <n v="2.2000000000000002"/>
    <n v="23"/>
    <n v="25000"/>
    <x v="2"/>
    <x v="0"/>
    <n v="46"/>
  </r>
  <r>
    <x v="3"/>
    <x v="1"/>
    <n v="20"/>
    <n v="2020"/>
    <x v="0"/>
    <n v="2"/>
    <x v="0"/>
    <s v="No"/>
    <x v="0"/>
    <n v="1"/>
    <x v="0"/>
    <x v="0"/>
    <s v="Yes"/>
    <x v="1"/>
    <x v="1"/>
    <x v="4"/>
    <s v="No"/>
    <s v="No"/>
    <x v="1"/>
    <s v="Software Development"/>
    <n v="2"/>
    <x v="2"/>
    <s v="Single"/>
    <x v="1"/>
    <s v="Family"/>
    <x v="0"/>
    <n v="3.67"/>
    <s v="No"/>
    <n v="3.67"/>
    <n v="11"/>
    <n v="45000"/>
    <x v="1"/>
    <x v="0"/>
    <n v="53"/>
  </r>
  <r>
    <x v="1"/>
    <x v="1"/>
    <n v="19"/>
    <n v="2020"/>
    <x v="0"/>
    <n v="2"/>
    <x v="1"/>
    <s v="Yes"/>
    <x v="3"/>
    <n v="2"/>
    <x v="0"/>
    <x v="0"/>
    <s v="Yes"/>
    <x v="1"/>
    <x v="0"/>
    <x v="5"/>
    <s v="No"/>
    <s v="No"/>
    <x v="1"/>
    <s v="Software Development"/>
    <n v="3"/>
    <x v="3"/>
    <s v="Single"/>
    <x v="0"/>
    <s v="Family"/>
    <x v="0"/>
    <n v="3.78"/>
    <s v="No"/>
    <n v="3.78"/>
    <n v="11"/>
    <n v="40000"/>
    <x v="1"/>
    <x v="0"/>
    <n v="64"/>
  </r>
  <r>
    <x v="2"/>
    <x v="1"/>
    <n v="20"/>
    <n v="2019"/>
    <x v="0"/>
    <n v="7"/>
    <x v="0"/>
    <s v="No"/>
    <x v="1"/>
    <n v="1"/>
    <x v="1"/>
    <x v="0"/>
    <s v="Yes"/>
    <x v="3"/>
    <x v="0"/>
    <x v="11"/>
    <s v="Yes"/>
    <s v="No"/>
    <x v="1"/>
    <s v="no skills"/>
    <n v="1"/>
    <x v="5"/>
    <s v="Relationship"/>
    <x v="0"/>
    <s v="Family"/>
    <x v="1"/>
    <n v="1.63"/>
    <s v="No"/>
    <n v="2.61"/>
    <n v="79"/>
    <n v="60000"/>
    <x v="0"/>
    <x v="0"/>
    <n v="36"/>
  </r>
  <r>
    <x v="1"/>
    <x v="0"/>
    <n v="21"/>
    <n v="2020"/>
    <x v="0"/>
    <n v="3"/>
    <x v="0"/>
    <s v="No"/>
    <x v="2"/>
    <n v="1"/>
    <x v="0"/>
    <x v="0"/>
    <s v="Yes"/>
    <x v="5"/>
    <x v="1"/>
    <x v="7"/>
    <s v="No"/>
    <s v="No"/>
    <x v="0"/>
    <s v="Software Development"/>
    <n v="2"/>
    <x v="7"/>
    <s v="Single"/>
    <x v="0"/>
    <s v="Bachelor"/>
    <x v="0"/>
    <n v="3.17"/>
    <s v="No"/>
    <n v="3.39"/>
    <n v="22"/>
    <n v="40000"/>
    <x v="0"/>
    <x v="0"/>
    <n v="40"/>
  </r>
  <r>
    <x v="1"/>
    <x v="1"/>
    <n v="20"/>
    <n v="2019"/>
    <x v="0"/>
    <n v="3"/>
    <x v="1"/>
    <s v="Yes"/>
    <x v="2"/>
    <n v="1"/>
    <x v="0"/>
    <x v="0"/>
    <s v="Yes"/>
    <x v="2"/>
    <x v="0"/>
    <x v="5"/>
    <s v="No"/>
    <s v="No"/>
    <x v="1"/>
    <s v="Memorizing"/>
    <n v="3"/>
    <x v="0"/>
    <s v="Single"/>
    <x v="1"/>
    <s v="Family"/>
    <x v="1"/>
    <n v="3.82"/>
    <s v="No"/>
    <n v="3.91"/>
    <n v="23"/>
    <n v="100000"/>
    <x v="1"/>
    <x v="0"/>
    <n v="55"/>
  </r>
  <r>
    <x v="3"/>
    <x v="0"/>
    <n v="22"/>
    <n v="2020"/>
    <x v="0"/>
    <n v="2"/>
    <x v="1"/>
    <s v="No"/>
    <x v="2"/>
    <n v="1"/>
    <x v="0"/>
    <x v="0"/>
    <s v="No"/>
    <x v="4"/>
    <x v="1"/>
    <x v="5"/>
    <s v="No"/>
    <s v="No"/>
    <x v="0"/>
    <s v="Nothing"/>
    <n v="0"/>
    <x v="2"/>
    <s v="Single"/>
    <x v="1"/>
    <s v="Bachelor"/>
    <x v="0"/>
    <n v="2.5499999999999998"/>
    <s v="No"/>
    <n v="2.5499999999999998"/>
    <n v="11"/>
    <n v="40000"/>
    <x v="0"/>
    <x v="0"/>
    <n v="46"/>
  </r>
  <r>
    <x v="1"/>
    <x v="0"/>
    <n v="22"/>
    <n v="2019"/>
    <x v="0"/>
    <n v="3"/>
    <x v="0"/>
    <s v="Yes"/>
    <x v="2"/>
    <n v="3"/>
    <x v="1"/>
    <x v="0"/>
    <s v="Yes"/>
    <x v="2"/>
    <x v="0"/>
    <x v="13"/>
    <s v="No"/>
    <s v="No"/>
    <x v="0"/>
    <s v="Software Development"/>
    <n v="1"/>
    <x v="2"/>
    <s v="Single"/>
    <x v="1"/>
    <s v="Family"/>
    <x v="0"/>
    <n v="3.79"/>
    <s v="No"/>
    <n v="3.89"/>
    <n v="23"/>
    <n v="35000"/>
    <x v="1"/>
    <x v="0"/>
    <n v="45.800000000000004"/>
  </r>
  <r>
    <x v="3"/>
    <x v="0"/>
    <n v="20"/>
    <n v="2020"/>
    <x v="0"/>
    <n v="1"/>
    <x v="0"/>
    <s v="No"/>
    <x v="2"/>
    <n v="1"/>
    <x v="0"/>
    <x v="0"/>
    <s v="No"/>
    <x v="1"/>
    <x v="1"/>
    <x v="10"/>
    <s v="No"/>
    <s v="No"/>
    <x v="1"/>
    <s v="Software Development"/>
    <n v="0"/>
    <x v="2"/>
    <s v="Relationship"/>
    <x v="0"/>
    <s v="Bachelor"/>
    <x v="0"/>
    <n v="4"/>
    <s v="No"/>
    <n v="4"/>
    <n v="10"/>
    <n v="20000"/>
    <x v="1"/>
    <x v="0"/>
    <n v="45.6"/>
  </r>
  <r>
    <x v="4"/>
    <x v="1"/>
    <n v="23"/>
    <n v="2017"/>
    <x v="0"/>
    <n v="11"/>
    <x v="1"/>
    <s v="Yes"/>
    <x v="0"/>
    <n v="2"/>
    <x v="0"/>
    <x v="0"/>
    <s v="Yes"/>
    <x v="2"/>
    <x v="0"/>
    <x v="9"/>
    <s v="No"/>
    <s v="No"/>
    <x v="0"/>
    <s v="Software Development"/>
    <n v="2"/>
    <x v="5"/>
    <s v="Single"/>
    <x v="1"/>
    <s v="Bachelor"/>
    <x v="0"/>
    <n v="3.76"/>
    <s v="No"/>
    <n v="3.62"/>
    <n v="120"/>
    <n v="33000"/>
    <x v="1"/>
    <x v="0"/>
    <n v="49"/>
  </r>
  <r>
    <x v="2"/>
    <x v="0"/>
    <n v="21"/>
    <n v="2019"/>
    <x v="0"/>
    <n v="8"/>
    <x v="0"/>
    <s v="No"/>
    <x v="3"/>
    <n v="3"/>
    <x v="0"/>
    <x v="0"/>
    <s v="Yes"/>
    <x v="4"/>
    <x v="1"/>
    <x v="5"/>
    <s v="No"/>
    <s v="No"/>
    <x v="0"/>
    <s v="Software Development"/>
    <n v="2"/>
    <x v="5"/>
    <s v="Single"/>
    <x v="0"/>
    <s v="Bachelor"/>
    <x v="1"/>
    <n v="3.74"/>
    <s v="No"/>
    <n v="3.91"/>
    <n v="88"/>
    <n v="15000"/>
    <x v="1"/>
    <x v="0"/>
    <n v="61"/>
  </r>
  <r>
    <x v="3"/>
    <x v="0"/>
    <n v="20"/>
    <n v="2020"/>
    <x v="0"/>
    <n v="1"/>
    <x v="0"/>
    <s v="No"/>
    <x v="1"/>
    <n v="1"/>
    <x v="0"/>
    <x v="0"/>
    <s v="Yes"/>
    <x v="2"/>
    <x v="1"/>
    <x v="8"/>
    <s v="No"/>
    <s v="No"/>
    <x v="0"/>
    <s v="Trying to learn"/>
    <n v="2"/>
    <x v="2"/>
    <s v="Single"/>
    <x v="0"/>
    <s v="Bachelor"/>
    <x v="0"/>
    <n v="0"/>
    <s v="No"/>
    <n v="0"/>
    <n v="0"/>
    <n v="20000"/>
    <x v="2"/>
    <x v="0"/>
    <n v="48.2"/>
  </r>
  <r>
    <x v="3"/>
    <x v="0"/>
    <n v="20"/>
    <n v="2019"/>
    <x v="0"/>
    <n v="1"/>
    <x v="0"/>
    <s v="Yes"/>
    <x v="2"/>
    <n v="1"/>
    <x v="0"/>
    <x v="0"/>
    <s v="Yes"/>
    <x v="3"/>
    <x v="1"/>
    <x v="10"/>
    <s v="Yes"/>
    <s v="No"/>
    <x v="0"/>
    <s v="Software Development"/>
    <n v="2"/>
    <x v="2"/>
    <s v="Single"/>
    <x v="0"/>
    <s v="Bachelor"/>
    <x v="0"/>
    <n v="3.15"/>
    <s v="No"/>
    <n v="3.15"/>
    <n v="13"/>
    <n v="20000"/>
    <x v="0"/>
    <x v="0"/>
    <n v="51.6"/>
  </r>
  <r>
    <x v="1"/>
    <x v="1"/>
    <n v="21"/>
    <n v="2020"/>
    <x v="0"/>
    <n v="3"/>
    <x v="0"/>
    <s v="No"/>
    <x v="2"/>
    <n v="2"/>
    <x v="0"/>
    <x v="0"/>
    <s v="Yes"/>
    <x v="4"/>
    <x v="0"/>
    <x v="5"/>
    <s v="No"/>
    <s v="No"/>
    <x v="1"/>
    <s v="Software Development"/>
    <n v="2"/>
    <x v="2"/>
    <s v="Single"/>
    <x v="1"/>
    <s v="Family"/>
    <x v="0"/>
    <n v="3.38"/>
    <s v="No"/>
    <n v="3.2"/>
    <n v="23"/>
    <n v="50000"/>
    <x v="0"/>
    <x v="0"/>
    <n v="52"/>
  </r>
  <r>
    <x v="2"/>
    <x v="0"/>
    <n v="22"/>
    <n v="2018"/>
    <x v="0"/>
    <n v="6"/>
    <x v="1"/>
    <s v="No"/>
    <x v="3"/>
    <n v="2"/>
    <x v="0"/>
    <x v="0"/>
    <s v="No"/>
    <x v="1"/>
    <x v="0"/>
    <x v="0"/>
    <s v="No"/>
    <s v="No"/>
    <x v="0"/>
    <s v="Software Development"/>
    <n v="3"/>
    <x v="2"/>
    <s v="Single"/>
    <x v="1"/>
    <s v="Bachelor"/>
    <x v="0"/>
    <n v="3.98"/>
    <s v="No"/>
    <n v="3.97"/>
    <n v="58"/>
    <n v="70000"/>
    <x v="1"/>
    <x v="0"/>
    <n v="60"/>
  </r>
  <r>
    <x v="3"/>
    <x v="0"/>
    <n v="22"/>
    <n v="2015"/>
    <x v="0"/>
    <n v="2"/>
    <x v="0"/>
    <s v="No"/>
    <x v="2"/>
    <n v="2"/>
    <x v="1"/>
    <x v="0"/>
    <s v="Yes"/>
    <x v="3"/>
    <x v="1"/>
    <x v="4"/>
    <s v="Yes"/>
    <s v="No"/>
    <x v="0"/>
    <s v="Software Development"/>
    <n v="1"/>
    <x v="2"/>
    <s v="Single"/>
    <x v="0"/>
    <s v="Bachelor"/>
    <x v="1"/>
    <n v="2.1"/>
    <s v="No"/>
    <n v="2.1"/>
    <n v="14"/>
    <n v="25000"/>
    <x v="2"/>
    <x v="0"/>
    <n v="47"/>
  </r>
  <r>
    <x v="2"/>
    <x v="1"/>
    <n v="21"/>
    <n v="2019"/>
    <x v="0"/>
    <n v="8"/>
    <x v="0"/>
    <s v="No"/>
    <x v="0"/>
    <n v="1"/>
    <x v="0"/>
    <x v="0"/>
    <s v="Yes"/>
    <x v="0"/>
    <x v="0"/>
    <x v="2"/>
    <s v="Yes"/>
    <s v="No"/>
    <x v="1"/>
    <s v="Software Development"/>
    <n v="1"/>
    <x v="0"/>
    <s v="Single"/>
    <x v="0"/>
    <s v="Bachelor"/>
    <x v="0"/>
    <n v="2.72"/>
    <s v="No"/>
    <n v="2.25"/>
    <n v="62"/>
    <n v="60000"/>
    <x v="2"/>
    <x v="0"/>
    <n v="44"/>
  </r>
  <r>
    <x v="1"/>
    <x v="1"/>
    <n v="22"/>
    <n v="2020"/>
    <x v="0"/>
    <n v="3"/>
    <x v="0"/>
    <s v="Yes"/>
    <x v="0"/>
    <n v="1"/>
    <x v="0"/>
    <x v="1"/>
    <s v="Yes"/>
    <x v="1"/>
    <x v="2"/>
    <x v="8"/>
    <s v="No"/>
    <s v="No"/>
    <x v="0"/>
    <s v="Cyber security"/>
    <n v="4"/>
    <x v="3"/>
    <s v="Single"/>
    <x v="1"/>
    <s v="Family"/>
    <x v="1"/>
    <n v="3.3"/>
    <s v="Yes"/>
    <n v="3.39"/>
    <n v="23"/>
    <n v="50000"/>
    <x v="0"/>
    <x v="0"/>
    <n v="60.2"/>
  </r>
  <r>
    <x v="1"/>
    <x v="0"/>
    <n v="21"/>
    <n v="2020"/>
    <x v="0"/>
    <n v="3"/>
    <x v="0"/>
    <s v="No"/>
    <x v="5"/>
    <n v="1"/>
    <x v="0"/>
    <x v="0"/>
    <s v="Yes"/>
    <x v="2"/>
    <x v="2"/>
    <x v="5"/>
    <s v="No"/>
    <s v="No"/>
    <x v="0"/>
    <s v="Software Development"/>
    <n v="3"/>
    <x v="2"/>
    <s v="Single"/>
    <x v="1"/>
    <s v="Bachelor"/>
    <x v="0"/>
    <n v="4"/>
    <s v="No"/>
    <n v="3.72"/>
    <n v="23"/>
    <n v="30000"/>
    <x v="1"/>
    <x v="0"/>
    <n v="61"/>
  </r>
  <r>
    <x v="3"/>
    <x v="0"/>
    <n v="20"/>
    <n v="2019"/>
    <x v="0"/>
    <n v="2"/>
    <x v="1"/>
    <s v="No"/>
    <x v="2"/>
    <n v="2"/>
    <x v="0"/>
    <x v="0"/>
    <s v="Yes"/>
    <x v="1"/>
    <x v="1"/>
    <x v="0"/>
    <s v="No"/>
    <s v="Yes"/>
    <x v="0"/>
    <s v="Networking"/>
    <n v="2"/>
    <x v="4"/>
    <s v="Single"/>
    <x v="1"/>
    <s v="Bachelor"/>
    <x v="0"/>
    <n v="3.1"/>
    <s v="No"/>
    <n v="3.1"/>
    <n v="12"/>
    <n v="20000"/>
    <x v="0"/>
    <x v="0"/>
    <n v="48"/>
  </r>
  <r>
    <x v="1"/>
    <x v="1"/>
    <n v="20"/>
    <n v="2019"/>
    <x v="0"/>
    <n v="3"/>
    <x v="0"/>
    <s v="No"/>
    <x v="1"/>
    <n v="1"/>
    <x v="0"/>
    <x v="0"/>
    <s v="Yes"/>
    <x v="1"/>
    <x v="2"/>
    <x v="0"/>
    <s v="Yes"/>
    <s v="No"/>
    <x v="0"/>
    <s v="Software Development"/>
    <n v="1"/>
    <x v="2"/>
    <s v="Single"/>
    <x v="1"/>
    <s v="Bachelor"/>
    <x v="0"/>
    <n v="2.56"/>
    <s v="No"/>
    <n v="2.0099999999999998"/>
    <n v="23"/>
    <n v="35000"/>
    <x v="2"/>
    <x v="0"/>
    <n v="42"/>
  </r>
  <r>
    <x v="2"/>
    <x v="1"/>
    <n v="20"/>
    <n v="2020"/>
    <x v="0"/>
    <n v="2"/>
    <x v="0"/>
    <s v="Yes"/>
    <x v="2"/>
    <n v="3"/>
    <x v="0"/>
    <x v="0"/>
    <s v="Yes"/>
    <x v="10"/>
    <x v="0"/>
    <x v="2"/>
    <s v="No"/>
    <s v="No"/>
    <x v="1"/>
    <s v="Photography"/>
    <n v="1"/>
    <x v="2"/>
    <s v="Engaged"/>
    <x v="0"/>
    <s v="Bachelor"/>
    <x v="1"/>
    <n v="3.21"/>
    <s v="No"/>
    <n v="3.21"/>
    <n v="12"/>
    <n v="30000"/>
    <x v="0"/>
    <x v="0"/>
    <n v="41"/>
  </r>
  <r>
    <x v="3"/>
    <x v="1"/>
    <n v="19"/>
    <n v="2021"/>
    <x v="0"/>
    <n v="1"/>
    <x v="0"/>
    <s v="Yes"/>
    <x v="4"/>
    <n v="2"/>
    <x v="0"/>
    <x v="0"/>
    <s v="Yes"/>
    <x v="2"/>
    <x v="0"/>
    <x v="4"/>
    <s v="No"/>
    <s v="No"/>
    <x v="1"/>
    <s v="Software Development"/>
    <n v="2"/>
    <x v="2"/>
    <s v="Single"/>
    <x v="1"/>
    <s v="Family"/>
    <x v="0"/>
    <n v="0"/>
    <s v="No"/>
    <n v="0"/>
    <n v="0"/>
    <n v="70000"/>
    <x v="2"/>
    <x v="0"/>
    <n v="62"/>
  </r>
  <r>
    <x v="3"/>
    <x v="0"/>
    <n v="19"/>
    <n v="2020"/>
    <x v="0"/>
    <n v="12"/>
    <x v="1"/>
    <s v="No"/>
    <x v="5"/>
    <n v="2"/>
    <x v="0"/>
    <x v="0"/>
    <s v="No"/>
    <x v="1"/>
    <x v="0"/>
    <x v="11"/>
    <s v="Yes"/>
    <s v="No"/>
    <x v="0"/>
    <s v="Software Development"/>
    <n v="1"/>
    <x v="2"/>
    <s v="Single"/>
    <x v="0"/>
    <s v="Family"/>
    <x v="1"/>
    <n v="3.38"/>
    <s v="No"/>
    <n v="3.38"/>
    <n v="14"/>
    <n v="15000"/>
    <x v="0"/>
    <x v="0"/>
    <n v="45"/>
  </r>
  <r>
    <x v="3"/>
    <x v="1"/>
    <n v="19"/>
    <n v="2021"/>
    <x v="0"/>
    <n v="1"/>
    <x v="0"/>
    <s v="No"/>
    <x v="0"/>
    <n v="2"/>
    <x v="0"/>
    <x v="0"/>
    <s v="No"/>
    <x v="2"/>
    <x v="1"/>
    <x v="13"/>
    <s v="No"/>
    <s v="No"/>
    <x v="1"/>
    <s v="Software Development"/>
    <n v="1"/>
    <x v="2"/>
    <s v="Single"/>
    <x v="1"/>
    <s v="Family"/>
    <x v="0"/>
    <n v="3.15"/>
    <s v="No"/>
    <n v="3.15"/>
    <n v="11"/>
    <n v="50000"/>
    <x v="0"/>
    <x v="0"/>
    <n v="48.800000000000004"/>
  </r>
  <r>
    <x v="3"/>
    <x v="0"/>
    <n v="21"/>
    <n v="2020"/>
    <x v="0"/>
    <n v="2"/>
    <x v="1"/>
    <s v="No"/>
    <x v="1"/>
    <n v="1"/>
    <x v="0"/>
    <x v="0"/>
    <s v="Yes"/>
    <x v="4"/>
    <x v="1"/>
    <x v="4"/>
    <s v="Yes"/>
    <s v="No"/>
    <x v="0"/>
    <s v="Software Development"/>
    <n v="2"/>
    <x v="2"/>
    <s v="Single"/>
    <x v="0"/>
    <s v="Bachelor"/>
    <x v="0"/>
    <n v="3.9"/>
    <s v="No"/>
    <n v="3.9"/>
    <n v="11"/>
    <n v="30000"/>
    <x v="1"/>
    <x v="0"/>
    <n v="47"/>
  </r>
  <r>
    <x v="3"/>
    <x v="0"/>
    <n v="20"/>
    <n v="2020"/>
    <x v="0"/>
    <n v="2"/>
    <x v="0"/>
    <s v="Yes"/>
    <x v="2"/>
    <n v="1"/>
    <x v="0"/>
    <x v="0"/>
    <s v="Yes"/>
    <x v="3"/>
    <x v="0"/>
    <x v="8"/>
    <s v="No"/>
    <s v="No"/>
    <x v="0"/>
    <s v="Software Development"/>
    <n v="1"/>
    <x v="2"/>
    <s v="Single"/>
    <x v="1"/>
    <s v="Family"/>
    <x v="0"/>
    <n v="3.95"/>
    <s v="No"/>
    <n v="3.95"/>
    <n v="12"/>
    <n v="50000"/>
    <x v="1"/>
    <x v="0"/>
    <n v="48.2"/>
  </r>
  <r>
    <x v="3"/>
    <x v="1"/>
    <n v="20"/>
    <n v="2020"/>
    <x v="0"/>
    <n v="2"/>
    <x v="0"/>
    <s v="Yes"/>
    <x v="0"/>
    <n v="2"/>
    <x v="0"/>
    <x v="0"/>
    <s v="Yes"/>
    <x v="1"/>
    <x v="0"/>
    <x v="5"/>
    <s v="No"/>
    <s v="No"/>
    <x v="1"/>
    <s v="Software Development"/>
    <n v="1"/>
    <x v="3"/>
    <s v="Single"/>
    <x v="1"/>
    <s v="Family"/>
    <x v="0"/>
    <n v="3.03"/>
    <s v="No"/>
    <n v="3.03"/>
    <n v="12"/>
    <n v="90000"/>
    <x v="0"/>
    <x v="0"/>
    <n v="52"/>
  </r>
  <r>
    <x v="0"/>
    <x v="1"/>
    <n v="23"/>
    <n v="2017"/>
    <x v="0"/>
    <n v="14"/>
    <x v="1"/>
    <s v="Yes"/>
    <x v="7"/>
    <n v="1"/>
    <x v="0"/>
    <x v="0"/>
    <s v="Yes"/>
    <x v="0"/>
    <x v="0"/>
    <x v="23"/>
    <s v="Yes"/>
    <s v="No"/>
    <x v="1"/>
    <s v="Cyber security"/>
    <n v="2"/>
    <x v="3"/>
    <s v="Relationship"/>
    <x v="0"/>
    <s v="Bachelor"/>
    <x v="1"/>
    <n v="2.59"/>
    <s v="No"/>
    <n v="2.56"/>
    <n v="133"/>
    <n v="28000"/>
    <x v="0"/>
    <x v="0"/>
    <n v="51"/>
  </r>
  <r>
    <x v="3"/>
    <x v="0"/>
    <n v="20"/>
    <n v="2020"/>
    <x v="0"/>
    <n v="1"/>
    <x v="0"/>
    <s v="No"/>
    <x v="0"/>
    <n v="1"/>
    <x v="0"/>
    <x v="0"/>
    <s v="No"/>
    <x v="2"/>
    <x v="2"/>
    <x v="5"/>
    <s v="No"/>
    <s v="No"/>
    <x v="0"/>
    <s v="Software Development"/>
    <n v="2"/>
    <x v="2"/>
    <s v="Single"/>
    <x v="0"/>
    <s v="Bachelor"/>
    <x v="0"/>
    <n v="0"/>
    <s v="No"/>
    <n v="0"/>
    <n v="0"/>
    <n v="30000"/>
    <x v="2"/>
    <x v="0"/>
    <n v="55"/>
  </r>
  <r>
    <x v="1"/>
    <x v="1"/>
    <n v="19"/>
    <n v="2020"/>
    <x v="0"/>
    <n v="3"/>
    <x v="0"/>
    <s v="Yes"/>
    <x v="3"/>
    <n v="2"/>
    <x v="0"/>
    <x v="0"/>
    <s v="Yes"/>
    <x v="4"/>
    <x v="0"/>
    <x v="10"/>
    <s v="No"/>
    <s v="No"/>
    <x v="0"/>
    <s v="Software Development"/>
    <n v="3"/>
    <x v="2"/>
    <s v="Single"/>
    <x v="1"/>
    <s v="Family"/>
    <x v="0"/>
    <n v="3.45"/>
    <s v="No"/>
    <n v="3.3"/>
    <n v="25"/>
    <n v="25000"/>
    <x v="0"/>
    <x v="0"/>
    <n v="63.6"/>
  </r>
  <r>
    <x v="3"/>
    <x v="0"/>
    <n v="20"/>
    <n v="2021"/>
    <x v="0"/>
    <n v="2"/>
    <x v="1"/>
    <s v="Yes"/>
    <x v="1"/>
    <n v="1"/>
    <x v="0"/>
    <x v="0"/>
    <s v="No"/>
    <x v="4"/>
    <x v="1"/>
    <x v="9"/>
    <s v="No"/>
    <s v="No"/>
    <x v="1"/>
    <s v="Software Development"/>
    <n v="1"/>
    <x v="2"/>
    <s v="Single"/>
    <x v="0"/>
    <s v="Family"/>
    <x v="0"/>
    <n v="3.6"/>
    <s v="No"/>
    <n v="3.6"/>
    <n v="11"/>
    <n v="40000"/>
    <x v="1"/>
    <x v="0"/>
    <n v="40"/>
  </r>
  <r>
    <x v="3"/>
    <x v="1"/>
    <n v="20"/>
    <n v="2020"/>
    <x v="0"/>
    <n v="2"/>
    <x v="1"/>
    <s v="No"/>
    <x v="4"/>
    <n v="2"/>
    <x v="1"/>
    <x v="0"/>
    <s v="Yes"/>
    <x v="3"/>
    <x v="1"/>
    <x v="8"/>
    <s v="Yes"/>
    <s v="No"/>
    <x v="0"/>
    <s v="Software Development"/>
    <n v="5"/>
    <x v="2"/>
    <s v="Single"/>
    <x v="0"/>
    <s v="Bachelor"/>
    <x v="0"/>
    <n v="3.53"/>
    <s v="No"/>
    <n v="3.53"/>
    <n v="11"/>
    <n v="40000"/>
    <x v="1"/>
    <x v="0"/>
    <n v="72.2"/>
  </r>
  <r>
    <x v="2"/>
    <x v="1"/>
    <n v="20"/>
    <n v="2019"/>
    <x v="0"/>
    <n v="8"/>
    <x v="0"/>
    <s v="No"/>
    <x v="0"/>
    <n v="2"/>
    <x v="0"/>
    <x v="0"/>
    <s v="Yes"/>
    <x v="2"/>
    <x v="0"/>
    <x v="10"/>
    <s v="No"/>
    <s v="No"/>
    <x v="0"/>
    <s v="Software Development"/>
    <n v="1"/>
    <x v="5"/>
    <s v="Single"/>
    <x v="0"/>
    <s v="Family"/>
    <x v="0"/>
    <n v="3.86"/>
    <s v="No"/>
    <n v="3.69"/>
    <n v="90"/>
    <n v="50000"/>
    <x v="1"/>
    <x v="0"/>
    <n v="51.6"/>
  </r>
  <r>
    <x v="3"/>
    <x v="1"/>
    <n v="19"/>
    <n v="2020"/>
    <x v="0"/>
    <n v="2"/>
    <x v="1"/>
    <s v="Yes"/>
    <x v="0"/>
    <n v="2"/>
    <x v="0"/>
    <x v="0"/>
    <s v="Yes"/>
    <x v="4"/>
    <x v="2"/>
    <x v="5"/>
    <s v="No"/>
    <s v="No"/>
    <x v="0"/>
    <s v="Software Development"/>
    <n v="2"/>
    <x v="3"/>
    <s v="Single"/>
    <x v="0"/>
    <s v="Family"/>
    <x v="0"/>
    <n v="3.48"/>
    <s v="No"/>
    <n v="2.4"/>
    <n v="11"/>
    <n v="25000"/>
    <x v="2"/>
    <x v="0"/>
    <n v="55"/>
  </r>
  <r>
    <x v="1"/>
    <x v="0"/>
    <n v="21"/>
    <n v="2019"/>
    <x v="0"/>
    <n v="5"/>
    <x v="1"/>
    <s v="No"/>
    <x v="2"/>
    <n v="1"/>
    <x v="1"/>
    <x v="0"/>
    <s v="Yes"/>
    <x v="3"/>
    <x v="0"/>
    <x v="8"/>
    <s v="No"/>
    <s v="No"/>
    <x v="1"/>
    <s v="Software Development"/>
    <n v="6"/>
    <x v="2"/>
    <s v="Single"/>
    <x v="1"/>
    <s v="Bachelor"/>
    <x v="0"/>
    <n v="3.7"/>
    <s v="No"/>
    <n v="3.77"/>
    <n v="54"/>
    <n v="62488"/>
    <x v="1"/>
    <x v="0"/>
    <n v="63.2"/>
  </r>
  <r>
    <x v="3"/>
    <x v="1"/>
    <n v="20"/>
    <n v="2020"/>
    <x v="0"/>
    <n v="2"/>
    <x v="1"/>
    <s v="Yes"/>
    <x v="0"/>
    <n v="1"/>
    <x v="0"/>
    <x v="0"/>
    <s v="Yes"/>
    <x v="3"/>
    <x v="2"/>
    <x v="5"/>
    <s v="No"/>
    <s v="No"/>
    <x v="0"/>
    <s v="Software Development"/>
    <n v="2"/>
    <x v="2"/>
    <s v="Single"/>
    <x v="1"/>
    <s v="Family"/>
    <x v="0"/>
    <n v="3.84"/>
    <s v="No"/>
    <n v="3.84"/>
    <n v="11"/>
    <n v="50000"/>
    <x v="1"/>
    <x v="0"/>
    <n v="55"/>
  </r>
  <r>
    <x v="2"/>
    <x v="1"/>
    <n v="21"/>
    <n v="2019"/>
    <x v="0"/>
    <n v="8"/>
    <x v="1"/>
    <s v="Yes"/>
    <x v="4"/>
    <n v="2"/>
    <x v="0"/>
    <x v="0"/>
    <s v="Yes"/>
    <x v="2"/>
    <x v="0"/>
    <x v="5"/>
    <s v="No"/>
    <s v="No"/>
    <x v="0"/>
    <s v="Software Development"/>
    <n v="3"/>
    <x v="2"/>
    <s v="Single"/>
    <x v="1"/>
    <s v="Family"/>
    <x v="0"/>
    <n v="3.4"/>
    <s v="No"/>
    <n v="3.29"/>
    <n v="85"/>
    <n v="60000"/>
    <x v="0"/>
    <x v="0"/>
    <n v="67"/>
  </r>
  <r>
    <x v="3"/>
    <x v="0"/>
    <n v="19"/>
    <n v="2020"/>
    <x v="0"/>
    <n v="1"/>
    <x v="1"/>
    <s v="No"/>
    <x v="5"/>
    <n v="2"/>
    <x v="0"/>
    <x v="0"/>
    <s v="Yes"/>
    <x v="2"/>
    <x v="1"/>
    <x v="0"/>
    <s v="No"/>
    <s v="No"/>
    <x v="1"/>
    <s v="Software Development"/>
    <n v="1"/>
    <x v="3"/>
    <s v="Relationship"/>
    <x v="1"/>
    <s v="Bachelor"/>
    <x v="0"/>
    <n v="3.43"/>
    <s v="No"/>
    <n v="3.43"/>
    <n v="14"/>
    <n v="24000"/>
    <x v="0"/>
    <x v="0"/>
    <n v="51"/>
  </r>
  <r>
    <x v="1"/>
    <x v="1"/>
    <n v="21"/>
    <n v="2020"/>
    <x v="0"/>
    <n v="2"/>
    <x v="0"/>
    <s v="No"/>
    <x v="5"/>
    <n v="2"/>
    <x v="0"/>
    <x v="0"/>
    <s v="No"/>
    <x v="2"/>
    <x v="0"/>
    <x v="5"/>
    <s v="No"/>
    <s v="No"/>
    <x v="0"/>
    <s v="Software Development"/>
    <n v="12"/>
    <x v="2"/>
    <s v="Single"/>
    <x v="0"/>
    <s v="Bachelor"/>
    <x v="0"/>
    <n v="3.7"/>
    <s v="No"/>
    <n v="3.7"/>
    <n v="11"/>
    <n v="30000"/>
    <x v="1"/>
    <x v="0"/>
    <n v="88"/>
  </r>
  <r>
    <x v="2"/>
    <x v="0"/>
    <n v="22"/>
    <n v="2019"/>
    <x v="0"/>
    <n v="6"/>
    <x v="1"/>
    <s v="Yes"/>
    <x v="5"/>
    <n v="3"/>
    <x v="0"/>
    <x v="0"/>
    <s v="Yes"/>
    <x v="4"/>
    <x v="2"/>
    <x v="9"/>
    <s v="No"/>
    <s v="No"/>
    <x v="0"/>
    <s v="Software Development"/>
    <n v="3"/>
    <x v="0"/>
    <s v="Relationship"/>
    <x v="1"/>
    <s v="Family"/>
    <x v="0"/>
    <n v="3.02"/>
    <s v="No"/>
    <n v="3.2"/>
    <n v="70"/>
    <n v="20000"/>
    <x v="0"/>
    <x v="0"/>
    <n v="55"/>
  </r>
  <r>
    <x v="1"/>
    <x v="0"/>
    <n v="20"/>
    <n v="2020"/>
    <x v="0"/>
    <n v="3"/>
    <x v="1"/>
    <s v="Yes"/>
    <x v="2"/>
    <n v="1"/>
    <x v="0"/>
    <x v="0"/>
    <s v="Yes"/>
    <x v="1"/>
    <x v="1"/>
    <x v="0"/>
    <s v="No"/>
    <s v="No"/>
    <x v="1"/>
    <s v="Software Development"/>
    <n v="2"/>
    <x v="2"/>
    <s v="Single"/>
    <x v="1"/>
    <s v="Bachelor"/>
    <x v="0"/>
    <n v="3.48"/>
    <s v="No"/>
    <n v="2.98"/>
    <n v="23"/>
    <n v="20000"/>
    <x v="0"/>
    <x v="0"/>
    <n v="48"/>
  </r>
  <r>
    <x v="3"/>
    <x v="0"/>
    <n v="20"/>
    <n v="2020"/>
    <x v="0"/>
    <n v="2"/>
    <x v="0"/>
    <s v="No"/>
    <x v="0"/>
    <n v="2"/>
    <x v="0"/>
    <x v="0"/>
    <s v="Yes"/>
    <x v="2"/>
    <x v="2"/>
    <x v="0"/>
    <s v="No"/>
    <s v="No"/>
    <x v="0"/>
    <s v="Software Development"/>
    <n v="2"/>
    <x v="2"/>
    <s v="Single"/>
    <x v="0"/>
    <s v="Bachelor"/>
    <x v="0"/>
    <n v="3.53"/>
    <s v="No"/>
    <n v="3.53"/>
    <n v="13"/>
    <n v="40000"/>
    <x v="1"/>
    <x v="0"/>
    <n v="51"/>
  </r>
  <r>
    <x v="2"/>
    <x v="1"/>
    <n v="19"/>
    <n v="2019"/>
    <x v="0"/>
    <n v="8"/>
    <x v="0"/>
    <s v="Yes"/>
    <x v="5"/>
    <n v="1"/>
    <x v="0"/>
    <x v="0"/>
    <s v="Yes"/>
    <x v="2"/>
    <x v="2"/>
    <x v="0"/>
    <s v="No"/>
    <s v="No"/>
    <x v="1"/>
    <s v="Software Development"/>
    <n v="3"/>
    <x v="0"/>
    <s v="Single"/>
    <x v="1"/>
    <s v="Bachelor"/>
    <x v="0"/>
    <n v="3.06"/>
    <s v="No"/>
    <n v="3.41"/>
    <n v="87"/>
    <n v="30000"/>
    <x v="0"/>
    <x v="0"/>
    <n v="57"/>
  </r>
  <r>
    <x v="1"/>
    <x v="0"/>
    <n v="20"/>
    <n v="2020"/>
    <x v="0"/>
    <n v="2"/>
    <x v="1"/>
    <s v="No"/>
    <x v="2"/>
    <n v="1"/>
    <x v="0"/>
    <x v="0"/>
    <s v="Yes"/>
    <x v="1"/>
    <x v="1"/>
    <x v="5"/>
    <s v="Yes"/>
    <s v="No"/>
    <x v="0"/>
    <s v="Software Development"/>
    <n v="1"/>
    <x v="2"/>
    <s v="Single"/>
    <x v="1"/>
    <s v="Bachelor"/>
    <x v="0"/>
    <n v="3.9"/>
    <s v="No"/>
    <n v="3.9"/>
    <n v="11"/>
    <n v="20000"/>
    <x v="1"/>
    <x v="0"/>
    <n v="49"/>
  </r>
  <r>
    <x v="3"/>
    <x v="1"/>
    <n v="20"/>
    <n v="2018"/>
    <x v="0"/>
    <n v="1"/>
    <x v="1"/>
    <s v="No"/>
    <x v="2"/>
    <n v="2"/>
    <x v="0"/>
    <x v="0"/>
    <s v="No"/>
    <x v="4"/>
    <x v="0"/>
    <x v="4"/>
    <s v="No"/>
    <s v="No"/>
    <x v="0"/>
    <s v="Networking"/>
    <n v="0"/>
    <x v="2"/>
    <s v="Single"/>
    <x v="1"/>
    <s v="Bachelor"/>
    <x v="1"/>
    <n v="0"/>
    <s v="No"/>
    <n v="0"/>
    <n v="0"/>
    <n v="50000"/>
    <x v="2"/>
    <x v="0"/>
    <n v="44"/>
  </r>
  <r>
    <x v="4"/>
    <x v="1"/>
    <n v="20"/>
    <n v="2019"/>
    <x v="0"/>
    <n v="9"/>
    <x v="1"/>
    <s v="Yes"/>
    <x v="0"/>
    <n v="3"/>
    <x v="0"/>
    <x v="0"/>
    <s v="Yes"/>
    <x v="3"/>
    <x v="0"/>
    <x v="10"/>
    <s v="No"/>
    <s v="No"/>
    <x v="1"/>
    <s v="Software Development"/>
    <n v="4"/>
    <x v="2"/>
    <s v="Single"/>
    <x v="0"/>
    <s v="Family"/>
    <x v="0"/>
    <n v="3.19"/>
    <s v="No"/>
    <n v="3.37"/>
    <n v="101"/>
    <n v="40000"/>
    <x v="0"/>
    <x v="0"/>
    <n v="60.6"/>
  </r>
  <r>
    <x v="3"/>
    <x v="1"/>
    <n v="21"/>
    <n v="2020"/>
    <x v="0"/>
    <n v="2"/>
    <x v="1"/>
    <s v="No"/>
    <x v="5"/>
    <n v="2"/>
    <x v="1"/>
    <x v="0"/>
    <s v="Yes"/>
    <x v="2"/>
    <x v="1"/>
    <x v="4"/>
    <s v="Yes"/>
    <s v="No"/>
    <x v="0"/>
    <s v="Software Development"/>
    <n v="4"/>
    <x v="2"/>
    <s v="Single"/>
    <x v="0"/>
    <s v="Bachelor"/>
    <x v="1"/>
    <n v="0.13"/>
    <s v="No"/>
    <n v="0.13"/>
    <n v="11"/>
    <n v="30000"/>
    <x v="2"/>
    <x v="0"/>
    <n v="62"/>
  </r>
  <r>
    <x v="3"/>
    <x v="1"/>
    <n v="22"/>
    <n v="2020"/>
    <x v="0"/>
    <n v="2"/>
    <x v="0"/>
    <s v="No"/>
    <x v="5"/>
    <n v="1"/>
    <x v="0"/>
    <x v="0"/>
    <s v="Yes"/>
    <x v="2"/>
    <x v="1"/>
    <x v="8"/>
    <s v="No"/>
    <s v="No"/>
    <x v="1"/>
    <s v="Software Development"/>
    <n v="2"/>
    <x v="3"/>
    <s v="Engaged"/>
    <x v="1"/>
    <s v="Bachelor"/>
    <x v="1"/>
    <n v="3.05"/>
    <s v="No"/>
    <n v="3.05"/>
    <n v="11"/>
    <n v="20000"/>
    <x v="0"/>
    <x v="0"/>
    <n v="57.2"/>
  </r>
  <r>
    <x v="3"/>
    <x v="1"/>
    <n v="21"/>
    <n v="2020"/>
    <x v="0"/>
    <n v="1"/>
    <x v="1"/>
    <s v="Yes"/>
    <x v="0"/>
    <n v="2"/>
    <x v="0"/>
    <x v="0"/>
    <s v="Yes"/>
    <x v="3"/>
    <x v="2"/>
    <x v="10"/>
    <s v="No"/>
    <s v="No"/>
    <x v="0"/>
    <s v="Software Development"/>
    <n v="1"/>
    <x v="2"/>
    <s v="Single"/>
    <x v="0"/>
    <s v="Family"/>
    <x v="0"/>
    <n v="4"/>
    <s v="No"/>
    <n v="4"/>
    <n v="11"/>
    <n v="80000"/>
    <x v="1"/>
    <x v="0"/>
    <n v="51.6"/>
  </r>
  <r>
    <x v="1"/>
    <x v="1"/>
    <n v="20"/>
    <n v="2020"/>
    <x v="0"/>
    <n v="2"/>
    <x v="0"/>
    <s v="No"/>
    <x v="5"/>
    <n v="1"/>
    <x v="0"/>
    <x v="0"/>
    <s v="Yes"/>
    <x v="1"/>
    <x v="0"/>
    <x v="8"/>
    <s v="No"/>
    <s v="No"/>
    <x v="0"/>
    <s v="Software Development"/>
    <n v="3"/>
    <x v="2"/>
    <s v="Married"/>
    <x v="0"/>
    <s v="Family"/>
    <x v="0"/>
    <n v="3.75"/>
    <s v="No"/>
    <n v="3.75"/>
    <n v="11"/>
    <n v="60000"/>
    <x v="1"/>
    <x v="0"/>
    <n v="60.2"/>
  </r>
  <r>
    <x v="1"/>
    <x v="0"/>
    <n v="22"/>
    <n v="2019"/>
    <x v="0"/>
    <n v="2"/>
    <x v="0"/>
    <s v="No"/>
    <x v="0"/>
    <n v="3"/>
    <x v="0"/>
    <x v="0"/>
    <s v="Yes"/>
    <x v="2"/>
    <x v="0"/>
    <x v="0"/>
    <s v="No"/>
    <s v="No"/>
    <x v="1"/>
    <s v="Software Development"/>
    <n v="4"/>
    <x v="2"/>
    <s v="Relationship"/>
    <x v="1"/>
    <s v="Bachelor"/>
    <x v="0"/>
    <n v="3.33"/>
    <s v="No"/>
    <n v="3.33"/>
    <n v="12"/>
    <n v="20000"/>
    <x v="0"/>
    <x v="0"/>
    <n v="57"/>
  </r>
  <r>
    <x v="1"/>
    <x v="0"/>
    <n v="20"/>
    <n v="2020"/>
    <x v="0"/>
    <n v="3"/>
    <x v="0"/>
    <s v="No"/>
    <x v="5"/>
    <n v="1"/>
    <x v="1"/>
    <x v="0"/>
    <s v="Yes"/>
    <x v="3"/>
    <x v="1"/>
    <x v="2"/>
    <s v="Yes"/>
    <s v="No"/>
    <x v="0"/>
    <s v="Software Development"/>
    <n v="2"/>
    <x v="4"/>
    <s v="Single"/>
    <x v="0"/>
    <s v="Bachelor"/>
    <x v="0"/>
    <n v="2.81"/>
    <s v="Yes"/>
    <n v="2.81"/>
    <n v="35"/>
    <n v="40000"/>
    <x v="0"/>
    <x v="0"/>
    <n v="50"/>
  </r>
  <r>
    <x v="3"/>
    <x v="0"/>
    <n v="21"/>
    <n v="2019"/>
    <x v="0"/>
    <n v="2"/>
    <x v="0"/>
    <s v="No"/>
    <x v="0"/>
    <n v="3"/>
    <x v="0"/>
    <x v="0"/>
    <s v="Yes"/>
    <x v="4"/>
    <x v="0"/>
    <x v="0"/>
    <s v="Yes"/>
    <s v="No"/>
    <x v="0"/>
    <s v="Data entry"/>
    <n v="0"/>
    <x v="2"/>
    <s v="Single"/>
    <x v="0"/>
    <s v="Bachelor"/>
    <x v="1"/>
    <n v="2.1800000000000002"/>
    <s v="No"/>
    <n v="2.08"/>
    <n v="11"/>
    <n v="35000"/>
    <x v="2"/>
    <x v="0"/>
    <n v="45"/>
  </r>
  <r>
    <x v="3"/>
    <x v="0"/>
    <n v="21"/>
    <n v="2020"/>
    <x v="0"/>
    <n v="1"/>
    <x v="1"/>
    <s v="Yes"/>
    <x v="5"/>
    <n v="2"/>
    <x v="0"/>
    <x v="0"/>
    <s v="Yes"/>
    <x v="3"/>
    <x v="0"/>
    <x v="5"/>
    <s v="No"/>
    <s v="No"/>
    <x v="0"/>
    <s v="Communication"/>
    <n v="2"/>
    <x v="2"/>
    <s v="Single"/>
    <x v="1"/>
    <s v="Family"/>
    <x v="0"/>
    <n v="0"/>
    <s v="No"/>
    <n v="0"/>
    <n v="0"/>
    <n v="30000"/>
    <x v="2"/>
    <x v="0"/>
    <n v="58"/>
  </r>
  <r>
    <x v="2"/>
    <x v="0"/>
    <n v="23"/>
    <n v="2018"/>
    <x v="0"/>
    <n v="8"/>
    <x v="1"/>
    <s v="Yes"/>
    <x v="9"/>
    <n v="3"/>
    <x v="0"/>
    <x v="0"/>
    <s v="No"/>
    <x v="1"/>
    <x v="0"/>
    <x v="7"/>
    <s v="No"/>
    <s v="No"/>
    <x v="1"/>
    <s v="Software Development"/>
    <n v="6"/>
    <x v="2"/>
    <s v="Single"/>
    <x v="1"/>
    <s v="Family"/>
    <x v="0"/>
    <n v="3.7"/>
    <s v="No"/>
    <n v="3.75"/>
    <n v="70"/>
    <n v="20000"/>
    <x v="1"/>
    <x v="1"/>
    <n v="46"/>
  </r>
  <r>
    <x v="0"/>
    <x v="1"/>
    <n v="24"/>
    <n v="2016"/>
    <x v="0"/>
    <n v="13"/>
    <x v="1"/>
    <s v="No"/>
    <x v="2"/>
    <n v="1"/>
    <x v="1"/>
    <x v="0"/>
    <s v="Yes"/>
    <x v="3"/>
    <x v="0"/>
    <x v="0"/>
    <s v="No"/>
    <s v="No"/>
    <x v="0"/>
    <s v="Networking"/>
    <n v="2"/>
    <x v="6"/>
    <s v="Engaged"/>
    <x v="1"/>
    <s v="Bachelor"/>
    <x v="1"/>
    <n v="3.62"/>
    <s v="No"/>
    <n v="3"/>
    <n v="140"/>
    <n v="62488"/>
    <x v="0"/>
    <x v="0"/>
    <n v="48"/>
  </r>
  <r>
    <x v="3"/>
    <x v="0"/>
    <n v="20"/>
    <n v="2020"/>
    <x v="0"/>
    <n v="3"/>
    <x v="1"/>
    <s v="Yes"/>
    <x v="2"/>
    <n v="2"/>
    <x v="0"/>
    <x v="0"/>
    <s v="Yes"/>
    <x v="1"/>
    <x v="1"/>
    <x v="17"/>
    <s v="No"/>
    <s v="No"/>
    <x v="0"/>
    <s v="Software Development"/>
    <n v="1"/>
    <x v="2"/>
    <s v="Single"/>
    <x v="1"/>
    <s v="Family"/>
    <x v="1"/>
    <n v="3.18"/>
    <s v="Yes"/>
    <n v="3.18"/>
    <n v="11"/>
    <n v="35000"/>
    <x v="0"/>
    <x v="0"/>
    <n v="43.800000000000004"/>
  </r>
  <r>
    <x v="3"/>
    <x v="1"/>
    <n v="21"/>
    <n v="2020"/>
    <x v="0"/>
    <n v="1"/>
    <x v="0"/>
    <s v="Yes"/>
    <x v="0"/>
    <n v="2"/>
    <x v="1"/>
    <x v="0"/>
    <s v="No"/>
    <x v="7"/>
    <x v="1"/>
    <x v="8"/>
    <s v="No"/>
    <s v="No"/>
    <x v="1"/>
    <s v="Software Development"/>
    <n v="1"/>
    <x v="2"/>
    <s v="Single"/>
    <x v="0"/>
    <s v="Family"/>
    <x v="1"/>
    <n v="3.55"/>
    <s v="Yes"/>
    <n v="3.59"/>
    <n v="11"/>
    <n v="100000"/>
    <x v="1"/>
    <x v="0"/>
    <n v="51.2"/>
  </r>
  <r>
    <x v="2"/>
    <x v="0"/>
    <n v="23"/>
    <n v="2020"/>
    <x v="0"/>
    <n v="3"/>
    <x v="0"/>
    <s v="No"/>
    <x v="5"/>
    <n v="2"/>
    <x v="0"/>
    <x v="0"/>
    <s v="Yes"/>
    <x v="2"/>
    <x v="1"/>
    <x v="5"/>
    <s v="No"/>
    <s v="No"/>
    <x v="1"/>
    <s v="Software Development"/>
    <n v="6"/>
    <x v="2"/>
    <s v="Single"/>
    <x v="0"/>
    <s v="Bachelor"/>
    <x v="0"/>
    <n v="3.58"/>
    <s v="No"/>
    <n v="3.75"/>
    <n v="23"/>
    <n v="15000"/>
    <x v="1"/>
    <x v="0"/>
    <n v="70"/>
  </r>
  <r>
    <x v="3"/>
    <x v="0"/>
    <n v="22"/>
    <n v="2020"/>
    <x v="0"/>
    <n v="2"/>
    <x v="0"/>
    <s v="No"/>
    <x v="2"/>
    <n v="1"/>
    <x v="0"/>
    <x v="0"/>
    <s v="Yes"/>
    <x v="7"/>
    <x v="1"/>
    <x v="0"/>
    <s v="No"/>
    <s v="No"/>
    <x v="1"/>
    <s v="Software Development"/>
    <n v="3"/>
    <x v="2"/>
    <s v="Single"/>
    <x v="1"/>
    <s v="Bachelor"/>
    <x v="1"/>
    <n v="3.88"/>
    <s v="No"/>
    <n v="3.88"/>
    <n v="12"/>
    <n v="10000"/>
    <x v="1"/>
    <x v="0"/>
    <n v="51"/>
  </r>
  <r>
    <x v="3"/>
    <x v="0"/>
    <n v="20"/>
    <n v="2020"/>
    <x v="0"/>
    <n v="2"/>
    <x v="0"/>
    <s v="No"/>
    <x v="2"/>
    <n v="1"/>
    <x v="0"/>
    <x v="0"/>
    <s v="Yes"/>
    <x v="9"/>
    <x v="1"/>
    <x v="0"/>
    <s v="No"/>
    <s v="No"/>
    <x v="1"/>
    <s v="Software Development"/>
    <n v="3"/>
    <x v="2"/>
    <s v="Single"/>
    <x v="1"/>
    <s v="Bachelor"/>
    <x v="0"/>
    <n v="3"/>
    <s v="No"/>
    <n v="3"/>
    <n v="12"/>
    <n v="30000"/>
    <x v="0"/>
    <x v="0"/>
    <n v="51"/>
  </r>
  <r>
    <x v="3"/>
    <x v="0"/>
    <n v="20"/>
    <n v="2020"/>
    <x v="0"/>
    <n v="2"/>
    <x v="0"/>
    <s v="No"/>
    <x v="5"/>
    <n v="2"/>
    <x v="0"/>
    <x v="0"/>
    <s v="Yes"/>
    <x v="3"/>
    <x v="0"/>
    <x v="4"/>
    <s v="No"/>
    <s v="Yes"/>
    <x v="0"/>
    <s v="Software Development"/>
    <n v="2"/>
    <x v="2"/>
    <s v="Single"/>
    <x v="0"/>
    <s v="Bachelor"/>
    <x v="0"/>
    <n v="4"/>
    <s v="No"/>
    <n v="4"/>
    <n v="11"/>
    <n v="40000"/>
    <x v="1"/>
    <x v="0"/>
    <n v="56"/>
  </r>
  <r>
    <x v="3"/>
    <x v="0"/>
    <n v="22"/>
    <n v="2016"/>
    <x v="0"/>
    <n v="2"/>
    <x v="0"/>
    <s v="Yes"/>
    <x v="2"/>
    <n v="2"/>
    <x v="1"/>
    <x v="0"/>
    <s v="Yes"/>
    <x v="3"/>
    <x v="1"/>
    <x v="2"/>
    <s v="No"/>
    <s v="No"/>
    <x v="0"/>
    <s v="Software Development"/>
    <n v="3"/>
    <x v="4"/>
    <s v="Relationship"/>
    <x v="0"/>
    <s v="Family"/>
    <x v="0"/>
    <n v="3.97"/>
    <s v="No"/>
    <n v="3.97"/>
    <n v="11"/>
    <n v="30000"/>
    <x v="1"/>
    <x v="0"/>
    <n v="47"/>
  </r>
  <r>
    <x v="1"/>
    <x v="0"/>
    <n v="22"/>
    <n v="2020"/>
    <x v="0"/>
    <n v="3"/>
    <x v="0"/>
    <s v="Yes"/>
    <x v="0"/>
    <n v="2"/>
    <x v="1"/>
    <x v="0"/>
    <s v="Yes"/>
    <x v="3"/>
    <x v="0"/>
    <x v="11"/>
    <s v="No"/>
    <s v="No"/>
    <x v="0"/>
    <s v="Software Development"/>
    <n v="2"/>
    <x v="2"/>
    <s v="Single"/>
    <x v="0"/>
    <s v="Bachelor"/>
    <x v="0"/>
    <n v="3.79"/>
    <s v="No"/>
    <n v="3.69"/>
    <n v="25"/>
    <n v="100000"/>
    <x v="1"/>
    <x v="0"/>
    <n v="45"/>
  </r>
  <r>
    <x v="4"/>
    <x v="0"/>
    <n v="22"/>
    <n v="2018"/>
    <x v="0"/>
    <n v="11"/>
    <x v="1"/>
    <s v="No"/>
    <x v="4"/>
    <n v="2"/>
    <x v="0"/>
    <x v="0"/>
    <s v="Yes"/>
    <x v="2"/>
    <x v="0"/>
    <x v="0"/>
    <s v="Yes"/>
    <s v="No"/>
    <x v="0"/>
    <s v="Software Development"/>
    <n v="2"/>
    <x v="2"/>
    <s v="Relationship"/>
    <x v="1"/>
    <s v="Bachelor"/>
    <x v="0"/>
    <n v="2.96"/>
    <s v="No"/>
    <n v="2.89"/>
    <n v="111"/>
    <n v="50000"/>
    <x v="0"/>
    <x v="0"/>
    <n v="60"/>
  </r>
  <r>
    <x v="1"/>
    <x v="0"/>
    <n v="21"/>
    <n v="2020"/>
    <x v="0"/>
    <n v="5"/>
    <x v="0"/>
    <s v="No"/>
    <x v="3"/>
    <n v="1"/>
    <x v="0"/>
    <x v="1"/>
    <s v="Yes"/>
    <x v="1"/>
    <x v="0"/>
    <x v="3"/>
    <s v="No"/>
    <s v="No"/>
    <x v="0"/>
    <s v="Software Development"/>
    <n v="3"/>
    <x v="2"/>
    <s v="Single"/>
    <x v="0"/>
    <s v="Bachelor"/>
    <x v="1"/>
    <n v="3.77"/>
    <s v="No"/>
    <n v="3.86"/>
    <n v="49"/>
    <n v="30000"/>
    <x v="1"/>
    <x v="0"/>
    <n v="59.2"/>
  </r>
  <r>
    <x v="4"/>
    <x v="0"/>
    <n v="25"/>
    <n v="2017"/>
    <x v="0"/>
    <n v="11"/>
    <x v="1"/>
    <s v="No"/>
    <x v="1"/>
    <n v="1"/>
    <x v="0"/>
    <x v="0"/>
    <s v="Yes"/>
    <x v="3"/>
    <x v="0"/>
    <x v="0"/>
    <s v="No"/>
    <s v="No"/>
    <x v="1"/>
    <s v="Software Development"/>
    <n v="4"/>
    <x v="2"/>
    <s v="Single"/>
    <x v="1"/>
    <s v="Family"/>
    <x v="0"/>
    <n v="3.44"/>
    <s v="No"/>
    <n v="3.48"/>
    <n v="124"/>
    <n v="50000"/>
    <x v="0"/>
    <x v="0"/>
    <n v="51"/>
  </r>
  <r>
    <x v="3"/>
    <x v="0"/>
    <n v="19"/>
    <n v="2021"/>
    <x v="0"/>
    <n v="1"/>
    <x v="0"/>
    <s v="No"/>
    <x v="5"/>
    <n v="3"/>
    <x v="0"/>
    <x v="0"/>
    <s v="Yes"/>
    <x v="1"/>
    <x v="2"/>
    <x v="5"/>
    <s v="No"/>
    <s v="No"/>
    <x v="0"/>
    <s v="Software Development"/>
    <n v="1"/>
    <x v="2"/>
    <s v="Single"/>
    <x v="1"/>
    <s v="Bachelor"/>
    <x v="1"/>
    <n v="0"/>
    <s v="No"/>
    <n v="0"/>
    <n v="0"/>
    <n v="40000"/>
    <x v="2"/>
    <x v="0"/>
    <n v="55"/>
  </r>
  <r>
    <x v="1"/>
    <x v="1"/>
    <n v="21"/>
    <n v="2019"/>
    <x v="0"/>
    <n v="3"/>
    <x v="0"/>
    <s v="Yes"/>
    <x v="2"/>
    <n v="2"/>
    <x v="1"/>
    <x v="0"/>
    <s v="Yes"/>
    <x v="2"/>
    <x v="0"/>
    <x v="9"/>
    <s v="No"/>
    <s v="No"/>
    <x v="0"/>
    <s v="Software Development"/>
    <n v="1"/>
    <x v="2"/>
    <s v="Single"/>
    <x v="1"/>
    <s v="Family"/>
    <x v="0"/>
    <n v="3.56"/>
    <s v="No"/>
    <n v="3.66"/>
    <n v="23"/>
    <n v="25000"/>
    <x v="1"/>
    <x v="0"/>
    <n v="43"/>
  </r>
  <r>
    <x v="2"/>
    <x v="0"/>
    <n v="19"/>
    <n v="2019"/>
    <x v="0"/>
    <n v="2"/>
    <x v="0"/>
    <s v="Yes"/>
    <x v="0"/>
    <n v="2"/>
    <x v="0"/>
    <x v="0"/>
    <s v="Yes"/>
    <x v="3"/>
    <x v="1"/>
    <x v="5"/>
    <s v="No"/>
    <s v="No"/>
    <x v="0"/>
    <s v="Software Development"/>
    <n v="1"/>
    <x v="2"/>
    <s v="Single"/>
    <x v="1"/>
    <s v="Family"/>
    <x v="0"/>
    <n v="3.56"/>
    <s v="No"/>
    <n v="3.56"/>
    <n v="12"/>
    <n v="40000"/>
    <x v="1"/>
    <x v="0"/>
    <n v="52"/>
  </r>
  <r>
    <x v="1"/>
    <x v="1"/>
    <n v="22"/>
    <n v="2020"/>
    <x v="0"/>
    <n v="4"/>
    <x v="0"/>
    <s v="Yes"/>
    <x v="3"/>
    <n v="2"/>
    <x v="0"/>
    <x v="0"/>
    <s v="Yes"/>
    <x v="2"/>
    <x v="0"/>
    <x v="3"/>
    <s v="No"/>
    <s v="No"/>
    <x v="0"/>
    <s v="Software Development"/>
    <n v="3"/>
    <x v="2"/>
    <s v="Single"/>
    <x v="0"/>
    <s v="Family"/>
    <x v="0"/>
    <n v="2.48"/>
    <s v="No"/>
    <n v="2.74"/>
    <n v="23"/>
    <n v="35000"/>
    <x v="0"/>
    <x v="0"/>
    <n v="59.2"/>
  </r>
  <r>
    <x v="3"/>
    <x v="1"/>
    <n v="20"/>
    <n v="2020"/>
    <x v="0"/>
    <n v="1"/>
    <x v="0"/>
    <s v="Yes"/>
    <x v="9"/>
    <n v="2"/>
    <x v="1"/>
    <x v="0"/>
    <s v="Yes"/>
    <x v="1"/>
    <x v="1"/>
    <x v="6"/>
    <s v="No"/>
    <s v="No"/>
    <x v="1"/>
    <s v="No skills"/>
    <n v="1"/>
    <x v="2"/>
    <s v="Single"/>
    <x v="1"/>
    <s v="Family"/>
    <x v="1"/>
    <n v="0"/>
    <s v="Yes"/>
    <n v="0"/>
    <n v="0"/>
    <n v="35000"/>
    <x v="2"/>
    <x v="0"/>
    <n v="41.800000000000004"/>
  </r>
  <r>
    <x v="3"/>
    <x v="0"/>
    <n v="20"/>
    <n v="2020"/>
    <x v="0"/>
    <n v="2"/>
    <x v="0"/>
    <s v="Yes"/>
    <x v="1"/>
    <n v="1"/>
    <x v="1"/>
    <x v="0"/>
    <s v="Yes"/>
    <x v="0"/>
    <x v="1"/>
    <x v="2"/>
    <s v="Yes"/>
    <s v="No"/>
    <x v="1"/>
    <s v="No Skill"/>
    <n v="0"/>
    <x v="2"/>
    <s v="Single"/>
    <x v="1"/>
    <s v="Family"/>
    <x v="0"/>
    <n v="3.25"/>
    <s v="No"/>
    <n v="3.2"/>
    <n v="11"/>
    <n v="40000"/>
    <x v="0"/>
    <x v="0"/>
    <n v="35"/>
  </r>
  <r>
    <x v="3"/>
    <x v="0"/>
    <n v="19"/>
    <n v="2021"/>
    <x v="0"/>
    <n v="1"/>
    <x v="0"/>
    <s v="No"/>
    <x v="5"/>
    <n v="2"/>
    <x v="0"/>
    <x v="0"/>
    <s v="Yes"/>
    <x v="0"/>
    <x v="1"/>
    <x v="9"/>
    <s v="No"/>
    <s v="No"/>
    <x v="0"/>
    <s v="No Skill"/>
    <n v="0"/>
    <x v="2"/>
    <s v="Single"/>
    <x v="0"/>
    <s v="Bachelor"/>
    <x v="0"/>
    <n v="0"/>
    <s v="No"/>
    <n v="0"/>
    <n v="0"/>
    <n v="50000"/>
    <x v="2"/>
    <x v="0"/>
    <n v="46"/>
  </r>
  <r>
    <x v="1"/>
    <x v="0"/>
    <n v="22"/>
    <n v="2019"/>
    <x v="0"/>
    <n v="4"/>
    <x v="0"/>
    <s v="No"/>
    <x v="2"/>
    <n v="1"/>
    <x v="0"/>
    <x v="0"/>
    <s v="Yes"/>
    <x v="1"/>
    <x v="0"/>
    <x v="2"/>
    <s v="No"/>
    <s v="No"/>
    <x v="0"/>
    <s v="Software Development"/>
    <n v="2"/>
    <x v="0"/>
    <s v="Single"/>
    <x v="0"/>
    <s v="Family"/>
    <x v="0"/>
    <n v="3.7"/>
    <s v="No"/>
    <n v="3.4"/>
    <n v="39"/>
    <n v="50000"/>
    <x v="0"/>
    <x v="0"/>
    <n v="44"/>
  </r>
  <r>
    <x v="1"/>
    <x v="1"/>
    <n v="20"/>
    <n v="2020"/>
    <x v="0"/>
    <n v="4"/>
    <x v="0"/>
    <s v="No"/>
    <x v="1"/>
    <n v="1"/>
    <x v="0"/>
    <x v="0"/>
    <s v="No"/>
    <x v="2"/>
    <x v="0"/>
    <x v="5"/>
    <s v="No"/>
    <s v="No"/>
    <x v="1"/>
    <s v="Software Development"/>
    <n v="0"/>
    <x v="0"/>
    <s v="Single"/>
    <x v="1"/>
    <s v="Family"/>
    <x v="0"/>
    <n v="3.38"/>
    <s v="No"/>
    <n v="3.58"/>
    <n v="25"/>
    <n v="80000"/>
    <x v="1"/>
    <x v="0"/>
    <n v="43"/>
  </r>
  <r>
    <x v="1"/>
    <x v="0"/>
    <n v="21"/>
    <n v="2019"/>
    <x v="0"/>
    <n v="4"/>
    <x v="0"/>
    <s v="No"/>
    <x v="1"/>
    <n v="2"/>
    <x v="1"/>
    <x v="0"/>
    <s v="Yes"/>
    <x v="2"/>
    <x v="0"/>
    <x v="2"/>
    <s v="No"/>
    <s v="No"/>
    <x v="0"/>
    <s v="Software Development"/>
    <n v="4"/>
    <x v="2"/>
    <s v="Single"/>
    <x v="0"/>
    <s v="Bachelor"/>
    <x v="0"/>
    <n v="3.78"/>
    <s v="No"/>
    <n v="3.9"/>
    <n v="49"/>
    <n v="40000"/>
    <x v="1"/>
    <x v="0"/>
    <n v="47"/>
  </r>
  <r>
    <x v="4"/>
    <x v="1"/>
    <n v="24"/>
    <n v="2016"/>
    <x v="0"/>
    <n v="10"/>
    <x v="1"/>
    <s v="No"/>
    <x v="5"/>
    <n v="2"/>
    <x v="0"/>
    <x v="0"/>
    <s v="Yes"/>
    <x v="1"/>
    <x v="0"/>
    <x v="4"/>
    <s v="No"/>
    <s v="No"/>
    <x v="0"/>
    <s v="Software Development"/>
    <n v="2"/>
    <x v="5"/>
    <s v="Single"/>
    <x v="1"/>
    <s v="Bachelor"/>
    <x v="0"/>
    <n v="3.4"/>
    <s v="No"/>
    <n v="3.5"/>
    <n v="106"/>
    <n v="20000"/>
    <x v="1"/>
    <x v="0"/>
    <n v="56"/>
  </r>
  <r>
    <x v="4"/>
    <x v="0"/>
    <n v="24"/>
    <n v="2017"/>
    <x v="0"/>
    <n v="10"/>
    <x v="1"/>
    <s v="No"/>
    <x v="2"/>
    <n v="1"/>
    <x v="0"/>
    <x v="0"/>
    <s v="Yes"/>
    <x v="1"/>
    <x v="0"/>
    <x v="2"/>
    <s v="No"/>
    <s v="No"/>
    <x v="0"/>
    <s v="Software Development"/>
    <n v="5"/>
    <x v="2"/>
    <s v="Single"/>
    <x v="0"/>
    <s v="Family"/>
    <x v="0"/>
    <n v="2.58"/>
    <s v="No"/>
    <n v="2.93"/>
    <n v="106"/>
    <n v="65000"/>
    <x v="0"/>
    <x v="0"/>
    <n v="53"/>
  </r>
  <r>
    <x v="2"/>
    <x v="0"/>
    <n v="21"/>
    <n v="2019"/>
    <x v="0"/>
    <n v="8"/>
    <x v="1"/>
    <s v="No"/>
    <x v="1"/>
    <n v="1"/>
    <x v="1"/>
    <x v="0"/>
    <s v="Yes"/>
    <x v="3"/>
    <x v="2"/>
    <x v="9"/>
    <s v="No"/>
    <s v="No"/>
    <x v="0"/>
    <s v="Software Development"/>
    <n v="1"/>
    <x v="4"/>
    <s v="Relationship"/>
    <x v="1"/>
    <s v="Bachelor"/>
    <x v="1"/>
    <n v="3.96"/>
    <s v="No"/>
    <n v="3.7"/>
    <n v="85"/>
    <n v="25000"/>
    <x v="1"/>
    <x v="0"/>
    <n v="40"/>
  </r>
  <r>
    <x v="1"/>
    <x v="1"/>
    <n v="21"/>
    <n v="2020"/>
    <x v="0"/>
    <n v="3"/>
    <x v="0"/>
    <s v="Yes"/>
    <x v="0"/>
    <n v="2"/>
    <x v="0"/>
    <x v="0"/>
    <s v="Yes"/>
    <x v="2"/>
    <x v="0"/>
    <x v="3"/>
    <s v="No"/>
    <s v="No"/>
    <x v="1"/>
    <s v="Software Development"/>
    <n v="2"/>
    <x v="2"/>
    <s v="Single"/>
    <x v="1"/>
    <s v="Family"/>
    <x v="0"/>
    <n v="3.58"/>
    <s v="No"/>
    <n v="3.76"/>
    <n v="25"/>
    <n v="40000"/>
    <x v="1"/>
    <x v="0"/>
    <n v="50.2"/>
  </r>
  <r>
    <x v="1"/>
    <x v="0"/>
    <n v="20"/>
    <n v="2020"/>
    <x v="0"/>
    <n v="3"/>
    <x v="0"/>
    <s v="No"/>
    <x v="2"/>
    <n v="2"/>
    <x v="1"/>
    <x v="0"/>
    <s v="Yes"/>
    <x v="4"/>
    <x v="0"/>
    <x v="10"/>
    <s v="No"/>
    <s v="No"/>
    <x v="0"/>
    <s v="Software Development"/>
    <n v="2"/>
    <x v="2"/>
    <s v="Relationship"/>
    <x v="0"/>
    <s v="Bachelor"/>
    <x v="0"/>
    <n v="3.79"/>
    <s v="No"/>
    <n v="3.91"/>
    <n v="23"/>
    <n v="50000"/>
    <x v="1"/>
    <x v="0"/>
    <n v="51.6"/>
  </r>
  <r>
    <x v="1"/>
    <x v="0"/>
    <n v="21"/>
    <n v="2019"/>
    <x v="0"/>
    <n v="5"/>
    <x v="1"/>
    <s v="No"/>
    <x v="1"/>
    <n v="2"/>
    <x v="0"/>
    <x v="0"/>
    <s v="Yes"/>
    <x v="3"/>
    <x v="0"/>
    <x v="24"/>
    <s v="No"/>
    <s v="Yes"/>
    <x v="0"/>
    <s v="Software Development"/>
    <n v="1"/>
    <x v="6"/>
    <s v="Single"/>
    <x v="0"/>
    <s v="Bachelor"/>
    <x v="0"/>
    <n v="2.17"/>
    <s v="No"/>
    <n v="3.06"/>
    <n v="44"/>
    <n v="15000"/>
    <x v="0"/>
    <x v="0"/>
    <e v="#VALUE!"/>
  </r>
  <r>
    <x v="1"/>
    <x v="0"/>
    <n v="22"/>
    <n v="2020"/>
    <x v="0"/>
    <n v="4"/>
    <x v="0"/>
    <s v="No"/>
    <x v="0"/>
    <n v="2"/>
    <x v="0"/>
    <x v="0"/>
    <s v="Yes"/>
    <x v="2"/>
    <x v="0"/>
    <x v="0"/>
    <s v="Yes"/>
    <s v="No"/>
    <x v="0"/>
    <s v="Software Development"/>
    <n v="4"/>
    <x v="2"/>
    <s v="Single"/>
    <x v="1"/>
    <s v="Bachelor"/>
    <x v="0"/>
    <n v="1.1200000000000001"/>
    <s v="No"/>
    <n v="1.88"/>
    <n v="32"/>
    <n v="60000"/>
    <x v="2"/>
    <x v="0"/>
    <n v="57"/>
  </r>
  <r>
    <x v="1"/>
    <x v="1"/>
    <n v="21"/>
    <n v="2019"/>
    <x v="0"/>
    <n v="3"/>
    <x v="0"/>
    <s v="Yes"/>
    <x v="5"/>
    <n v="3"/>
    <x v="1"/>
    <x v="0"/>
    <s v="Yes"/>
    <x v="3"/>
    <x v="0"/>
    <x v="10"/>
    <s v="No"/>
    <s v="No"/>
    <x v="1"/>
    <s v="Software Development"/>
    <n v="2"/>
    <x v="2"/>
    <s v="Single"/>
    <x v="1"/>
    <s v="Family"/>
    <x v="0"/>
    <n v="3.72"/>
    <s v="No"/>
    <n v="3.67"/>
    <n v="25"/>
    <n v="35000"/>
    <x v="1"/>
    <x v="0"/>
    <n v="57.6"/>
  </r>
  <r>
    <x v="3"/>
    <x v="0"/>
    <n v="20"/>
    <n v="2020"/>
    <x v="0"/>
    <n v="2"/>
    <x v="1"/>
    <s v="No"/>
    <x v="3"/>
    <n v="3"/>
    <x v="0"/>
    <x v="0"/>
    <s v="No"/>
    <x v="3"/>
    <x v="1"/>
    <x v="3"/>
    <s v="No"/>
    <s v="No"/>
    <x v="0"/>
    <s v="Software Development"/>
    <n v="2"/>
    <x v="2"/>
    <s v="Single"/>
    <x v="0"/>
    <s v="Family"/>
    <x v="0"/>
    <n v="3.55"/>
    <s v="No"/>
    <n v="3.55"/>
    <n v="11"/>
    <n v="35000"/>
    <x v="1"/>
    <x v="0"/>
    <n v="56.2"/>
  </r>
  <r>
    <x v="2"/>
    <x v="1"/>
    <n v="22"/>
    <n v="2018"/>
    <x v="0"/>
    <n v="8"/>
    <x v="1"/>
    <s v="No"/>
    <x v="5"/>
    <n v="2"/>
    <x v="0"/>
    <x v="0"/>
    <s v="Yes"/>
    <x v="2"/>
    <x v="0"/>
    <x v="8"/>
    <s v="No"/>
    <s v="No"/>
    <x v="1"/>
    <s v="Software Development"/>
    <n v="2"/>
    <x v="2"/>
    <s v="Single"/>
    <x v="1"/>
    <s v="Family"/>
    <x v="0"/>
    <n v="2.83"/>
    <s v="No"/>
    <n v="2.82"/>
    <n v="65"/>
    <n v="25000"/>
    <x v="0"/>
    <x v="0"/>
    <n v="57.2"/>
  </r>
  <r>
    <x v="3"/>
    <x v="1"/>
    <n v="20"/>
    <n v="2020"/>
    <x v="0"/>
    <n v="2"/>
    <x v="0"/>
    <s v="Yes"/>
    <x v="2"/>
    <n v="1"/>
    <x v="0"/>
    <x v="0"/>
    <s v="Yes"/>
    <x v="2"/>
    <x v="1"/>
    <x v="4"/>
    <s v="No"/>
    <s v="No"/>
    <x v="0"/>
    <s v="Networking"/>
    <n v="1"/>
    <x v="2"/>
    <s v="Single"/>
    <x v="1"/>
    <s v="Family"/>
    <x v="1"/>
    <n v="3.88"/>
    <s v="No"/>
    <n v="3.88"/>
    <n v="11"/>
    <n v="35000"/>
    <x v="1"/>
    <x v="0"/>
    <n v="47"/>
  </r>
  <r>
    <x v="3"/>
    <x v="0"/>
    <n v="21"/>
    <n v="2020"/>
    <x v="0"/>
    <n v="2"/>
    <x v="0"/>
    <s v="No"/>
    <x v="1"/>
    <n v="1"/>
    <x v="0"/>
    <x v="0"/>
    <s v="Yes"/>
    <x v="4"/>
    <x v="0"/>
    <x v="0"/>
    <s v="No"/>
    <s v="No"/>
    <x v="1"/>
    <s v="Networking"/>
    <n v="2"/>
    <x v="5"/>
    <s v="Single"/>
    <x v="0"/>
    <s v="Bachelor"/>
    <x v="1"/>
    <n v="4"/>
    <s v="No"/>
    <n v="4"/>
    <n v="12"/>
    <n v="25000"/>
    <x v="1"/>
    <x v="0"/>
    <n v="45"/>
  </r>
  <r>
    <x v="2"/>
    <x v="1"/>
    <n v="21"/>
    <n v="2019"/>
    <x v="0"/>
    <n v="8"/>
    <x v="1"/>
    <s v="Yes"/>
    <x v="0"/>
    <n v="1"/>
    <x v="0"/>
    <x v="0"/>
    <s v="Yes"/>
    <x v="1"/>
    <x v="0"/>
    <x v="6"/>
    <s v="No"/>
    <s v="No"/>
    <x v="1"/>
    <s v="Software Development"/>
    <n v="1"/>
    <x v="0"/>
    <s v="Single"/>
    <x v="0"/>
    <s v="Family"/>
    <x v="0"/>
    <n v="3"/>
    <s v="No"/>
    <n v="3.66"/>
    <n v="87"/>
    <n v="150000"/>
    <x v="1"/>
    <x v="0"/>
    <n v="50.800000000000004"/>
  </r>
  <r>
    <x v="0"/>
    <x v="0"/>
    <n v="26"/>
    <n v="2018"/>
    <x v="0"/>
    <n v="12"/>
    <x v="1"/>
    <s v="Yes"/>
    <x v="6"/>
    <n v="2"/>
    <x v="1"/>
    <x v="0"/>
    <s v="Yes"/>
    <x v="2"/>
    <x v="0"/>
    <x v="0"/>
    <s v="Yes"/>
    <s v="Yes"/>
    <x v="0"/>
    <s v="Software Development"/>
    <n v="5"/>
    <x v="2"/>
    <s v="Single"/>
    <x v="0"/>
    <s v="Bachelor"/>
    <x v="0"/>
    <n v="2.44"/>
    <s v="No"/>
    <n v="2.44"/>
    <n v="90"/>
    <n v="20000"/>
    <x v="2"/>
    <x v="0"/>
    <n v="75"/>
  </r>
  <r>
    <x v="1"/>
    <x v="0"/>
    <n v="21"/>
    <n v="2020"/>
    <x v="0"/>
    <n v="3"/>
    <x v="0"/>
    <s v="No"/>
    <x v="5"/>
    <n v="2"/>
    <x v="0"/>
    <x v="0"/>
    <s v="Yes"/>
    <x v="3"/>
    <x v="0"/>
    <x v="8"/>
    <s v="No"/>
    <s v="No"/>
    <x v="0"/>
    <s v="Software Development"/>
    <n v="1"/>
    <x v="2"/>
    <s v="Single"/>
    <x v="1"/>
    <s v="Family"/>
    <x v="0"/>
    <n v="2.82"/>
    <s v="No"/>
    <n v="3"/>
    <n v="23"/>
    <n v="25000"/>
    <x v="0"/>
    <x v="0"/>
    <n v="54.2"/>
  </r>
  <r>
    <x v="3"/>
    <x v="1"/>
    <n v="21"/>
    <n v="2019"/>
    <x v="0"/>
    <n v="2"/>
    <x v="0"/>
    <s v="Yes"/>
    <x v="2"/>
    <n v="2"/>
    <x v="0"/>
    <x v="0"/>
    <s v="Yes"/>
    <x v="3"/>
    <x v="0"/>
    <x v="5"/>
    <s v="No"/>
    <s v="No"/>
    <x v="1"/>
    <s v="Software Development"/>
    <n v="2"/>
    <x v="2"/>
    <s v="Single"/>
    <x v="1"/>
    <s v="Family"/>
    <x v="0"/>
    <n v="3.9"/>
    <s v="No"/>
    <n v="3.9"/>
    <n v="11"/>
    <n v="50000"/>
    <x v="1"/>
    <x v="0"/>
    <n v="52"/>
  </r>
  <r>
    <x v="3"/>
    <x v="0"/>
    <n v="21"/>
    <n v="2020"/>
    <x v="0"/>
    <n v="2"/>
    <x v="0"/>
    <s v="No"/>
    <x v="3"/>
    <n v="1"/>
    <x v="1"/>
    <x v="0"/>
    <s v="Yes"/>
    <x v="10"/>
    <x v="1"/>
    <x v="8"/>
    <s v="No"/>
    <s v="No"/>
    <x v="0"/>
    <s v="Software Development"/>
    <n v="2"/>
    <x v="2"/>
    <s v="Single"/>
    <x v="0"/>
    <s v="Bachelor"/>
    <x v="1"/>
    <n v="3.33"/>
    <s v="No"/>
    <n v="3.33"/>
    <n v="12"/>
    <n v="62488"/>
    <x v="0"/>
    <x v="0"/>
    <n v="60.2"/>
  </r>
  <r>
    <x v="3"/>
    <x v="1"/>
    <n v="20"/>
    <n v="2020"/>
    <x v="0"/>
    <n v="2"/>
    <x v="1"/>
    <s v="No"/>
    <x v="0"/>
    <n v="3"/>
    <x v="0"/>
    <x v="0"/>
    <s v="Yes"/>
    <x v="2"/>
    <x v="1"/>
    <x v="6"/>
    <s v="No"/>
    <s v="No"/>
    <x v="0"/>
    <s v="Software Development"/>
    <n v="2"/>
    <x v="2"/>
    <s v="Single"/>
    <x v="0"/>
    <s v="Bachelor"/>
    <x v="0"/>
    <n v="3.7"/>
    <s v="No"/>
    <n v="3.7"/>
    <n v="11"/>
    <n v="35000"/>
    <x v="1"/>
    <x v="0"/>
    <n v="53.800000000000004"/>
  </r>
  <r>
    <x v="3"/>
    <x v="0"/>
    <n v="20"/>
    <n v="2020"/>
    <x v="0"/>
    <n v="2"/>
    <x v="0"/>
    <s v="Yes"/>
    <x v="5"/>
    <n v="2"/>
    <x v="0"/>
    <x v="0"/>
    <s v="No"/>
    <x v="1"/>
    <x v="0"/>
    <x v="0"/>
    <s v="No"/>
    <s v="No"/>
    <x v="0"/>
    <s v="Software Development"/>
    <n v="1"/>
    <x v="2"/>
    <s v="Single"/>
    <x v="0"/>
    <s v="Family"/>
    <x v="0"/>
    <n v="3.98"/>
    <s v="No"/>
    <n v="3.98"/>
    <n v="11"/>
    <n v="25000"/>
    <x v="1"/>
    <x v="0"/>
    <n v="51"/>
  </r>
  <r>
    <x v="3"/>
    <x v="1"/>
    <n v="21"/>
    <n v="2020"/>
    <x v="0"/>
    <n v="1"/>
    <x v="0"/>
    <s v="No"/>
    <x v="2"/>
    <n v="2"/>
    <x v="0"/>
    <x v="0"/>
    <s v="No"/>
    <x v="3"/>
    <x v="1"/>
    <x v="5"/>
    <s v="No"/>
    <s v="No"/>
    <x v="1"/>
    <s v="Software Development"/>
    <n v="1"/>
    <x v="2"/>
    <s v="Single"/>
    <x v="1"/>
    <s v="Bachelor"/>
    <x v="0"/>
    <n v="3.4"/>
    <s v="No"/>
    <n v="3.8"/>
    <n v="11"/>
    <n v="60000"/>
    <x v="1"/>
    <x v="0"/>
    <n v="49"/>
  </r>
  <r>
    <x v="3"/>
    <x v="0"/>
    <n v="22"/>
    <n v="2019"/>
    <x v="0"/>
    <n v="2"/>
    <x v="0"/>
    <s v="Yes"/>
    <x v="1"/>
    <n v="1"/>
    <x v="1"/>
    <x v="0"/>
    <s v="Yes"/>
    <x v="2"/>
    <x v="0"/>
    <x v="7"/>
    <s v="No"/>
    <s v="No"/>
    <x v="0"/>
    <s v="Software Development"/>
    <n v="1"/>
    <x v="2"/>
    <s v="Single"/>
    <x v="0"/>
    <s v="Family"/>
    <x v="0"/>
    <n v="3.81"/>
    <s v="No"/>
    <n v="3.81"/>
    <n v="11"/>
    <n v="400000"/>
    <x v="1"/>
    <x v="0"/>
    <n v="34"/>
  </r>
  <r>
    <x v="3"/>
    <x v="1"/>
    <n v="23"/>
    <n v="2021"/>
    <x v="0"/>
    <n v="2"/>
    <x v="0"/>
    <s v="Yes"/>
    <x v="1"/>
    <n v="2"/>
    <x v="0"/>
    <x v="0"/>
    <s v="No"/>
    <x v="1"/>
    <x v="0"/>
    <x v="0"/>
    <s v="No"/>
    <s v="No"/>
    <x v="1"/>
    <s v="Software Development"/>
    <n v="0"/>
    <x v="2"/>
    <s v="Engaged"/>
    <x v="0"/>
    <s v="Family"/>
    <x v="1"/>
    <n v="3.97"/>
    <s v="No"/>
    <n v="3.97"/>
    <n v="11"/>
    <n v="25000"/>
    <x v="1"/>
    <x v="0"/>
    <n v="39"/>
  </r>
  <r>
    <x v="3"/>
    <x v="0"/>
    <n v="20"/>
    <n v="2020"/>
    <x v="0"/>
    <n v="2"/>
    <x v="0"/>
    <s v="Yes"/>
    <x v="6"/>
    <n v="2"/>
    <x v="0"/>
    <x v="0"/>
    <s v="Yes"/>
    <x v="7"/>
    <x v="1"/>
    <x v="0"/>
    <s v="No"/>
    <s v="No"/>
    <x v="1"/>
    <s v="Software Development"/>
    <n v="2"/>
    <x v="2"/>
    <s v="Single"/>
    <x v="0"/>
    <s v="Bachelor"/>
    <x v="0"/>
    <n v="3.33"/>
    <s v="No"/>
    <n v="3.33"/>
    <n v="12"/>
    <n v="30000"/>
    <x v="0"/>
    <x v="0"/>
    <n v="66"/>
  </r>
  <r>
    <x v="1"/>
    <x v="1"/>
    <n v="21"/>
    <n v="2020"/>
    <x v="0"/>
    <n v="3"/>
    <x v="0"/>
    <s v="No"/>
    <x v="0"/>
    <n v="1"/>
    <x v="0"/>
    <x v="0"/>
    <s v="No"/>
    <x v="1"/>
    <x v="0"/>
    <x v="7"/>
    <s v="No"/>
    <s v="No"/>
    <x v="0"/>
    <s v="Software Development"/>
    <n v="5"/>
    <x v="2"/>
    <s v="Single"/>
    <x v="1"/>
    <s v="Family"/>
    <x v="1"/>
    <n v="2.68"/>
    <s v="No"/>
    <n v="2.89"/>
    <n v="23"/>
    <n v="15000"/>
    <x v="0"/>
    <x v="0"/>
    <n v="52"/>
  </r>
  <r>
    <x v="1"/>
    <x v="1"/>
    <n v="20"/>
    <n v="2019"/>
    <x v="0"/>
    <n v="2"/>
    <x v="1"/>
    <s v="No"/>
    <x v="0"/>
    <n v="2"/>
    <x v="1"/>
    <x v="0"/>
    <s v="No"/>
    <x v="2"/>
    <x v="0"/>
    <x v="4"/>
    <s v="No"/>
    <s v="No"/>
    <x v="0"/>
    <s v="Software Development"/>
    <n v="1"/>
    <x v="2"/>
    <s v="Single"/>
    <x v="1"/>
    <s v="Bachelor"/>
    <x v="1"/>
    <n v="3.84"/>
    <s v="No"/>
    <n v="3.84"/>
    <n v="11"/>
    <n v="30000"/>
    <x v="1"/>
    <x v="0"/>
    <n v="50"/>
  </r>
  <r>
    <x v="1"/>
    <x v="1"/>
    <n v="20"/>
    <n v="2016"/>
    <x v="0"/>
    <n v="3"/>
    <x v="0"/>
    <s v="No"/>
    <x v="2"/>
    <n v="1"/>
    <x v="0"/>
    <x v="0"/>
    <s v="No"/>
    <x v="3"/>
    <x v="2"/>
    <x v="11"/>
    <s v="No"/>
    <s v="No"/>
    <x v="0"/>
    <s v="Software Development"/>
    <n v="1"/>
    <x v="4"/>
    <s v="Single"/>
    <x v="0"/>
    <s v="Family"/>
    <x v="0"/>
    <n v="3.54"/>
    <s v="No"/>
    <n v="3.69"/>
    <n v="25"/>
    <n v="20000"/>
    <x v="1"/>
    <x v="0"/>
    <n v="39"/>
  </r>
  <r>
    <x v="1"/>
    <x v="0"/>
    <n v="21"/>
    <n v="2020"/>
    <x v="0"/>
    <n v="3"/>
    <x v="1"/>
    <s v="No"/>
    <x v="2"/>
    <n v="2"/>
    <x v="0"/>
    <x v="0"/>
    <s v="Yes"/>
    <x v="1"/>
    <x v="0"/>
    <x v="3"/>
    <s v="No"/>
    <s v="No"/>
    <x v="0"/>
    <s v="Software Development"/>
    <n v="2"/>
    <x v="2"/>
    <s v="Single"/>
    <x v="1"/>
    <s v="Bachelor"/>
    <x v="0"/>
    <n v="1.78"/>
    <s v="No"/>
    <n v="3.15"/>
    <n v="20"/>
    <n v="25000"/>
    <x v="0"/>
    <x v="0"/>
    <n v="47.2"/>
  </r>
  <r>
    <x v="1"/>
    <x v="0"/>
    <n v="19"/>
    <n v="2020"/>
    <x v="0"/>
    <n v="3"/>
    <x v="0"/>
    <s v="Yes"/>
    <x v="2"/>
    <n v="1"/>
    <x v="0"/>
    <x v="0"/>
    <s v="Yes"/>
    <x v="1"/>
    <x v="0"/>
    <x v="0"/>
    <s v="No"/>
    <s v="No"/>
    <x v="1"/>
    <s v="Software Development"/>
    <n v="1"/>
    <x v="4"/>
    <s v="Single"/>
    <x v="0"/>
    <s v="Family"/>
    <x v="1"/>
    <n v="2.3199999999999998"/>
    <s v="No"/>
    <n v="2.8"/>
    <n v="24"/>
    <n v="35000"/>
    <x v="0"/>
    <x v="0"/>
    <n v="45"/>
  </r>
  <r>
    <x v="3"/>
    <x v="0"/>
    <n v="20"/>
    <n v="2020"/>
    <x v="0"/>
    <n v="2"/>
    <x v="0"/>
    <s v="No"/>
    <x v="0"/>
    <n v="1"/>
    <x v="0"/>
    <x v="0"/>
    <s v="Yes"/>
    <x v="1"/>
    <x v="1"/>
    <x v="0"/>
    <s v="No"/>
    <s v="No"/>
    <x v="1"/>
    <s v="Software Development"/>
    <n v="2"/>
    <x v="2"/>
    <s v="Single"/>
    <x v="1"/>
    <s v="Bachelor"/>
    <x v="0"/>
    <n v="4"/>
    <s v="No"/>
    <n v="4"/>
    <n v="11"/>
    <n v="50000"/>
    <x v="1"/>
    <x v="0"/>
    <n v="51"/>
  </r>
  <r>
    <x v="3"/>
    <x v="0"/>
    <n v="22"/>
    <n v="2019"/>
    <x v="0"/>
    <n v="1"/>
    <x v="1"/>
    <s v="No"/>
    <x v="2"/>
    <n v="2"/>
    <x v="1"/>
    <x v="0"/>
    <s v="Yes"/>
    <x v="2"/>
    <x v="0"/>
    <x v="4"/>
    <s v="No"/>
    <s v="No"/>
    <x v="0"/>
    <s v="videography, video editing"/>
    <n v="2"/>
    <x v="2"/>
    <s v="Single"/>
    <x v="0"/>
    <s v="Family"/>
    <x v="1"/>
    <n v="0"/>
    <s v="No"/>
    <n v="0"/>
    <n v="0"/>
    <n v="62488"/>
    <x v="2"/>
    <x v="0"/>
    <n v="50"/>
  </r>
  <r>
    <x v="3"/>
    <x v="0"/>
    <n v="20"/>
    <n v="2020"/>
    <x v="0"/>
    <n v="2"/>
    <x v="1"/>
    <s v="No"/>
    <x v="3"/>
    <n v="2"/>
    <x v="0"/>
    <x v="0"/>
    <s v="Yes"/>
    <x v="3"/>
    <x v="1"/>
    <x v="0"/>
    <s v="No"/>
    <s v="No"/>
    <x v="0"/>
    <s v="Software Development"/>
    <n v="2"/>
    <x v="2"/>
    <s v="Single"/>
    <x v="1"/>
    <s v="Bachelor"/>
    <x v="0"/>
    <n v="3.8"/>
    <s v="No"/>
    <n v="3.8"/>
    <n v="12"/>
    <n v="20000"/>
    <x v="1"/>
    <x v="0"/>
    <n v="57"/>
  </r>
  <r>
    <x v="1"/>
    <x v="0"/>
    <n v="22"/>
    <n v="2019"/>
    <x v="0"/>
    <n v="5"/>
    <x v="1"/>
    <s v="Yes"/>
    <x v="9"/>
    <n v="0"/>
    <x v="1"/>
    <x v="0"/>
    <s v="Yes"/>
    <x v="1"/>
    <x v="1"/>
    <x v="5"/>
    <s v="No"/>
    <s v="No"/>
    <x v="1"/>
    <s v="Software Development"/>
    <n v="6"/>
    <x v="2"/>
    <s v="Single"/>
    <x v="1"/>
    <s v="Family"/>
    <x v="0"/>
    <n v="2.08"/>
    <s v="No"/>
    <n v="2.91"/>
    <n v="49"/>
    <n v="30000"/>
    <x v="0"/>
    <x v="0"/>
    <n v="58"/>
  </r>
  <r>
    <x v="3"/>
    <x v="0"/>
    <n v="20"/>
    <n v="2020"/>
    <x v="0"/>
    <n v="2"/>
    <x v="1"/>
    <s v="No"/>
    <x v="2"/>
    <n v="3"/>
    <x v="0"/>
    <x v="0"/>
    <s v="No"/>
    <x v="3"/>
    <x v="1"/>
    <x v="4"/>
    <s v="No"/>
    <s v="No"/>
    <x v="0"/>
    <s v="Software Development"/>
    <n v="2"/>
    <x v="2"/>
    <s v="Single"/>
    <x v="0"/>
    <s v="Bachelor"/>
    <x v="0"/>
    <n v="3.05"/>
    <s v="No"/>
    <n v="3.05"/>
    <n v="12"/>
    <n v="25000"/>
    <x v="0"/>
    <x v="0"/>
    <n v="50"/>
  </r>
  <r>
    <x v="3"/>
    <x v="0"/>
    <n v="21"/>
    <n v="2020"/>
    <x v="0"/>
    <n v="2"/>
    <x v="0"/>
    <s v="Yes"/>
    <x v="0"/>
    <n v="2"/>
    <x v="1"/>
    <x v="0"/>
    <s v="Yes"/>
    <x v="0"/>
    <x v="2"/>
    <x v="0"/>
    <s v="No"/>
    <s v="No"/>
    <x v="0"/>
    <s v="Software Development"/>
    <n v="0"/>
    <x v="2"/>
    <s v="Single"/>
    <x v="0"/>
    <s v="Family"/>
    <x v="0"/>
    <n v="3.45"/>
    <s v="No"/>
    <n v="3.45"/>
    <n v="12"/>
    <n v="30000"/>
    <x v="0"/>
    <x v="0"/>
    <n v="45"/>
  </r>
  <r>
    <x v="3"/>
    <x v="1"/>
    <n v="19"/>
    <n v="2020"/>
    <x v="0"/>
    <n v="1"/>
    <x v="1"/>
    <s v="Yes"/>
    <x v="1"/>
    <n v="2"/>
    <x v="0"/>
    <x v="0"/>
    <s v="No"/>
    <x v="1"/>
    <x v="1"/>
    <x v="8"/>
    <s v="No"/>
    <s v="No"/>
    <x v="1"/>
    <s v="No skills"/>
    <n v="2"/>
    <x v="2"/>
    <s v="Single"/>
    <x v="1"/>
    <s v="Family"/>
    <x v="0"/>
    <n v="0"/>
    <s v="No"/>
    <n v="0"/>
    <n v="0"/>
    <n v="20000"/>
    <x v="2"/>
    <x v="0"/>
    <n v="48.2"/>
  </r>
  <r>
    <x v="3"/>
    <x v="0"/>
    <n v="20"/>
    <n v="2020"/>
    <x v="0"/>
    <n v="1"/>
    <x v="0"/>
    <s v="Yes"/>
    <x v="5"/>
    <n v="2"/>
    <x v="0"/>
    <x v="0"/>
    <s v="Yes"/>
    <x v="1"/>
    <x v="1"/>
    <x v="1"/>
    <s v="Yes"/>
    <s v="Yes"/>
    <x v="0"/>
    <s v="Software Development"/>
    <n v="2"/>
    <x v="2"/>
    <s v="Single"/>
    <x v="1"/>
    <s v="Bachelor"/>
    <x v="0"/>
    <n v="2.73"/>
    <s v="No"/>
    <n v="2.73"/>
    <n v="12"/>
    <n v="20000"/>
    <x v="0"/>
    <x v="0"/>
    <n v="56.400000000000006"/>
  </r>
  <r>
    <x v="0"/>
    <x v="0"/>
    <n v="22"/>
    <n v="2018"/>
    <x v="0"/>
    <n v="11"/>
    <x v="1"/>
    <s v="No"/>
    <x v="1"/>
    <n v="1"/>
    <x v="0"/>
    <x v="0"/>
    <s v="Yes"/>
    <x v="2"/>
    <x v="0"/>
    <x v="2"/>
    <s v="No"/>
    <s v="No"/>
    <x v="0"/>
    <s v="Software Development"/>
    <n v="3"/>
    <x v="2"/>
    <s v="Single"/>
    <x v="0"/>
    <s v="Bachelor"/>
    <x v="0"/>
    <n v="3.2"/>
    <s v="No"/>
    <n v="3.29"/>
    <n v="132"/>
    <n v="40000"/>
    <x v="0"/>
    <x v="0"/>
    <n v="44"/>
  </r>
  <r>
    <x v="4"/>
    <x v="1"/>
    <n v="20"/>
    <n v="2019"/>
    <x v="0"/>
    <n v="8"/>
    <x v="0"/>
    <s v="No"/>
    <x v="4"/>
    <n v="2"/>
    <x v="0"/>
    <x v="0"/>
    <s v="Yes"/>
    <x v="2"/>
    <x v="0"/>
    <x v="5"/>
    <s v="No"/>
    <s v="No"/>
    <x v="0"/>
    <s v="Software Development"/>
    <n v="2"/>
    <x v="2"/>
    <s v="Single"/>
    <x v="0"/>
    <s v="Family"/>
    <x v="0"/>
    <n v="3.96"/>
    <s v="No"/>
    <n v="3.94"/>
    <n v="85"/>
    <n v="100000"/>
    <x v="1"/>
    <x v="0"/>
    <n v="64"/>
  </r>
  <r>
    <x v="2"/>
    <x v="0"/>
    <n v="22"/>
    <n v="2019"/>
    <x v="0"/>
    <n v="7"/>
    <x v="0"/>
    <s v="Yes"/>
    <x v="9"/>
    <n v="2"/>
    <x v="0"/>
    <x v="0"/>
    <s v="Yes"/>
    <x v="5"/>
    <x v="0"/>
    <x v="23"/>
    <s v="No"/>
    <s v="No"/>
    <x v="1"/>
    <s v="Nothing properly"/>
    <n v="0"/>
    <x v="2"/>
    <s v="Single"/>
    <x v="1"/>
    <s v="Family"/>
    <x v="0"/>
    <n v="3.56"/>
    <s v="No"/>
    <n v="3.69"/>
    <n v="87"/>
    <n v="40000"/>
    <x v="1"/>
    <x v="1"/>
    <n v="24"/>
  </r>
  <r>
    <x v="3"/>
    <x v="0"/>
    <n v="23"/>
    <n v="2019"/>
    <x v="0"/>
    <n v="1"/>
    <x v="0"/>
    <s v="Yes"/>
    <x v="2"/>
    <n v="1"/>
    <x v="0"/>
    <x v="0"/>
    <s v="Yes"/>
    <x v="7"/>
    <x v="1"/>
    <x v="5"/>
    <s v="No"/>
    <s v="No"/>
    <x v="1"/>
    <s v="Networking"/>
    <n v="1"/>
    <x v="2"/>
    <s v="Single"/>
    <x v="1"/>
    <s v="Family"/>
    <x v="0"/>
    <n v="0"/>
    <s v="No"/>
    <n v="0"/>
    <n v="0"/>
    <n v="40000"/>
    <x v="2"/>
    <x v="0"/>
    <n v="49"/>
  </r>
  <r>
    <x v="3"/>
    <x v="1"/>
    <n v="19"/>
    <n v="2020"/>
    <x v="0"/>
    <n v="2"/>
    <x v="0"/>
    <s v="Yes"/>
    <x v="2"/>
    <n v="1"/>
    <x v="0"/>
    <x v="0"/>
    <s v="Yes"/>
    <x v="3"/>
    <x v="1"/>
    <x v="5"/>
    <s v="No"/>
    <s v="No"/>
    <x v="1"/>
    <s v="Software Development"/>
    <n v="1"/>
    <x v="2"/>
    <s v="Single"/>
    <x v="0"/>
    <s v="Family"/>
    <x v="0"/>
    <n v="3.89"/>
    <s v="No"/>
    <n v="3.89"/>
    <n v="11"/>
    <n v="70000"/>
    <x v="1"/>
    <x v="0"/>
    <n v="49"/>
  </r>
  <r>
    <x v="3"/>
    <x v="1"/>
    <n v="20"/>
    <n v="2020"/>
    <x v="0"/>
    <n v="1"/>
    <x v="0"/>
    <s v="Yes"/>
    <x v="2"/>
    <n v="1"/>
    <x v="0"/>
    <x v="0"/>
    <s v="No"/>
    <x v="6"/>
    <x v="0"/>
    <x v="5"/>
    <s v="No"/>
    <s v="No"/>
    <x v="0"/>
    <s v="Networking"/>
    <n v="1"/>
    <x v="2"/>
    <s v="Single"/>
    <x v="0"/>
    <s v="Family"/>
    <x v="0"/>
    <n v="0"/>
    <s v="No"/>
    <n v="0"/>
    <n v="0"/>
    <n v="15000"/>
    <x v="2"/>
    <x v="0"/>
    <n v="49"/>
  </r>
  <r>
    <x v="1"/>
    <x v="1"/>
    <n v="26"/>
    <n v="2014"/>
    <x v="0"/>
    <n v="3"/>
    <x v="0"/>
    <s v="No"/>
    <x v="5"/>
    <n v="3"/>
    <x v="0"/>
    <x v="0"/>
    <s v="Yes"/>
    <x v="1"/>
    <x v="1"/>
    <x v="14"/>
    <s v="No"/>
    <s v="No"/>
    <x v="1"/>
    <s v="Software Development"/>
    <n v="1"/>
    <x v="2"/>
    <s v="Married"/>
    <x v="1"/>
    <s v="Family"/>
    <x v="0"/>
    <n v="3.89"/>
    <s v="No"/>
    <n v="3.36"/>
    <n v="23"/>
    <n v="80000"/>
    <x v="0"/>
    <x v="0"/>
    <n v="35"/>
  </r>
  <r>
    <x v="3"/>
    <x v="0"/>
    <n v="20"/>
    <n v="2020"/>
    <x v="0"/>
    <n v="2"/>
    <x v="0"/>
    <s v="Yes"/>
    <x v="0"/>
    <n v="1"/>
    <x v="0"/>
    <x v="0"/>
    <s v="Yes"/>
    <x v="2"/>
    <x v="1"/>
    <x v="25"/>
    <s v="No"/>
    <s v="No"/>
    <x v="1"/>
    <s v="Software Development"/>
    <n v="1"/>
    <x v="10"/>
    <s v="Single"/>
    <x v="1"/>
    <s v="Family"/>
    <x v="0"/>
    <n v="3.68"/>
    <s v="No"/>
    <n v="3.68"/>
    <n v="14"/>
    <n v="24000"/>
    <x v="1"/>
    <x v="0"/>
    <n v="16"/>
  </r>
  <r>
    <x v="3"/>
    <x v="0"/>
    <n v="19"/>
    <n v="2020"/>
    <x v="0"/>
    <n v="1"/>
    <x v="0"/>
    <s v="Yes"/>
    <x v="1"/>
    <n v="2"/>
    <x v="1"/>
    <x v="0"/>
    <s v="Yes"/>
    <x v="1"/>
    <x v="0"/>
    <x v="5"/>
    <s v="No"/>
    <s v="No"/>
    <x v="0"/>
    <s v="None"/>
    <n v="2"/>
    <x v="2"/>
    <s v="Single"/>
    <x v="1"/>
    <s v="Family"/>
    <x v="0"/>
    <n v="0"/>
    <s v="No"/>
    <n v="0"/>
    <n v="0"/>
    <n v="20000"/>
    <x v="2"/>
    <x v="0"/>
    <n v="49"/>
  </r>
  <r>
    <x v="3"/>
    <x v="0"/>
    <n v="19"/>
    <n v="2020"/>
    <x v="0"/>
    <n v="2"/>
    <x v="0"/>
    <s v="Yes"/>
    <x v="3"/>
    <n v="2"/>
    <x v="0"/>
    <x v="0"/>
    <s v="Yes"/>
    <x v="2"/>
    <x v="0"/>
    <x v="8"/>
    <s v="Yes"/>
    <s v="No"/>
    <x v="0"/>
    <s v="Software Development"/>
    <n v="2"/>
    <x v="2"/>
    <s v="Single"/>
    <x v="0"/>
    <s v="Family"/>
    <x v="0"/>
    <n v="2.93"/>
    <s v="No"/>
    <n v="2.93"/>
    <n v="11"/>
    <n v="35000"/>
    <x v="0"/>
    <x v="0"/>
    <n v="60.2"/>
  </r>
  <r>
    <x v="3"/>
    <x v="0"/>
    <n v="20"/>
    <n v="2020"/>
    <x v="0"/>
    <n v="2"/>
    <x v="0"/>
    <s v="No"/>
    <x v="5"/>
    <n v="3"/>
    <x v="1"/>
    <x v="0"/>
    <s v="Yes"/>
    <x v="2"/>
    <x v="1"/>
    <x v="5"/>
    <s v="No"/>
    <s v="No"/>
    <x v="1"/>
    <s v="Software Development"/>
    <n v="2"/>
    <x v="2"/>
    <s v="Single"/>
    <x v="1"/>
    <s v="Family"/>
    <x v="0"/>
    <n v="3.81"/>
    <s v="No"/>
    <n v="3.81"/>
    <n v="12"/>
    <n v="50000"/>
    <x v="1"/>
    <x v="0"/>
    <n v="58"/>
  </r>
  <r>
    <x v="1"/>
    <x v="1"/>
    <n v="19"/>
    <n v="2020"/>
    <x v="0"/>
    <n v="2"/>
    <x v="1"/>
    <s v="Yes"/>
    <x v="0"/>
    <n v="2"/>
    <x v="0"/>
    <x v="0"/>
    <s v="No"/>
    <x v="2"/>
    <x v="0"/>
    <x v="8"/>
    <s v="No"/>
    <s v="No"/>
    <x v="1"/>
    <s v="Software Development"/>
    <n v="1"/>
    <x v="2"/>
    <s v="Single"/>
    <x v="1"/>
    <s v="Family"/>
    <x v="1"/>
    <n v="3.37"/>
    <s v="Yes"/>
    <n v="3.37"/>
    <n v="11"/>
    <n v="25000"/>
    <x v="0"/>
    <x v="0"/>
    <n v="51.2"/>
  </r>
  <r>
    <x v="3"/>
    <x v="0"/>
    <n v="19"/>
    <n v="2020"/>
    <x v="0"/>
    <n v="2"/>
    <x v="0"/>
    <s v="No"/>
    <x v="0"/>
    <n v="1"/>
    <x v="0"/>
    <x v="0"/>
    <s v="Yes"/>
    <x v="1"/>
    <x v="0"/>
    <x v="5"/>
    <s v="Yes"/>
    <s v="No"/>
    <x v="0"/>
    <s v="Software Development"/>
    <n v="1"/>
    <x v="11"/>
    <s v="Married"/>
    <x v="1"/>
    <s v="Family"/>
    <x v="0"/>
    <n v="3.25"/>
    <s v="No"/>
    <n v="3.25"/>
    <n v="10"/>
    <n v="62488"/>
    <x v="0"/>
    <x v="0"/>
    <n v="52"/>
  </r>
  <r>
    <x v="3"/>
    <x v="0"/>
    <n v="20"/>
    <n v="2020"/>
    <x v="0"/>
    <n v="2"/>
    <x v="0"/>
    <s v="No"/>
    <x v="0"/>
    <n v="2"/>
    <x v="1"/>
    <x v="0"/>
    <s v="Yes"/>
    <x v="1"/>
    <x v="1"/>
    <x v="9"/>
    <s v="No"/>
    <s v="No"/>
    <x v="1"/>
    <s v="Software Development"/>
    <n v="2"/>
    <x v="3"/>
    <s v="Single"/>
    <x v="1"/>
    <s v="Family"/>
    <x v="0"/>
    <n v="2.89"/>
    <s v="No"/>
    <n v="2.89"/>
    <n v="11"/>
    <n v="30000"/>
    <x v="0"/>
    <x v="0"/>
    <n v="49"/>
  </r>
  <r>
    <x v="3"/>
    <x v="0"/>
    <n v="22"/>
    <n v="2019"/>
    <x v="0"/>
    <n v="2"/>
    <x v="1"/>
    <s v="No"/>
    <x v="2"/>
    <n v="1"/>
    <x v="0"/>
    <x v="0"/>
    <s v="Yes"/>
    <x v="1"/>
    <x v="1"/>
    <x v="4"/>
    <s v="Yes"/>
    <s v="No"/>
    <x v="1"/>
    <s v="Software Development"/>
    <n v="1"/>
    <x v="2"/>
    <s v="Engaged"/>
    <x v="0"/>
    <s v="Bachelor"/>
    <x v="1"/>
    <n v="1.45"/>
    <s v="No"/>
    <n v="1.45"/>
    <n v="11"/>
    <n v="40000"/>
    <x v="2"/>
    <x v="0"/>
    <n v="47"/>
  </r>
  <r>
    <x v="3"/>
    <x v="0"/>
    <n v="20"/>
    <n v="2020"/>
    <x v="0"/>
    <n v="2"/>
    <x v="1"/>
    <s v="Yes"/>
    <x v="2"/>
    <n v="2"/>
    <x v="0"/>
    <x v="0"/>
    <s v="No"/>
    <x v="4"/>
    <x v="0"/>
    <x v="8"/>
    <s v="No"/>
    <s v="No"/>
    <x v="0"/>
    <s v="No skill"/>
    <n v="2"/>
    <x v="2"/>
    <s v="Single"/>
    <x v="1"/>
    <s v="Family"/>
    <x v="0"/>
    <n v="3.73"/>
    <s v="No"/>
    <n v="3.73"/>
    <n v="11"/>
    <n v="35000"/>
    <x v="1"/>
    <x v="0"/>
    <n v="51.2"/>
  </r>
  <r>
    <x v="3"/>
    <x v="0"/>
    <n v="20"/>
    <n v="2020"/>
    <x v="0"/>
    <n v="2"/>
    <x v="0"/>
    <s v="No"/>
    <x v="2"/>
    <n v="2"/>
    <x v="0"/>
    <x v="0"/>
    <s v="Yes"/>
    <x v="3"/>
    <x v="0"/>
    <x v="13"/>
    <s v="No"/>
    <s v="No"/>
    <x v="1"/>
    <s v="Software Development"/>
    <n v="4"/>
    <x v="2"/>
    <s v="Single"/>
    <x v="1"/>
    <s v="Bachelor"/>
    <x v="0"/>
    <n v="3.18"/>
    <s v="No"/>
    <n v="3.18"/>
    <n v="11"/>
    <n v="25000"/>
    <x v="0"/>
    <x v="0"/>
    <n v="54.800000000000004"/>
  </r>
  <r>
    <x v="0"/>
    <x v="1"/>
    <n v="22"/>
    <n v="2017"/>
    <x v="0"/>
    <n v="12"/>
    <x v="1"/>
    <s v="Yes"/>
    <x v="3"/>
    <n v="2"/>
    <x v="0"/>
    <x v="0"/>
    <s v="Yes"/>
    <x v="4"/>
    <x v="0"/>
    <x v="10"/>
    <s v="No"/>
    <s v="No"/>
    <x v="1"/>
    <s v="Software Development"/>
    <n v="1"/>
    <x v="2"/>
    <s v="Single"/>
    <x v="0"/>
    <s v="Family"/>
    <x v="0"/>
    <n v="3.5"/>
    <s v="No"/>
    <n v="3.7"/>
    <n v="100"/>
    <n v="30000"/>
    <x v="1"/>
    <x v="0"/>
    <n v="57.6"/>
  </r>
  <r>
    <x v="3"/>
    <x v="0"/>
    <n v="19"/>
    <n v="2020"/>
    <x v="0"/>
    <n v="2"/>
    <x v="0"/>
    <s v="No"/>
    <x v="1"/>
    <n v="1"/>
    <x v="1"/>
    <x v="0"/>
    <s v="Yes"/>
    <x v="2"/>
    <x v="1"/>
    <x v="0"/>
    <s v="Yes"/>
    <s v="No"/>
    <x v="1"/>
    <s v="Software Development"/>
    <n v="1"/>
    <x v="2"/>
    <s v="Single"/>
    <x v="1"/>
    <s v="Bachelor"/>
    <x v="1"/>
    <n v="2.9"/>
    <s v="No"/>
    <n v="2.9"/>
    <n v="11"/>
    <n v="60000"/>
    <x v="0"/>
    <x v="0"/>
    <n v="42"/>
  </r>
  <r>
    <x v="3"/>
    <x v="0"/>
    <n v="18"/>
    <n v="2020"/>
    <x v="0"/>
    <n v="2"/>
    <x v="0"/>
    <s v="No"/>
    <x v="4"/>
    <n v="3"/>
    <x v="0"/>
    <x v="0"/>
    <s v="Yes"/>
    <x v="2"/>
    <x v="1"/>
    <x v="4"/>
    <s v="No"/>
    <s v="No"/>
    <x v="0"/>
    <s v="Software Development"/>
    <n v="2"/>
    <x v="2"/>
    <s v="Single"/>
    <x v="1"/>
    <s v="Family"/>
    <x v="0"/>
    <n v="3.48"/>
    <s v="No"/>
    <n v="3.48"/>
    <n v="12"/>
    <n v="25000"/>
    <x v="0"/>
    <x v="0"/>
    <n v="62"/>
  </r>
  <r>
    <x v="3"/>
    <x v="0"/>
    <n v="20"/>
    <n v="2020"/>
    <x v="0"/>
    <n v="2"/>
    <x v="0"/>
    <s v="No"/>
    <x v="0"/>
    <n v="2"/>
    <x v="0"/>
    <x v="0"/>
    <s v="Yes"/>
    <x v="4"/>
    <x v="1"/>
    <x v="4"/>
    <s v="Yes"/>
    <s v="No"/>
    <x v="1"/>
    <s v="Software Development"/>
    <n v="3"/>
    <x v="7"/>
    <s v="Single"/>
    <x v="1"/>
    <s v="Family"/>
    <x v="0"/>
    <n v="3.6"/>
    <s v="No"/>
    <n v="3.6"/>
    <n v="11"/>
    <n v="25000"/>
    <x v="1"/>
    <x v="0"/>
    <n v="56"/>
  </r>
  <r>
    <x v="1"/>
    <x v="0"/>
    <n v="21"/>
    <n v="2019"/>
    <x v="0"/>
    <n v="2"/>
    <x v="1"/>
    <s v="No"/>
    <x v="2"/>
    <n v="3"/>
    <x v="1"/>
    <x v="0"/>
    <s v="Yes"/>
    <x v="2"/>
    <x v="1"/>
    <x v="0"/>
    <s v="No"/>
    <s v="No"/>
    <x v="0"/>
    <s v="Software Development"/>
    <n v="4"/>
    <x v="2"/>
    <s v="Single"/>
    <x v="1"/>
    <s v="Bachelor"/>
    <x v="0"/>
    <n v="3.13"/>
    <s v="No"/>
    <n v="3.17"/>
    <n v="11"/>
    <n v="40000"/>
    <x v="0"/>
    <x v="0"/>
    <n v="54"/>
  </r>
  <r>
    <x v="1"/>
    <x v="0"/>
    <n v="21"/>
    <n v="2019"/>
    <x v="0"/>
    <n v="2"/>
    <x v="0"/>
    <s v="No"/>
    <x v="0"/>
    <n v="2"/>
    <x v="1"/>
    <x v="0"/>
    <s v="Yes"/>
    <x v="2"/>
    <x v="1"/>
    <x v="0"/>
    <s v="Yes"/>
    <s v="No"/>
    <x v="0"/>
    <s v="Software Development"/>
    <n v="2"/>
    <x v="2"/>
    <s v="Single"/>
    <x v="1"/>
    <s v="Bachelor"/>
    <x v="0"/>
    <n v="1.42"/>
    <s v="No"/>
    <n v="1.42"/>
    <n v="5"/>
    <n v="50000"/>
    <x v="2"/>
    <x v="0"/>
    <n v="51"/>
  </r>
  <r>
    <x v="3"/>
    <x v="0"/>
    <n v="19"/>
    <n v="2020"/>
    <x v="0"/>
    <n v="2"/>
    <x v="0"/>
    <s v="Yes"/>
    <x v="2"/>
    <n v="1"/>
    <x v="0"/>
    <x v="0"/>
    <s v="Yes"/>
    <x v="3"/>
    <x v="0"/>
    <x v="3"/>
    <s v="No"/>
    <s v="No"/>
    <x v="0"/>
    <s v="Software Development"/>
    <n v="2"/>
    <x v="2"/>
    <s v="Single"/>
    <x v="1"/>
    <s v="Family"/>
    <x v="0"/>
    <n v="3.13"/>
    <s v="No"/>
    <n v="3.13"/>
    <n v="11"/>
    <n v="40000"/>
    <x v="0"/>
    <x v="0"/>
    <n v="47.2"/>
  </r>
  <r>
    <x v="3"/>
    <x v="0"/>
    <n v="20"/>
    <n v="2020"/>
    <x v="0"/>
    <n v="2"/>
    <x v="0"/>
    <s v="No"/>
    <x v="0"/>
    <n v="2"/>
    <x v="1"/>
    <x v="0"/>
    <s v="Yes"/>
    <x v="2"/>
    <x v="0"/>
    <x v="5"/>
    <s v="No"/>
    <s v="No"/>
    <x v="0"/>
    <s v="Software Development"/>
    <n v="1"/>
    <x v="2"/>
    <s v="Single"/>
    <x v="1"/>
    <s v="Bachelor"/>
    <x v="0"/>
    <n v="3.85"/>
    <s v="No"/>
    <n v="3.85"/>
    <n v="12"/>
    <n v="30000"/>
    <x v="1"/>
    <x v="0"/>
    <n v="52"/>
  </r>
  <r>
    <x v="3"/>
    <x v="0"/>
    <n v="21"/>
    <n v="2020"/>
    <x v="0"/>
    <n v="2"/>
    <x v="0"/>
    <s v="Yes"/>
    <x v="5"/>
    <n v="2"/>
    <x v="1"/>
    <x v="0"/>
    <s v="Yes"/>
    <x v="3"/>
    <x v="0"/>
    <x v="5"/>
    <s v="No"/>
    <s v="No"/>
    <x v="0"/>
    <s v="Software Development"/>
    <n v="1"/>
    <x v="2"/>
    <s v="Single"/>
    <x v="0"/>
    <s v="Family"/>
    <x v="1"/>
    <n v="3.6"/>
    <s v="No"/>
    <n v="3.6"/>
    <n v="11"/>
    <n v="35000"/>
    <x v="1"/>
    <x v="0"/>
    <n v="55"/>
  </r>
  <r>
    <x v="3"/>
    <x v="1"/>
    <n v="18"/>
    <n v="2020"/>
    <x v="0"/>
    <n v="2"/>
    <x v="0"/>
    <s v="No"/>
    <x v="2"/>
    <n v="2"/>
    <x v="1"/>
    <x v="0"/>
    <s v="Yes"/>
    <x v="3"/>
    <x v="0"/>
    <x v="5"/>
    <s v="No"/>
    <s v="No"/>
    <x v="0"/>
    <s v="Software Development"/>
    <n v="1"/>
    <x v="2"/>
    <s v="Single"/>
    <x v="0"/>
    <s v="Family"/>
    <x v="0"/>
    <n v="3.54"/>
    <s v="No"/>
    <n v="3.54"/>
    <n v="11"/>
    <n v="14000"/>
    <x v="1"/>
    <x v="0"/>
    <n v="49"/>
  </r>
  <r>
    <x v="3"/>
    <x v="0"/>
    <n v="20"/>
    <n v="2020"/>
    <x v="0"/>
    <n v="2"/>
    <x v="0"/>
    <s v="No"/>
    <x v="1"/>
    <n v="1"/>
    <x v="0"/>
    <x v="0"/>
    <s v="Yes"/>
    <x v="4"/>
    <x v="1"/>
    <x v="3"/>
    <s v="No"/>
    <s v="No"/>
    <x v="1"/>
    <s v="Software Development"/>
    <n v="3"/>
    <x v="2"/>
    <s v="Single"/>
    <x v="1"/>
    <s v="Bachelor"/>
    <x v="0"/>
    <n v="3.54"/>
    <s v="No"/>
    <n v="3.55"/>
    <n v="11"/>
    <n v="62488"/>
    <x v="1"/>
    <x v="0"/>
    <n v="47.2"/>
  </r>
  <r>
    <x v="3"/>
    <x v="0"/>
    <n v="19"/>
    <n v="2020"/>
    <x v="0"/>
    <n v="2"/>
    <x v="1"/>
    <s v="No"/>
    <x v="0"/>
    <n v="2"/>
    <x v="1"/>
    <x v="0"/>
    <s v="Yes"/>
    <x v="4"/>
    <x v="0"/>
    <x v="4"/>
    <s v="Yes"/>
    <s v="No"/>
    <x v="1"/>
    <s v="Software Development"/>
    <n v="6"/>
    <x v="2"/>
    <s v="Single"/>
    <x v="1"/>
    <s v="Bachelor"/>
    <x v="0"/>
    <n v="2.1"/>
    <s v="No"/>
    <n v="2.1"/>
    <n v="12"/>
    <n v="10000"/>
    <x v="2"/>
    <x v="0"/>
    <n v="65"/>
  </r>
  <r>
    <x v="3"/>
    <x v="0"/>
    <n v="20"/>
    <n v="2020"/>
    <x v="0"/>
    <n v="2"/>
    <x v="0"/>
    <s v="No"/>
    <x v="0"/>
    <n v="2"/>
    <x v="0"/>
    <x v="0"/>
    <s v="Yes"/>
    <x v="0"/>
    <x v="1"/>
    <x v="0"/>
    <s v="No"/>
    <s v="No"/>
    <x v="0"/>
    <s v="Software Development"/>
    <n v="1"/>
    <x v="2"/>
    <s v="Single"/>
    <x v="0"/>
    <s v="Bachelor"/>
    <x v="0"/>
    <n v="2.5"/>
    <s v="No"/>
    <n v="2.5"/>
    <n v="12"/>
    <n v="25000"/>
    <x v="0"/>
    <x v="0"/>
    <n v="48"/>
  </r>
  <r>
    <x v="4"/>
    <x v="0"/>
    <n v="24"/>
    <n v="2017"/>
    <x v="0"/>
    <n v="11"/>
    <x v="0"/>
    <s v="No"/>
    <x v="7"/>
    <n v="1"/>
    <x v="0"/>
    <x v="0"/>
    <s v="Yes"/>
    <x v="3"/>
    <x v="0"/>
    <x v="0"/>
    <s v="No"/>
    <s v="No"/>
    <x v="1"/>
    <s v="Software Development"/>
    <n v="5"/>
    <x v="2"/>
    <s v="Relationship"/>
    <x v="0"/>
    <s v="Bachelor"/>
    <x v="0"/>
    <n v="3.31"/>
    <s v="No"/>
    <n v="3.76"/>
    <n v="139"/>
    <n v="30000"/>
    <x v="1"/>
    <x v="0"/>
    <n v="72"/>
  </r>
  <r>
    <x v="3"/>
    <x v="0"/>
    <n v="21"/>
    <n v="2020"/>
    <x v="0"/>
    <n v="2"/>
    <x v="1"/>
    <s v="No"/>
    <x v="1"/>
    <n v="2"/>
    <x v="1"/>
    <x v="0"/>
    <s v="Yes"/>
    <x v="4"/>
    <x v="2"/>
    <x v="9"/>
    <s v="No"/>
    <s v="No"/>
    <x v="0"/>
    <s v="Cyber security"/>
    <n v="0"/>
    <x v="2"/>
    <s v="Single"/>
    <x v="1"/>
    <s v="Bachelor"/>
    <x v="0"/>
    <n v="3.75"/>
    <s v="No"/>
    <n v="3.75"/>
    <n v="12"/>
    <n v="50000"/>
    <x v="1"/>
    <x v="0"/>
    <n v="37"/>
  </r>
  <r>
    <x v="1"/>
    <x v="0"/>
    <n v="21"/>
    <n v="2020"/>
    <x v="0"/>
    <n v="2"/>
    <x v="0"/>
    <s v="No"/>
    <x v="4"/>
    <n v="3"/>
    <x v="1"/>
    <x v="0"/>
    <s v="Yes"/>
    <x v="2"/>
    <x v="0"/>
    <x v="8"/>
    <s v="No"/>
    <s v="No"/>
    <x v="0"/>
    <s v="Software Development"/>
    <n v="3"/>
    <x v="2"/>
    <s v="Single"/>
    <x v="1"/>
    <s v="Bachelor"/>
    <x v="1"/>
    <n v="3.7"/>
    <s v="No"/>
    <n v="3.7"/>
    <n v="13"/>
    <n v="25000"/>
    <x v="1"/>
    <x v="0"/>
    <n v="66.2"/>
  </r>
  <r>
    <x v="1"/>
    <x v="0"/>
    <n v="21"/>
    <n v="2020"/>
    <x v="0"/>
    <n v="2"/>
    <x v="1"/>
    <s v="No"/>
    <x v="0"/>
    <n v="3"/>
    <x v="1"/>
    <x v="0"/>
    <s v="Yes"/>
    <x v="3"/>
    <x v="0"/>
    <x v="6"/>
    <s v="No"/>
    <s v="No"/>
    <x v="0"/>
    <s v="Software Development"/>
    <n v="3"/>
    <x v="5"/>
    <s v="Single"/>
    <x v="1"/>
    <s v="Bachelor"/>
    <x v="1"/>
    <n v="3.5"/>
    <s v="No"/>
    <n v="3.5"/>
    <n v="13"/>
    <n v="33000"/>
    <x v="1"/>
    <x v="0"/>
    <n v="56.800000000000004"/>
  </r>
  <r>
    <x v="2"/>
    <x v="1"/>
    <n v="20"/>
    <n v="2019"/>
    <x v="0"/>
    <n v="2"/>
    <x v="0"/>
    <s v="Yes"/>
    <x v="0"/>
    <n v="2"/>
    <x v="0"/>
    <x v="0"/>
    <s v="Yes"/>
    <x v="4"/>
    <x v="1"/>
    <x v="0"/>
    <s v="Yes"/>
    <s v="No"/>
    <x v="1"/>
    <s v="Software Development"/>
    <n v="2"/>
    <x v="6"/>
    <s v="Single"/>
    <x v="1"/>
    <s v="Family"/>
    <x v="0"/>
    <n v="3.7"/>
    <s v="No"/>
    <n v="3.7"/>
    <n v="11"/>
    <n v="60000"/>
    <x v="1"/>
    <x v="0"/>
    <n v="51"/>
  </r>
  <r>
    <x v="3"/>
    <x v="0"/>
    <n v="20"/>
    <n v="2020"/>
    <x v="0"/>
    <n v="2"/>
    <x v="0"/>
    <s v="No"/>
    <x v="0"/>
    <n v="1"/>
    <x v="0"/>
    <x v="0"/>
    <s v="Yes"/>
    <x v="1"/>
    <x v="1"/>
    <x v="7"/>
    <s v="Yes"/>
    <s v="Yes"/>
    <x v="0"/>
    <s v="Software Development"/>
    <n v="2"/>
    <x v="2"/>
    <s v="Single"/>
    <x v="1"/>
    <s v="Bachelor"/>
    <x v="0"/>
    <n v="3.24"/>
    <s v="No"/>
    <n v="3.24"/>
    <n v="11"/>
    <n v="40000"/>
    <x v="0"/>
    <x v="0"/>
    <n v="43"/>
  </r>
  <r>
    <x v="4"/>
    <x v="1"/>
    <n v="22"/>
    <n v="2018"/>
    <x v="0"/>
    <n v="11"/>
    <x v="1"/>
    <s v="Yes"/>
    <x v="2"/>
    <n v="1"/>
    <x v="0"/>
    <x v="0"/>
    <s v="Yes"/>
    <x v="2"/>
    <x v="0"/>
    <x v="10"/>
    <s v="Yes"/>
    <s v="No"/>
    <x v="1"/>
    <s v="Software Development"/>
    <n v="1"/>
    <x v="2"/>
    <s v="Single"/>
    <x v="1"/>
    <s v="Family"/>
    <x v="0"/>
    <n v="2.2999999999999998"/>
    <s v="No"/>
    <n v="2.8"/>
    <n v="113"/>
    <n v="60000"/>
    <x v="0"/>
    <x v="0"/>
    <n v="48.6"/>
  </r>
  <r>
    <x v="4"/>
    <x v="1"/>
    <n v="22"/>
    <n v="2018"/>
    <x v="0"/>
    <n v="12"/>
    <x v="1"/>
    <s v="No"/>
    <x v="2"/>
    <n v="1"/>
    <x v="0"/>
    <x v="0"/>
    <s v="No"/>
    <x v="1"/>
    <x v="0"/>
    <x v="7"/>
    <s v="No"/>
    <s v="No"/>
    <x v="1"/>
    <s v="Software Development"/>
    <n v="2"/>
    <x v="5"/>
    <s v="Engaged"/>
    <x v="1"/>
    <s v="Family"/>
    <x v="0"/>
    <n v="3.87"/>
    <s v="No"/>
    <n v="3.6"/>
    <n v="141"/>
    <n v="70000"/>
    <x v="1"/>
    <x v="0"/>
    <n v="40"/>
  </r>
  <r>
    <x v="2"/>
    <x v="0"/>
    <n v="22"/>
    <n v="2020"/>
    <x v="0"/>
    <n v="3"/>
    <x v="0"/>
    <s v="Yes"/>
    <x v="0"/>
    <n v="2"/>
    <x v="0"/>
    <x v="0"/>
    <s v="Yes"/>
    <x v="4"/>
    <x v="0"/>
    <x v="26"/>
    <s v="No"/>
    <s v="No"/>
    <x v="0"/>
    <s v="Software Development"/>
    <n v="1"/>
    <x v="3"/>
    <s v="Single"/>
    <x v="0"/>
    <s v="Family"/>
    <x v="0"/>
    <n v="3.24"/>
    <s v="Yes"/>
    <n v="3.5"/>
    <n v="27"/>
    <n v="25000"/>
    <x v="1"/>
    <x v="0"/>
    <n v="26.8"/>
  </r>
  <r>
    <x v="1"/>
    <x v="0"/>
    <n v="19"/>
    <n v="2020"/>
    <x v="0"/>
    <n v="2"/>
    <x v="1"/>
    <s v="No"/>
    <x v="0"/>
    <n v="2"/>
    <x v="0"/>
    <x v="0"/>
    <s v="No"/>
    <x v="1"/>
    <x v="1"/>
    <x v="9"/>
    <s v="No"/>
    <s v="No"/>
    <x v="1"/>
    <s v="Software Development"/>
    <n v="2"/>
    <x v="2"/>
    <s v="Single"/>
    <x v="1"/>
    <s v="Family"/>
    <x v="0"/>
    <n v="3.65"/>
    <s v="No"/>
    <n v="3.65"/>
    <n v="11"/>
    <n v="62488"/>
    <x v="1"/>
    <x v="0"/>
    <n v="49"/>
  </r>
  <r>
    <x v="1"/>
    <x v="0"/>
    <n v="21"/>
    <n v="2019"/>
    <x v="0"/>
    <n v="3"/>
    <x v="0"/>
    <s v="No"/>
    <x v="5"/>
    <n v="2"/>
    <x v="0"/>
    <x v="0"/>
    <s v="Yes"/>
    <x v="1"/>
    <x v="0"/>
    <x v="2"/>
    <s v="No"/>
    <s v="No"/>
    <x v="0"/>
    <s v="Software Development"/>
    <n v="2"/>
    <x v="2"/>
    <s v="Single"/>
    <x v="0"/>
    <s v="Bachelor"/>
    <x v="0"/>
    <n v="3.52"/>
    <s v="No"/>
    <n v="3.5"/>
    <n v="21"/>
    <n v="25000"/>
    <x v="1"/>
    <x v="0"/>
    <n v="50"/>
  </r>
  <r>
    <x v="3"/>
    <x v="0"/>
    <n v="20"/>
    <n v="2020"/>
    <x v="0"/>
    <n v="2"/>
    <x v="0"/>
    <s v="No"/>
    <x v="0"/>
    <n v="1"/>
    <x v="0"/>
    <x v="0"/>
    <s v="Yes"/>
    <x v="2"/>
    <x v="1"/>
    <x v="4"/>
    <s v="No"/>
    <s v="No"/>
    <x v="1"/>
    <s v="Software Development"/>
    <n v="4"/>
    <x v="2"/>
    <s v="Single"/>
    <x v="1"/>
    <s v="Bachelor"/>
    <x v="0"/>
    <n v="2.73"/>
    <s v="No"/>
    <n v="2.73"/>
    <n v="11"/>
    <n v="21000"/>
    <x v="0"/>
    <x v="0"/>
    <n v="59"/>
  </r>
  <r>
    <x v="1"/>
    <x v="0"/>
    <n v="24"/>
    <n v="2020"/>
    <x v="0"/>
    <n v="3"/>
    <x v="0"/>
    <s v="No"/>
    <x v="0"/>
    <n v="2"/>
    <x v="0"/>
    <x v="0"/>
    <s v="Yes"/>
    <x v="3"/>
    <x v="1"/>
    <x v="0"/>
    <s v="No"/>
    <s v="No"/>
    <x v="0"/>
    <s v="Software Development"/>
    <n v="2"/>
    <x v="2"/>
    <s v="Single"/>
    <x v="1"/>
    <s v="Family"/>
    <x v="0"/>
    <n v="3.79"/>
    <s v="No"/>
    <n v="3.88"/>
    <n v="23"/>
    <n v="13000"/>
    <x v="1"/>
    <x v="0"/>
    <n v="51"/>
  </r>
  <r>
    <x v="4"/>
    <x v="1"/>
    <n v="23"/>
    <n v="2016"/>
    <x v="0"/>
    <n v="11"/>
    <x v="0"/>
    <s v="No"/>
    <x v="2"/>
    <n v="1"/>
    <x v="0"/>
    <x v="0"/>
    <s v="Yes"/>
    <x v="2"/>
    <x v="1"/>
    <x v="7"/>
    <s v="No"/>
    <s v="No"/>
    <x v="1"/>
    <s v="Nothing"/>
    <n v="0"/>
    <x v="2"/>
    <s v="Engaged"/>
    <x v="1"/>
    <s v="Bachelor"/>
    <x v="0"/>
    <n v="3.96"/>
    <s v="No"/>
    <n v="3.91"/>
    <n v="116"/>
    <n v="30000"/>
    <x v="1"/>
    <x v="0"/>
    <n v="34"/>
  </r>
  <r>
    <x v="3"/>
    <x v="1"/>
    <n v="20"/>
    <n v="2021"/>
    <x v="0"/>
    <n v="2"/>
    <x v="1"/>
    <s v="Yes"/>
    <x v="3"/>
    <n v="2"/>
    <x v="1"/>
    <x v="0"/>
    <s v="Yes"/>
    <x v="2"/>
    <x v="1"/>
    <x v="0"/>
    <s v="Yes"/>
    <s v="No"/>
    <x v="0"/>
    <s v="Software Development"/>
    <n v="1"/>
    <x v="2"/>
    <s v="Single"/>
    <x v="1"/>
    <s v="Family"/>
    <x v="0"/>
    <n v="3.15"/>
    <s v="No"/>
    <n v="3.15"/>
    <n v="11"/>
    <n v="60000"/>
    <x v="0"/>
    <x v="0"/>
    <n v="54"/>
  </r>
  <r>
    <x v="3"/>
    <x v="1"/>
    <n v="21"/>
    <n v="2020"/>
    <x v="0"/>
    <n v="2"/>
    <x v="1"/>
    <s v="Yes"/>
    <x v="7"/>
    <n v="2"/>
    <x v="0"/>
    <x v="0"/>
    <s v="No"/>
    <x v="3"/>
    <x v="0"/>
    <x v="5"/>
    <s v="No"/>
    <s v="No"/>
    <x v="1"/>
    <s v="Software Development"/>
    <n v="2"/>
    <x v="2"/>
    <s v="Single"/>
    <x v="0"/>
    <s v="Family"/>
    <x v="1"/>
    <n v="3.4"/>
    <s v="No"/>
    <n v="3.4"/>
    <n v="12"/>
    <n v="15000"/>
    <x v="0"/>
    <x v="0"/>
    <n v="67"/>
  </r>
  <r>
    <x v="4"/>
    <x v="1"/>
    <n v="22"/>
    <n v="2018"/>
    <x v="0"/>
    <n v="11"/>
    <x v="1"/>
    <s v="Yes"/>
    <x v="2"/>
    <n v="2"/>
    <x v="1"/>
    <x v="0"/>
    <s v="Yes"/>
    <x v="3"/>
    <x v="0"/>
    <x v="0"/>
    <s v="No"/>
    <s v="No"/>
    <x v="1"/>
    <s v="Software Development"/>
    <n v="2"/>
    <x v="2"/>
    <s v="Single"/>
    <x v="1"/>
    <s v="Family"/>
    <x v="0"/>
    <n v="3.49"/>
    <s v="No"/>
    <n v="3.39"/>
    <n v="126"/>
    <n v="20000"/>
    <x v="0"/>
    <x v="0"/>
    <n v="48"/>
  </r>
  <r>
    <x v="3"/>
    <x v="0"/>
    <n v="23"/>
    <n v="2020"/>
    <x v="0"/>
    <n v="2"/>
    <x v="1"/>
    <s v="Yes"/>
    <x v="4"/>
    <n v="2"/>
    <x v="1"/>
    <x v="0"/>
    <s v="Yes"/>
    <x v="3"/>
    <x v="0"/>
    <x v="5"/>
    <s v="No"/>
    <s v="No"/>
    <x v="1"/>
    <s v="Software Development"/>
    <n v="2"/>
    <x v="2"/>
    <s v="Single"/>
    <x v="0"/>
    <s v="Family"/>
    <x v="0"/>
    <n v="3.85"/>
    <s v="No"/>
    <n v="3.85"/>
    <n v="12"/>
    <n v="30000"/>
    <x v="1"/>
    <x v="0"/>
    <n v="64"/>
  </r>
  <r>
    <x v="2"/>
    <x v="0"/>
    <n v="21"/>
    <n v="2018"/>
    <x v="0"/>
    <n v="8"/>
    <x v="1"/>
    <s v="Yes"/>
    <x v="5"/>
    <n v="2"/>
    <x v="0"/>
    <x v="0"/>
    <s v="Yes"/>
    <x v="3"/>
    <x v="0"/>
    <x v="0"/>
    <s v="Yes"/>
    <s v="No"/>
    <x v="1"/>
    <s v="Software Development"/>
    <n v="2"/>
    <x v="2"/>
    <s v="Single"/>
    <x v="0"/>
    <s v="Family"/>
    <x v="0"/>
    <n v="2.02"/>
    <s v="No"/>
    <n v="2.4"/>
    <n v="71"/>
    <n v="35000"/>
    <x v="2"/>
    <x v="0"/>
    <n v="54"/>
  </r>
  <r>
    <x v="1"/>
    <x v="1"/>
    <n v="26"/>
    <n v="2014"/>
    <x v="0"/>
    <n v="3"/>
    <x v="0"/>
    <s v="No"/>
    <x v="3"/>
    <n v="3"/>
    <x v="0"/>
    <x v="0"/>
    <s v="Yes"/>
    <x v="1"/>
    <x v="1"/>
    <x v="14"/>
    <s v="No"/>
    <s v="No"/>
    <x v="1"/>
    <s v="Software Development"/>
    <n v="2"/>
    <x v="2"/>
    <s v="Married"/>
    <x v="1"/>
    <s v="Family"/>
    <x v="0"/>
    <n v="3.89"/>
    <s v="No"/>
    <n v="3.38"/>
    <n v="23"/>
    <n v="80000"/>
    <x v="0"/>
    <x v="0"/>
    <n v="41"/>
  </r>
  <r>
    <x v="3"/>
    <x v="0"/>
    <n v="22"/>
    <n v="2020"/>
    <x v="0"/>
    <n v="2"/>
    <x v="0"/>
    <s v="Yes"/>
    <x v="2"/>
    <n v="1"/>
    <x v="1"/>
    <x v="0"/>
    <s v="Yes"/>
    <x v="2"/>
    <x v="0"/>
    <x v="0"/>
    <s v="No"/>
    <s v="No"/>
    <x v="0"/>
    <s v="Its on learning phase"/>
    <n v="3"/>
    <x v="2"/>
    <s v="Single"/>
    <x v="1"/>
    <s v="Family"/>
    <x v="0"/>
    <n v="3.93"/>
    <s v="No"/>
    <n v="3.93"/>
    <n v="12"/>
    <n v="55000"/>
    <x v="1"/>
    <x v="0"/>
    <n v="51"/>
  </r>
  <r>
    <x v="1"/>
    <x v="1"/>
    <n v="20"/>
    <n v="2020"/>
    <x v="0"/>
    <n v="2"/>
    <x v="1"/>
    <s v="Yes"/>
    <x v="3"/>
    <n v="2"/>
    <x v="0"/>
    <x v="0"/>
    <s v="Yes"/>
    <x v="2"/>
    <x v="1"/>
    <x v="10"/>
    <s v="No"/>
    <s v="No"/>
    <x v="1"/>
    <s v="Software Development"/>
    <n v="1"/>
    <x v="5"/>
    <s v="Single"/>
    <x v="1"/>
    <s v="Family"/>
    <x v="0"/>
    <n v="3.9"/>
    <s v="No"/>
    <n v="3.9"/>
    <n v="11"/>
    <n v="20000"/>
    <x v="1"/>
    <x v="0"/>
    <n v="57.6"/>
  </r>
  <r>
    <x v="3"/>
    <x v="0"/>
    <n v="20"/>
    <n v="2020"/>
    <x v="0"/>
    <n v="2"/>
    <x v="0"/>
    <s v="Yes"/>
    <x v="0"/>
    <n v="3"/>
    <x v="0"/>
    <x v="0"/>
    <s v="Yes"/>
    <x v="1"/>
    <x v="0"/>
    <x v="4"/>
    <s v="Yes"/>
    <s v="No"/>
    <x v="0"/>
    <s v="Software Development"/>
    <n v="1"/>
    <x v="2"/>
    <s v="Single"/>
    <x v="1"/>
    <s v="Bachelor"/>
    <x v="0"/>
    <n v="3.47"/>
    <s v="No"/>
    <n v="3.47"/>
    <n v="12"/>
    <n v="30000"/>
    <x v="0"/>
    <x v="0"/>
    <n v="50"/>
  </r>
  <r>
    <x v="3"/>
    <x v="1"/>
    <n v="20"/>
    <n v="2019"/>
    <x v="0"/>
    <n v="2"/>
    <x v="1"/>
    <s v="Yes"/>
    <x v="2"/>
    <n v="2"/>
    <x v="0"/>
    <x v="0"/>
    <s v="Yes"/>
    <x v="2"/>
    <x v="0"/>
    <x v="0"/>
    <s v="No"/>
    <s v="No"/>
    <x v="0"/>
    <s v="Graphics designing"/>
    <n v="1"/>
    <x v="2"/>
    <s v="Single"/>
    <x v="0"/>
    <s v="Family"/>
    <x v="0"/>
    <n v="3.7"/>
    <s v="No"/>
    <n v="3.7"/>
    <n v="12"/>
    <n v="30000"/>
    <x v="1"/>
    <x v="0"/>
    <n v="45"/>
  </r>
  <r>
    <x v="3"/>
    <x v="0"/>
    <n v="20"/>
    <n v="2020"/>
    <x v="0"/>
    <n v="2"/>
    <x v="0"/>
    <s v="Yes"/>
    <x v="5"/>
    <n v="1"/>
    <x v="0"/>
    <x v="0"/>
    <s v="Yes"/>
    <x v="2"/>
    <x v="0"/>
    <x v="5"/>
    <s v="No"/>
    <s v="No"/>
    <x v="1"/>
    <s v="Software Development"/>
    <n v="2"/>
    <x v="2"/>
    <s v="Single"/>
    <x v="0"/>
    <s v="Family"/>
    <x v="1"/>
    <n v="3.45"/>
    <s v="No"/>
    <n v="3.45"/>
    <n v="11"/>
    <n v="20000"/>
    <x v="0"/>
    <x v="0"/>
    <n v="58"/>
  </r>
  <r>
    <x v="3"/>
    <x v="0"/>
    <n v="22"/>
    <n v="2020"/>
    <x v="0"/>
    <n v="2"/>
    <x v="0"/>
    <s v="Yes"/>
    <x v="0"/>
    <n v="2"/>
    <x v="0"/>
    <x v="0"/>
    <s v="Yes"/>
    <x v="2"/>
    <x v="0"/>
    <x v="8"/>
    <s v="Yes"/>
    <s v="No"/>
    <x v="0"/>
    <s v="Software Development"/>
    <n v="1"/>
    <x v="2"/>
    <s v="Single"/>
    <x v="1"/>
    <s v="Family"/>
    <x v="0"/>
    <n v="3.73"/>
    <s v="No"/>
    <n v="3.73"/>
    <n v="11"/>
    <n v="100000"/>
    <x v="1"/>
    <x v="0"/>
    <n v="51.2"/>
  </r>
  <r>
    <x v="1"/>
    <x v="0"/>
    <n v="21"/>
    <n v="2019"/>
    <x v="0"/>
    <n v="3"/>
    <x v="0"/>
    <s v="Yes"/>
    <x v="5"/>
    <n v="4"/>
    <x v="1"/>
    <x v="0"/>
    <s v="Yes"/>
    <x v="2"/>
    <x v="0"/>
    <x v="4"/>
    <s v="No"/>
    <s v="No"/>
    <x v="0"/>
    <s v="Software Development"/>
    <n v="3"/>
    <x v="2"/>
    <s v="Single"/>
    <x v="0"/>
    <s v="Bachelor"/>
    <x v="1"/>
    <n v="3.73"/>
    <s v="Yes"/>
    <n v="3.68"/>
    <n v="26"/>
    <n v="35000"/>
    <x v="1"/>
    <x v="0"/>
    <n v="59"/>
  </r>
  <r>
    <x v="3"/>
    <x v="1"/>
    <n v="22"/>
    <n v="2020"/>
    <x v="0"/>
    <n v="2"/>
    <x v="0"/>
    <s v="Yes"/>
    <x v="0"/>
    <n v="2"/>
    <x v="1"/>
    <x v="0"/>
    <s v="Yes"/>
    <x v="3"/>
    <x v="0"/>
    <x v="4"/>
    <s v="No"/>
    <s v="No"/>
    <x v="0"/>
    <s v="Software Development"/>
    <n v="2"/>
    <x v="2"/>
    <s v="Single"/>
    <x v="1"/>
    <s v="Bachelor"/>
    <x v="0"/>
    <n v="3.65"/>
    <s v="No"/>
    <n v="3.65"/>
    <n v="11"/>
    <n v="20000"/>
    <x v="1"/>
    <x v="0"/>
    <n v="53"/>
  </r>
  <r>
    <x v="3"/>
    <x v="1"/>
    <n v="21"/>
    <n v="2020"/>
    <x v="0"/>
    <n v="2"/>
    <x v="0"/>
    <s v="Yes"/>
    <x v="5"/>
    <n v="2"/>
    <x v="0"/>
    <x v="0"/>
    <s v="Yes"/>
    <x v="1"/>
    <x v="1"/>
    <x v="5"/>
    <s v="No"/>
    <s v="No"/>
    <x v="0"/>
    <s v="Software Development"/>
    <n v="2"/>
    <x v="2"/>
    <s v="Single"/>
    <x v="1"/>
    <s v="Family"/>
    <x v="0"/>
    <n v="3.45"/>
    <s v="No"/>
    <n v="3.45"/>
    <n v="11"/>
    <n v="35000"/>
    <x v="0"/>
    <x v="0"/>
    <n v="58"/>
  </r>
  <r>
    <x v="3"/>
    <x v="0"/>
    <n v="21"/>
    <n v="2020"/>
    <x v="0"/>
    <n v="2"/>
    <x v="0"/>
    <s v="Yes"/>
    <x v="5"/>
    <n v="2"/>
    <x v="0"/>
    <x v="0"/>
    <s v="Yes"/>
    <x v="1"/>
    <x v="1"/>
    <x v="5"/>
    <s v="No"/>
    <s v="No"/>
    <x v="0"/>
    <s v="Software Development"/>
    <n v="2"/>
    <x v="2"/>
    <s v="Single"/>
    <x v="1"/>
    <s v="Bachelor"/>
    <x v="0"/>
    <n v="2.58"/>
    <s v="No"/>
    <n v="2.58"/>
    <n v="11"/>
    <n v="35000"/>
    <x v="0"/>
    <x v="0"/>
    <n v="58"/>
  </r>
  <r>
    <x v="1"/>
    <x v="1"/>
    <n v="20"/>
    <n v="2020"/>
    <x v="0"/>
    <n v="3"/>
    <x v="0"/>
    <s v="No"/>
    <x v="5"/>
    <n v="2"/>
    <x v="1"/>
    <x v="0"/>
    <s v="No"/>
    <x v="2"/>
    <x v="2"/>
    <x v="8"/>
    <s v="Yes"/>
    <s v="No"/>
    <x v="0"/>
    <s v="Software Development"/>
    <n v="5"/>
    <x v="2"/>
    <s v="Single"/>
    <x v="1"/>
    <s v="Bachelor"/>
    <x v="1"/>
    <n v="1.87"/>
    <s v="No"/>
    <n v="3.5"/>
    <n v="32"/>
    <n v="20000"/>
    <x v="1"/>
    <x v="0"/>
    <n v="66.2"/>
  </r>
  <r>
    <x v="2"/>
    <x v="0"/>
    <n v="21"/>
    <n v="2019"/>
    <x v="0"/>
    <n v="7"/>
    <x v="1"/>
    <s v="No"/>
    <x v="1"/>
    <n v="1"/>
    <x v="0"/>
    <x v="0"/>
    <s v="Yes"/>
    <x v="2"/>
    <x v="0"/>
    <x v="27"/>
    <s v="No"/>
    <s v="No"/>
    <x v="1"/>
    <s v="Software Development"/>
    <n v="1"/>
    <x v="2"/>
    <s v="Single"/>
    <x v="1"/>
    <s v="Family"/>
    <x v="0"/>
    <n v="2.68"/>
    <s v="No"/>
    <n v="3.15"/>
    <n v="77"/>
    <n v="40000"/>
    <x v="0"/>
    <x v="0"/>
    <n v="43.2"/>
  </r>
  <r>
    <x v="2"/>
    <x v="1"/>
    <n v="20"/>
    <n v="2019"/>
    <x v="0"/>
    <n v="7"/>
    <x v="0"/>
    <s v="Yes"/>
    <x v="5"/>
    <n v="2"/>
    <x v="1"/>
    <x v="0"/>
    <s v="Yes"/>
    <x v="3"/>
    <x v="0"/>
    <x v="8"/>
    <s v="No"/>
    <s v="No"/>
    <x v="0"/>
    <s v="Software Development"/>
    <n v="3"/>
    <x v="2"/>
    <s v="Single"/>
    <x v="0"/>
    <s v="Family"/>
    <x v="0"/>
    <n v="3.96"/>
    <s v="No"/>
    <n v="3.99"/>
    <n v="76"/>
    <n v="25000"/>
    <x v="1"/>
    <x v="0"/>
    <n v="60.2"/>
  </r>
  <r>
    <x v="4"/>
    <x v="0"/>
    <n v="22"/>
    <n v="2019"/>
    <x v="0"/>
    <n v="8"/>
    <x v="0"/>
    <s v="Yes"/>
    <x v="5"/>
    <n v="2"/>
    <x v="1"/>
    <x v="0"/>
    <s v="Yes"/>
    <x v="3"/>
    <x v="0"/>
    <x v="0"/>
    <s v="No"/>
    <s v="No"/>
    <x v="1"/>
    <s v="Software Development"/>
    <n v="2"/>
    <x v="2"/>
    <s v="Single"/>
    <x v="1"/>
    <s v="Family"/>
    <x v="1"/>
    <n v="3.68"/>
    <s v="No"/>
    <n v="3.73"/>
    <n v="84"/>
    <n v="62488"/>
    <x v="1"/>
    <x v="0"/>
    <n v="54"/>
  </r>
  <r>
    <x v="4"/>
    <x v="0"/>
    <n v="20"/>
    <n v="2019"/>
    <x v="0"/>
    <n v="9"/>
    <x v="0"/>
    <s v="No"/>
    <x v="3"/>
    <n v="2"/>
    <x v="0"/>
    <x v="0"/>
    <s v="Yes"/>
    <x v="9"/>
    <x v="1"/>
    <x v="14"/>
    <s v="Yes"/>
    <s v="No"/>
    <x v="1"/>
    <s v="Software Development"/>
    <n v="2"/>
    <x v="2"/>
    <s v="Married"/>
    <x v="0"/>
    <s v="Bachelor"/>
    <x v="0"/>
    <n v="3.35"/>
    <s v="No"/>
    <n v="2.2999999999999998"/>
    <n v="90"/>
    <n v="50000"/>
    <x v="2"/>
    <x v="0"/>
    <n v="41"/>
  </r>
  <r>
    <x v="4"/>
    <x v="0"/>
    <n v="22"/>
    <n v="2017"/>
    <x v="0"/>
    <n v="9"/>
    <x v="1"/>
    <s v="Yes"/>
    <x v="5"/>
    <n v="2"/>
    <x v="0"/>
    <x v="0"/>
    <s v="Yes"/>
    <x v="4"/>
    <x v="0"/>
    <x v="0"/>
    <s v="No"/>
    <s v="No"/>
    <x v="0"/>
    <s v="Software Development"/>
    <n v="6"/>
    <x v="2"/>
    <s v="Single"/>
    <x v="0"/>
    <s v="Family"/>
    <x v="0"/>
    <n v="2.04"/>
    <s v="No"/>
    <n v="2.86"/>
    <n v="93"/>
    <n v="50000"/>
    <x v="0"/>
    <x v="0"/>
    <n v="66"/>
  </r>
  <r>
    <x v="2"/>
    <x v="0"/>
    <n v="21"/>
    <n v="2019"/>
    <x v="0"/>
    <n v="8"/>
    <x v="0"/>
    <s v="Yes"/>
    <x v="9"/>
    <n v="1"/>
    <x v="0"/>
    <x v="0"/>
    <s v="Yes"/>
    <x v="2"/>
    <x v="2"/>
    <x v="4"/>
    <s v="No"/>
    <s v="No"/>
    <x v="1"/>
    <s v="Software Development"/>
    <n v="1"/>
    <x v="2"/>
    <s v="Single"/>
    <x v="1"/>
    <s v="Family"/>
    <x v="0"/>
    <n v="3.74"/>
    <s v="No"/>
    <n v="3.67"/>
    <n v="90"/>
    <n v="30000"/>
    <x v="1"/>
    <x v="0"/>
    <n v="41"/>
  </r>
  <r>
    <x v="2"/>
    <x v="1"/>
    <n v="21"/>
    <n v="2019"/>
    <x v="0"/>
    <n v="8"/>
    <x v="1"/>
    <s v="No"/>
    <x v="5"/>
    <n v="2"/>
    <x v="0"/>
    <x v="0"/>
    <s v="Yes"/>
    <x v="2"/>
    <x v="0"/>
    <x v="4"/>
    <s v="No"/>
    <s v="No"/>
    <x v="1"/>
    <s v="Software Development"/>
    <n v="1"/>
    <x v="2"/>
    <s v="Single"/>
    <x v="1"/>
    <s v="Bachelor"/>
    <x v="0"/>
    <n v="3.75"/>
    <s v="No"/>
    <n v="3.75"/>
    <n v="110"/>
    <n v="250000"/>
    <x v="1"/>
    <x v="0"/>
    <n v="53"/>
  </r>
  <r>
    <x v="2"/>
    <x v="1"/>
    <n v="22"/>
    <n v="2018"/>
    <x v="0"/>
    <n v="8"/>
    <x v="1"/>
    <s v="No"/>
    <x v="2"/>
    <n v="3"/>
    <x v="0"/>
    <x v="0"/>
    <s v="Yes"/>
    <x v="3"/>
    <x v="0"/>
    <x v="0"/>
    <s v="No"/>
    <s v="No"/>
    <x v="0"/>
    <s v="Software Development"/>
    <n v="2"/>
    <x v="0"/>
    <s v="Single"/>
    <x v="1"/>
    <s v="Bachelor"/>
    <x v="0"/>
    <n v="3.3"/>
    <s v="No"/>
    <n v="3.26"/>
    <n v="86"/>
    <n v="50000"/>
    <x v="0"/>
    <x v="0"/>
    <n v="48"/>
  </r>
  <r>
    <x v="4"/>
    <x v="0"/>
    <n v="23"/>
    <n v="2019"/>
    <x v="0"/>
    <n v="8"/>
    <x v="0"/>
    <s v="No"/>
    <x v="3"/>
    <n v="3"/>
    <x v="0"/>
    <x v="0"/>
    <s v="Yes"/>
    <x v="4"/>
    <x v="0"/>
    <x v="8"/>
    <s v="No"/>
    <s v="No"/>
    <x v="0"/>
    <s v="Software Development"/>
    <n v="3"/>
    <x v="4"/>
    <s v="Single"/>
    <x v="0"/>
    <s v="Bachelor"/>
    <x v="1"/>
    <n v="3.72"/>
    <s v="No"/>
    <n v="3.45"/>
    <n v="90"/>
    <n v="25000"/>
    <x v="0"/>
    <x v="0"/>
    <n v="63.2"/>
  </r>
  <r>
    <x v="4"/>
    <x v="0"/>
    <n v="24"/>
    <n v="2018"/>
    <x v="0"/>
    <n v="8"/>
    <x v="1"/>
    <s v="No"/>
    <x v="5"/>
    <n v="2"/>
    <x v="0"/>
    <x v="0"/>
    <s v="Yes"/>
    <x v="1"/>
    <x v="0"/>
    <x v="3"/>
    <s v="No"/>
    <s v="No"/>
    <x v="0"/>
    <s v="Software Development"/>
    <n v="2"/>
    <x v="5"/>
    <s v="Single"/>
    <x v="0"/>
    <s v="Bachelor"/>
    <x v="0"/>
    <n v="3.21"/>
    <s v="No"/>
    <n v="3.42"/>
    <n v="85"/>
    <n v="40000"/>
    <x v="0"/>
    <x v="0"/>
    <n v="53.2"/>
  </r>
  <r>
    <x v="2"/>
    <x v="1"/>
    <n v="21"/>
    <n v="2018"/>
    <x v="0"/>
    <n v="7"/>
    <x v="0"/>
    <s v="Yes"/>
    <x v="1"/>
    <n v="1"/>
    <x v="0"/>
    <x v="0"/>
    <s v="Yes"/>
    <x v="1"/>
    <x v="0"/>
    <x v="6"/>
    <s v="No"/>
    <s v="No"/>
    <x v="1"/>
    <s v="Nothing much"/>
    <n v="0"/>
    <x v="3"/>
    <s v="Married"/>
    <x v="0"/>
    <s v="Family"/>
    <x v="0"/>
    <n v="3.64"/>
    <s v="No"/>
    <n v="3.65"/>
    <n v="76"/>
    <n v="60000"/>
    <x v="1"/>
    <x v="0"/>
    <n v="41.800000000000004"/>
  </r>
  <r>
    <x v="2"/>
    <x v="1"/>
    <n v="22"/>
    <n v="2018"/>
    <x v="0"/>
    <n v="8"/>
    <x v="0"/>
    <s v="Yes"/>
    <x v="0"/>
    <n v="1"/>
    <x v="0"/>
    <x v="0"/>
    <s v="Yes"/>
    <x v="0"/>
    <x v="2"/>
    <x v="0"/>
    <s v="No"/>
    <s v="No"/>
    <x v="1"/>
    <s v="E-commerce"/>
    <n v="2"/>
    <x v="4"/>
    <s v="Relationship"/>
    <x v="1"/>
    <s v="Family"/>
    <x v="1"/>
    <n v="2.86"/>
    <s v="No"/>
    <n v="3.42"/>
    <n v="87"/>
    <n v="50000"/>
    <x v="0"/>
    <x v="0"/>
    <n v="51"/>
  </r>
  <r>
    <x v="4"/>
    <x v="0"/>
    <n v="22"/>
    <n v="2018"/>
    <x v="0"/>
    <n v="8"/>
    <x v="0"/>
    <s v="Yes"/>
    <x v="5"/>
    <n v="2"/>
    <x v="0"/>
    <x v="0"/>
    <s v="Yes"/>
    <x v="3"/>
    <x v="0"/>
    <x v="0"/>
    <s v="No"/>
    <s v="No"/>
    <x v="0"/>
    <s v="Software Development"/>
    <n v="2"/>
    <x v="2"/>
    <s v="Single"/>
    <x v="1"/>
    <s v="Family"/>
    <x v="0"/>
    <n v="3.78"/>
    <s v="No"/>
    <n v="3.88"/>
    <n v="93"/>
    <n v="30000"/>
    <x v="1"/>
    <x v="0"/>
    <n v="54"/>
  </r>
  <r>
    <x v="7"/>
    <x v="0"/>
    <n v="24"/>
    <n v="2014"/>
    <x v="0"/>
    <n v="13"/>
    <x v="1"/>
    <s v="Yes"/>
    <x v="3"/>
    <n v="2"/>
    <x v="0"/>
    <x v="0"/>
    <s v="Yes"/>
    <x v="0"/>
    <x v="1"/>
    <x v="10"/>
    <s v="Yes"/>
    <s v="No"/>
    <x v="1"/>
    <s v="Software Development"/>
    <n v="2"/>
    <x v="2"/>
    <s v="Single"/>
    <x v="0"/>
    <s v="Bachelor"/>
    <x v="0"/>
    <n v="2.66"/>
    <s v="No"/>
    <n v="2.76"/>
    <n v="115"/>
    <n v="50000"/>
    <x v="0"/>
    <x v="0"/>
    <n v="60.6"/>
  </r>
  <r>
    <x v="2"/>
    <x v="1"/>
    <n v="21"/>
    <n v="2019"/>
    <x v="0"/>
    <n v="8"/>
    <x v="1"/>
    <s v="Yes"/>
    <x v="2"/>
    <n v="2"/>
    <x v="0"/>
    <x v="0"/>
    <s v="Yes"/>
    <x v="1"/>
    <x v="2"/>
    <x v="0"/>
    <s v="No"/>
    <s v="No"/>
    <x v="1"/>
    <s v="Software Development"/>
    <n v="1"/>
    <x v="2"/>
    <s v="Married"/>
    <x v="0"/>
    <s v="Family"/>
    <x v="0"/>
    <n v="3.04"/>
    <s v="No"/>
    <n v="2.87"/>
    <n v="85"/>
    <n v="100000"/>
    <x v="0"/>
    <x v="0"/>
    <n v="45"/>
  </r>
  <r>
    <x v="2"/>
    <x v="0"/>
    <n v="20"/>
    <n v="2019"/>
    <x v="0"/>
    <n v="8"/>
    <x v="1"/>
    <s v="No"/>
    <x v="1"/>
    <n v="1"/>
    <x v="0"/>
    <x v="0"/>
    <s v="Yes"/>
    <x v="4"/>
    <x v="0"/>
    <x v="2"/>
    <s v="No"/>
    <s v="No"/>
    <x v="1"/>
    <s v="Software Development"/>
    <n v="1"/>
    <x v="2"/>
    <s v="Single"/>
    <x v="1"/>
    <s v="Family"/>
    <x v="0"/>
    <n v="1.76"/>
    <s v="No"/>
    <n v="2.5499999999999998"/>
    <n v="64"/>
    <n v="35000"/>
    <x v="0"/>
    <x v="0"/>
    <n v="38"/>
  </r>
  <r>
    <x v="2"/>
    <x v="0"/>
    <n v="22"/>
    <n v="2019"/>
    <x v="0"/>
    <n v="8"/>
    <x v="0"/>
    <s v="Yes"/>
    <x v="0"/>
    <n v="3"/>
    <x v="1"/>
    <x v="0"/>
    <s v="Yes"/>
    <x v="2"/>
    <x v="2"/>
    <x v="8"/>
    <s v="No"/>
    <s v="No"/>
    <x v="0"/>
    <s v="Software Development"/>
    <n v="2"/>
    <x v="2"/>
    <s v="Single"/>
    <x v="1"/>
    <s v="Family"/>
    <x v="0"/>
    <n v="3.15"/>
    <s v="No"/>
    <n v="3.71"/>
    <n v="84"/>
    <n v="5000"/>
    <x v="1"/>
    <x v="0"/>
    <n v="54.2"/>
  </r>
  <r>
    <x v="2"/>
    <x v="0"/>
    <n v="22"/>
    <n v="2019"/>
    <x v="0"/>
    <n v="8"/>
    <x v="0"/>
    <s v="Yes"/>
    <x v="2"/>
    <n v="2"/>
    <x v="0"/>
    <x v="0"/>
    <s v="Yes"/>
    <x v="3"/>
    <x v="0"/>
    <x v="5"/>
    <s v="No"/>
    <s v="No"/>
    <x v="0"/>
    <s v="Software Development"/>
    <n v="4"/>
    <x v="2"/>
    <s v="Single"/>
    <x v="1"/>
    <s v="Bachelor"/>
    <x v="0"/>
    <n v="4"/>
    <s v="No"/>
    <n v="3.62"/>
    <n v="86"/>
    <n v="50000"/>
    <x v="1"/>
    <x v="0"/>
    <n v="58"/>
  </r>
  <r>
    <x v="3"/>
    <x v="1"/>
    <n v="20"/>
    <n v="2020"/>
    <x v="0"/>
    <n v="2"/>
    <x v="1"/>
    <s v="Yes"/>
    <x v="0"/>
    <n v="1"/>
    <x v="0"/>
    <x v="0"/>
    <s v="Yes"/>
    <x v="2"/>
    <x v="0"/>
    <x v="5"/>
    <s v="No"/>
    <s v="No"/>
    <x v="1"/>
    <s v="Software Development"/>
    <n v="3"/>
    <x v="2"/>
    <s v="Single"/>
    <x v="1"/>
    <s v="Family"/>
    <x v="0"/>
    <n v="3.58"/>
    <s v="No"/>
    <n v="3.58"/>
    <n v="14"/>
    <n v="45000"/>
    <x v="1"/>
    <x v="0"/>
    <n v="58"/>
  </r>
  <r>
    <x v="3"/>
    <x v="0"/>
    <n v="21"/>
    <n v="2019"/>
    <x v="0"/>
    <n v="1"/>
    <x v="1"/>
    <s v="Yes"/>
    <x v="4"/>
    <n v="2"/>
    <x v="0"/>
    <x v="0"/>
    <s v="Yes"/>
    <x v="2"/>
    <x v="0"/>
    <x v="3"/>
    <s v="No"/>
    <s v="No"/>
    <x v="1"/>
    <s v="Software Development"/>
    <n v="2"/>
    <x v="2"/>
    <s v="Single"/>
    <x v="0"/>
    <s v="Family"/>
    <x v="1"/>
    <n v="3.4"/>
    <s v="No"/>
    <n v="3.4"/>
    <n v="11"/>
    <n v="30000"/>
    <x v="0"/>
    <x v="0"/>
    <n v="59.2"/>
  </r>
  <r>
    <x v="2"/>
    <x v="0"/>
    <n v="22"/>
    <n v="2019"/>
    <x v="0"/>
    <n v="8"/>
    <x v="1"/>
    <s v="Yes"/>
    <x v="2"/>
    <n v="1"/>
    <x v="1"/>
    <x v="0"/>
    <s v="Yes"/>
    <x v="13"/>
    <x v="2"/>
    <x v="28"/>
    <s v="Yes"/>
    <s v="No"/>
    <x v="1"/>
    <s v="Software Development"/>
    <n v="2"/>
    <x v="2"/>
    <s v="Single"/>
    <x v="1"/>
    <s v="Family"/>
    <x v="1"/>
    <n v="2.44"/>
    <s v="No"/>
    <n v="2.77"/>
    <n v="76"/>
    <n v="30000"/>
    <x v="0"/>
    <x v="0"/>
    <n v="43.2"/>
  </r>
  <r>
    <x v="2"/>
    <x v="0"/>
    <n v="22"/>
    <n v="2019"/>
    <x v="0"/>
    <n v="7"/>
    <x v="0"/>
    <s v="Yes"/>
    <x v="4"/>
    <n v="3"/>
    <x v="1"/>
    <x v="0"/>
    <s v="Yes"/>
    <x v="3"/>
    <x v="2"/>
    <x v="6"/>
    <s v="No"/>
    <s v="No"/>
    <x v="1"/>
    <s v="Software Development"/>
    <n v="1"/>
    <x v="2"/>
    <s v="Single"/>
    <x v="0"/>
    <s v="Family"/>
    <x v="0"/>
    <n v="3.94"/>
    <s v="No"/>
    <n v="3.91"/>
    <n v="75"/>
    <n v="40000"/>
    <x v="1"/>
    <x v="0"/>
    <n v="59.800000000000004"/>
  </r>
  <r>
    <x v="0"/>
    <x v="0"/>
    <n v="24"/>
    <n v="2016"/>
    <x v="0"/>
    <n v="10"/>
    <x v="0"/>
    <s v="No"/>
    <x v="0"/>
    <n v="1"/>
    <x v="0"/>
    <x v="0"/>
    <s v="Yes"/>
    <x v="3"/>
    <x v="0"/>
    <x v="2"/>
    <s v="No"/>
    <s v="No"/>
    <x v="0"/>
    <s v="Teaching"/>
    <n v="0"/>
    <x v="12"/>
    <s v="Single"/>
    <x v="0"/>
    <s v="Bachelor"/>
    <x v="1"/>
    <n v="3"/>
    <s v="No"/>
    <n v="2.85"/>
    <n v="90"/>
    <n v="50000"/>
    <x v="0"/>
    <x v="0"/>
    <n v="41"/>
  </r>
  <r>
    <x v="2"/>
    <x v="1"/>
    <n v="21"/>
    <n v="2019"/>
    <x v="0"/>
    <n v="8"/>
    <x v="0"/>
    <s v="Yes"/>
    <x v="1"/>
    <n v="1"/>
    <x v="0"/>
    <x v="0"/>
    <s v="Yes"/>
    <x v="1"/>
    <x v="0"/>
    <x v="9"/>
    <s v="No"/>
    <s v="No"/>
    <x v="1"/>
    <s v="Software Development"/>
    <n v="1"/>
    <x v="2"/>
    <s v="Engaged"/>
    <x v="1"/>
    <s v="Family"/>
    <x v="1"/>
    <n v="3.32"/>
    <s v="No"/>
    <n v="3.27"/>
    <n v="88"/>
    <n v="50000"/>
    <x v="0"/>
    <x v="0"/>
    <n v="40"/>
  </r>
  <r>
    <x v="3"/>
    <x v="0"/>
    <n v="22"/>
    <n v="2020"/>
    <x v="0"/>
    <n v="2"/>
    <x v="0"/>
    <s v="Yes"/>
    <x v="2"/>
    <n v="1"/>
    <x v="0"/>
    <x v="0"/>
    <s v="Yes"/>
    <x v="0"/>
    <x v="1"/>
    <x v="0"/>
    <s v="No"/>
    <s v="No"/>
    <x v="0"/>
    <s v="Software Development"/>
    <n v="2"/>
    <x v="2"/>
    <s v="Single"/>
    <x v="1"/>
    <s v="Family"/>
    <x v="0"/>
    <n v="2.8"/>
    <s v="No"/>
    <n v="2.8"/>
    <n v="11"/>
    <n v="30000"/>
    <x v="0"/>
    <x v="0"/>
    <n v="48"/>
  </r>
  <r>
    <x v="2"/>
    <x v="1"/>
    <n v="22"/>
    <n v="2018"/>
    <x v="0"/>
    <n v="6"/>
    <x v="1"/>
    <s v="No"/>
    <x v="0"/>
    <n v="2"/>
    <x v="0"/>
    <x v="0"/>
    <s v="Yes"/>
    <x v="1"/>
    <x v="0"/>
    <x v="10"/>
    <s v="No"/>
    <s v="No"/>
    <x v="0"/>
    <s v="Software Development"/>
    <n v="2"/>
    <x v="3"/>
    <s v="Single"/>
    <x v="0"/>
    <s v="Bachelor"/>
    <x v="0"/>
    <n v="3.39"/>
    <s v="No"/>
    <n v="3.33"/>
    <n v="70"/>
    <n v="40000"/>
    <x v="0"/>
    <x v="0"/>
    <n v="54.6"/>
  </r>
  <r>
    <x v="3"/>
    <x v="0"/>
    <n v="20"/>
    <n v="2020"/>
    <x v="0"/>
    <n v="2"/>
    <x v="1"/>
    <s v="No"/>
    <x v="1"/>
    <n v="1"/>
    <x v="1"/>
    <x v="0"/>
    <s v="No"/>
    <x v="2"/>
    <x v="0"/>
    <x v="4"/>
    <s v="No"/>
    <s v="No"/>
    <x v="0"/>
    <s v="Software Development"/>
    <n v="1"/>
    <x v="2"/>
    <s v="Single"/>
    <x v="0"/>
    <s v="Bachelor"/>
    <x v="0"/>
    <n v="4"/>
    <s v="No"/>
    <n v="4"/>
    <n v="12"/>
    <n v="40000"/>
    <x v="1"/>
    <x v="0"/>
    <n v="44"/>
  </r>
  <r>
    <x v="5"/>
    <x v="1"/>
    <n v="26"/>
    <n v="2013"/>
    <x v="0"/>
    <n v="11"/>
    <x v="0"/>
    <s v="Yes"/>
    <x v="1"/>
    <n v="1"/>
    <x v="1"/>
    <x v="0"/>
    <s v="Yes"/>
    <x v="3"/>
    <x v="0"/>
    <x v="5"/>
    <s v="No"/>
    <s v="No"/>
    <x v="0"/>
    <s v="Networking"/>
    <n v="2"/>
    <x v="6"/>
    <s v="Married"/>
    <x v="1"/>
    <s v="Family"/>
    <x v="0"/>
    <n v="3.2"/>
    <s v="No"/>
    <n v="3.44"/>
    <n v="117"/>
    <n v="40000"/>
    <x v="0"/>
    <x v="0"/>
    <n v="49"/>
  </r>
  <r>
    <x v="2"/>
    <x v="1"/>
    <n v="21"/>
    <n v="2019"/>
    <x v="0"/>
    <n v="7"/>
    <x v="0"/>
    <s v="No"/>
    <x v="2"/>
    <n v="2"/>
    <x v="0"/>
    <x v="0"/>
    <s v="Yes"/>
    <x v="2"/>
    <x v="0"/>
    <x v="3"/>
    <s v="No"/>
    <s v="No"/>
    <x v="0"/>
    <s v="Software Development"/>
    <n v="1"/>
    <x v="0"/>
    <s v="Single"/>
    <x v="0"/>
    <s v="Bachelor"/>
    <x v="0"/>
    <n v="3.31"/>
    <s v="No"/>
    <n v="2.9"/>
    <n v="70"/>
    <n v="20000"/>
    <x v="0"/>
    <x v="0"/>
    <n v="44.2"/>
  </r>
  <r>
    <x v="0"/>
    <x v="0"/>
    <n v="23"/>
    <n v="2017"/>
    <x v="0"/>
    <n v="14"/>
    <x v="1"/>
    <s v="Yes"/>
    <x v="3"/>
    <n v="2"/>
    <x v="1"/>
    <x v="1"/>
    <s v="Yes"/>
    <x v="4"/>
    <x v="0"/>
    <x v="9"/>
    <s v="Yes"/>
    <s v="No"/>
    <x v="0"/>
    <s v="Software Development"/>
    <n v="1"/>
    <x v="2"/>
    <s v="Single"/>
    <x v="0"/>
    <s v="Family"/>
    <x v="0"/>
    <n v="2.96"/>
    <s v="No"/>
    <n v="3.06"/>
    <n v="136"/>
    <n v="20000"/>
    <x v="0"/>
    <x v="0"/>
    <n v="52"/>
  </r>
  <r>
    <x v="3"/>
    <x v="0"/>
    <n v="20"/>
    <n v="2020"/>
    <x v="0"/>
    <n v="2"/>
    <x v="0"/>
    <s v="Yes"/>
    <x v="0"/>
    <n v="2"/>
    <x v="0"/>
    <x v="0"/>
    <s v="Yes"/>
    <x v="4"/>
    <x v="1"/>
    <x v="5"/>
    <s v="No"/>
    <s v="No"/>
    <x v="1"/>
    <s v="Software Development"/>
    <n v="2"/>
    <x v="2"/>
    <s v="Single"/>
    <x v="1"/>
    <s v="Family"/>
    <x v="0"/>
    <n v="3.68"/>
    <s v="No"/>
    <n v="3.68"/>
    <n v="11"/>
    <n v="35000"/>
    <x v="1"/>
    <x v="0"/>
    <n v="55"/>
  </r>
  <r>
    <x v="3"/>
    <x v="1"/>
    <n v="20"/>
    <n v="2018"/>
    <x v="0"/>
    <n v="2"/>
    <x v="1"/>
    <s v="Yes"/>
    <x v="5"/>
    <n v="2"/>
    <x v="1"/>
    <x v="0"/>
    <s v="Yes"/>
    <x v="5"/>
    <x v="1"/>
    <x v="5"/>
    <s v="No"/>
    <s v="No"/>
    <x v="0"/>
    <s v="Software Development"/>
    <n v="2"/>
    <x v="2"/>
    <s v="Single"/>
    <x v="0"/>
    <s v="Family"/>
    <x v="0"/>
    <n v="3.78"/>
    <s v="No"/>
    <n v="3.78"/>
    <n v="11"/>
    <n v="4000"/>
    <x v="1"/>
    <x v="0"/>
    <n v="58"/>
  </r>
  <r>
    <x v="2"/>
    <x v="0"/>
    <n v="21"/>
    <n v="2019"/>
    <x v="0"/>
    <n v="7"/>
    <x v="0"/>
    <s v="No"/>
    <x v="5"/>
    <n v="3"/>
    <x v="0"/>
    <x v="0"/>
    <s v="Yes"/>
    <x v="3"/>
    <x v="0"/>
    <x v="4"/>
    <s v="No"/>
    <s v="No"/>
    <x v="1"/>
    <s v="Software Development"/>
    <n v="3"/>
    <x v="2"/>
    <s v="Single"/>
    <x v="0"/>
    <s v="Bachelor"/>
    <x v="1"/>
    <n v="3.87"/>
    <s v="No"/>
    <n v="3.68"/>
    <n v="86"/>
    <n v="15000"/>
    <x v="1"/>
    <x v="0"/>
    <n v="59"/>
  </r>
  <r>
    <x v="1"/>
    <x v="0"/>
    <n v="21"/>
    <n v="2019"/>
    <x v="0"/>
    <n v="4"/>
    <x v="0"/>
    <s v="Yes"/>
    <x v="10"/>
    <n v="2"/>
    <x v="0"/>
    <x v="0"/>
    <s v="Yes"/>
    <x v="2"/>
    <x v="1"/>
    <x v="4"/>
    <s v="Yes"/>
    <s v="Yes"/>
    <x v="1"/>
    <s v="Software Development"/>
    <n v="2"/>
    <x v="4"/>
    <s v="Single"/>
    <x v="1"/>
    <s v="Family"/>
    <x v="0"/>
    <n v="2.68"/>
    <s v="No"/>
    <n v="2.4700000000000002"/>
    <n v="25"/>
    <n v="40000"/>
    <x v="2"/>
    <x v="0"/>
    <n v="74"/>
  </r>
  <r>
    <x v="3"/>
    <x v="0"/>
    <n v="21"/>
    <n v="2020"/>
    <x v="0"/>
    <n v="2"/>
    <x v="0"/>
    <s v="Yes"/>
    <x v="0"/>
    <n v="2"/>
    <x v="0"/>
    <x v="0"/>
    <s v="Yes"/>
    <x v="2"/>
    <x v="0"/>
    <x v="0"/>
    <s v="No"/>
    <s v="No"/>
    <x v="0"/>
    <s v="Software Development"/>
    <n v="1"/>
    <x v="2"/>
    <s v="Single"/>
    <x v="1"/>
    <s v="Family"/>
    <x v="0"/>
    <n v="3.9"/>
    <s v="No"/>
    <n v="3.9"/>
    <n v="11"/>
    <n v="20000"/>
    <x v="1"/>
    <x v="0"/>
    <n v="48"/>
  </r>
  <r>
    <x v="0"/>
    <x v="0"/>
    <n v="24"/>
    <n v="2017"/>
    <x v="0"/>
    <n v="13"/>
    <x v="1"/>
    <s v="No"/>
    <x v="2"/>
    <n v="1"/>
    <x v="1"/>
    <x v="0"/>
    <s v="Yes"/>
    <x v="2"/>
    <x v="2"/>
    <x v="0"/>
    <s v="No"/>
    <s v="No"/>
    <x v="1"/>
    <s v="Software Development"/>
    <n v="4"/>
    <x v="6"/>
    <s v="Engaged"/>
    <x v="1"/>
    <s v="Family"/>
    <x v="0"/>
    <n v="2.65"/>
    <s v="No"/>
    <n v="2.97"/>
    <n v="130"/>
    <n v="62488"/>
    <x v="0"/>
    <x v="0"/>
    <n v="54"/>
  </r>
  <r>
    <x v="2"/>
    <x v="0"/>
    <n v="22"/>
    <n v="2019"/>
    <x v="0"/>
    <n v="8"/>
    <x v="1"/>
    <s v="No"/>
    <x v="2"/>
    <n v="1"/>
    <x v="0"/>
    <x v="0"/>
    <s v="Yes"/>
    <x v="1"/>
    <x v="0"/>
    <x v="17"/>
    <s v="No"/>
    <s v="No"/>
    <x v="1"/>
    <s v="Software Development"/>
    <n v="1"/>
    <x v="10"/>
    <s v="Single"/>
    <x v="1"/>
    <s v="Bachelor"/>
    <x v="0"/>
    <n v="3.29"/>
    <s v="No"/>
    <n v="3.65"/>
    <n v="100"/>
    <n v="100000"/>
    <x v="1"/>
    <x v="0"/>
    <n v="43.800000000000004"/>
  </r>
  <r>
    <x v="2"/>
    <x v="1"/>
    <n v="20"/>
    <n v="2019"/>
    <x v="0"/>
    <n v="8"/>
    <x v="1"/>
    <s v="Yes"/>
    <x v="0"/>
    <n v="2"/>
    <x v="1"/>
    <x v="0"/>
    <s v="Yes"/>
    <x v="2"/>
    <x v="0"/>
    <x v="6"/>
    <s v="No"/>
    <s v="No"/>
    <x v="0"/>
    <s v="Software Development"/>
    <n v="2"/>
    <x v="5"/>
    <s v="Single"/>
    <x v="0"/>
    <s v="Family"/>
    <x v="0"/>
    <n v="3.14"/>
    <s v="No"/>
    <n v="3.62"/>
    <n v="95"/>
    <n v="48400"/>
    <x v="1"/>
    <x v="0"/>
    <n v="53.800000000000004"/>
  </r>
  <r>
    <x v="5"/>
    <x v="0"/>
    <n v="24"/>
    <n v="2016"/>
    <x v="0"/>
    <n v="17"/>
    <x v="1"/>
    <s v="No"/>
    <x v="5"/>
    <n v="2"/>
    <x v="0"/>
    <x v="0"/>
    <s v="Yes"/>
    <x v="7"/>
    <x v="0"/>
    <x v="2"/>
    <s v="Yes"/>
    <s v="Yes"/>
    <x v="0"/>
    <s v="Software Development"/>
    <n v="10"/>
    <x v="2"/>
    <s v="Single"/>
    <x v="1"/>
    <s v="Family"/>
    <x v="1"/>
    <n v="3.15"/>
    <s v="No"/>
    <n v="3.39"/>
    <n v="140"/>
    <n v="30000"/>
    <x v="0"/>
    <x v="0"/>
    <n v="74"/>
  </r>
  <r>
    <x v="2"/>
    <x v="1"/>
    <n v="21"/>
    <n v="2019"/>
    <x v="0"/>
    <n v="8"/>
    <x v="0"/>
    <s v="Yes"/>
    <x v="2"/>
    <n v="2"/>
    <x v="1"/>
    <x v="0"/>
    <s v="Yes"/>
    <x v="2"/>
    <x v="0"/>
    <x v="5"/>
    <s v="No"/>
    <s v="No"/>
    <x v="0"/>
    <s v="Software Development"/>
    <n v="3"/>
    <x v="2"/>
    <s v="Single"/>
    <x v="1"/>
    <s v="Family"/>
    <x v="0"/>
    <n v="3.46"/>
    <s v="No"/>
    <n v="3.55"/>
    <n v="88"/>
    <n v="80000"/>
    <x v="1"/>
    <x v="0"/>
    <n v="55"/>
  </r>
  <r>
    <x v="2"/>
    <x v="1"/>
    <n v="22"/>
    <n v="2019"/>
    <x v="0"/>
    <n v="8"/>
    <x v="1"/>
    <s v="No"/>
    <x v="1"/>
    <n v="1"/>
    <x v="1"/>
    <x v="0"/>
    <s v="Yes"/>
    <x v="1"/>
    <x v="0"/>
    <x v="10"/>
    <s v="No"/>
    <s v="No"/>
    <x v="0"/>
    <s v="Software Development"/>
    <n v="0"/>
    <x v="2"/>
    <s v="Single"/>
    <x v="1"/>
    <s v="Family"/>
    <x v="0"/>
    <n v="3.32"/>
    <s v="No"/>
    <n v="3.17"/>
    <n v="85"/>
    <n v="40000"/>
    <x v="0"/>
    <x v="0"/>
    <n v="42.6"/>
  </r>
  <r>
    <x v="2"/>
    <x v="1"/>
    <n v="21"/>
    <n v="2019"/>
    <x v="0"/>
    <n v="7"/>
    <x v="0"/>
    <s v="Yes"/>
    <x v="0"/>
    <n v="1"/>
    <x v="0"/>
    <x v="0"/>
    <s v="Yes"/>
    <x v="4"/>
    <x v="0"/>
    <x v="4"/>
    <s v="No"/>
    <s v="No"/>
    <x v="1"/>
    <s v="Software Development"/>
    <n v="2"/>
    <x v="2"/>
    <s v="Single"/>
    <x v="1"/>
    <s v="Family"/>
    <x v="0"/>
    <n v="3.21"/>
    <s v="No"/>
    <n v="3.36"/>
    <n v="76"/>
    <n v="25000"/>
    <x v="0"/>
    <x v="0"/>
    <n v="53"/>
  </r>
  <r>
    <x v="3"/>
    <x v="0"/>
    <n v="19"/>
    <n v="2020"/>
    <x v="0"/>
    <n v="2"/>
    <x v="0"/>
    <s v="No"/>
    <x v="3"/>
    <n v="2"/>
    <x v="0"/>
    <x v="0"/>
    <s v="Yes"/>
    <x v="2"/>
    <x v="1"/>
    <x v="5"/>
    <s v="No"/>
    <s v="No"/>
    <x v="0"/>
    <s v="Software Development"/>
    <n v="4"/>
    <x v="3"/>
    <s v="Single"/>
    <x v="1"/>
    <s v="Bachelor"/>
    <x v="0"/>
    <n v="3.93"/>
    <s v="No"/>
    <n v="3.93"/>
    <n v="11"/>
    <n v="15000"/>
    <x v="1"/>
    <x v="0"/>
    <n v="67"/>
  </r>
  <r>
    <x v="4"/>
    <x v="0"/>
    <n v="24"/>
    <n v="2017"/>
    <x v="0"/>
    <n v="11"/>
    <x v="1"/>
    <s v="No"/>
    <x v="4"/>
    <n v="2"/>
    <x v="0"/>
    <x v="0"/>
    <s v="Yes"/>
    <x v="3"/>
    <x v="0"/>
    <x v="0"/>
    <s v="No"/>
    <s v="No"/>
    <x v="1"/>
    <s v="Software Development"/>
    <n v="3"/>
    <x v="2"/>
    <s v="Single"/>
    <x v="1"/>
    <s v="Family"/>
    <x v="0"/>
    <n v="3.94"/>
    <s v="No"/>
    <n v="3.76"/>
    <n v="130"/>
    <n v="40000"/>
    <x v="1"/>
    <x v="0"/>
    <n v="63"/>
  </r>
  <r>
    <x v="1"/>
    <x v="1"/>
    <n v="22"/>
    <n v="2021"/>
    <x v="0"/>
    <n v="3"/>
    <x v="1"/>
    <s v="No"/>
    <x v="5"/>
    <n v="2"/>
    <x v="1"/>
    <x v="0"/>
    <s v="Yes"/>
    <x v="1"/>
    <x v="0"/>
    <x v="4"/>
    <s v="Yes"/>
    <s v="No"/>
    <x v="0"/>
    <s v="Software Development"/>
    <n v="2"/>
    <x v="2"/>
    <s v="Single"/>
    <x v="0"/>
    <s v="Bachelor"/>
    <x v="0"/>
    <n v="2.87"/>
    <s v="No"/>
    <n v="2.31"/>
    <n v="24"/>
    <n v="200000"/>
    <x v="2"/>
    <x v="0"/>
    <n v="56"/>
  </r>
  <r>
    <x v="1"/>
    <x v="0"/>
    <n v="21"/>
    <n v="2020"/>
    <x v="0"/>
    <n v="5"/>
    <x v="1"/>
    <s v="No"/>
    <x v="0"/>
    <n v="3"/>
    <x v="0"/>
    <x v="0"/>
    <s v="Yes"/>
    <x v="2"/>
    <x v="1"/>
    <x v="5"/>
    <s v="No"/>
    <s v="No"/>
    <x v="0"/>
    <s v="Software Development"/>
    <n v="2"/>
    <x v="2"/>
    <s v="Single"/>
    <x v="1"/>
    <s v="Bachelor"/>
    <x v="0"/>
    <n v="3.31"/>
    <s v="No"/>
    <n v="3.27"/>
    <n v="49"/>
    <n v="30000"/>
    <x v="0"/>
    <x v="0"/>
    <n v="55"/>
  </r>
  <r>
    <x v="3"/>
    <x v="1"/>
    <n v="19"/>
    <n v="2020"/>
    <x v="0"/>
    <n v="2"/>
    <x v="0"/>
    <s v="Yes"/>
    <x v="3"/>
    <n v="2"/>
    <x v="1"/>
    <x v="0"/>
    <s v="Yes"/>
    <x v="3"/>
    <x v="0"/>
    <x v="10"/>
    <s v="No"/>
    <s v="No"/>
    <x v="0"/>
    <s v="Software Development"/>
    <n v="1"/>
    <x v="2"/>
    <s v="Single"/>
    <x v="0"/>
    <s v="Family"/>
    <x v="0"/>
    <n v="4"/>
    <s v="Yes"/>
    <n v="4"/>
    <n v="11"/>
    <n v="35000"/>
    <x v="1"/>
    <x v="0"/>
    <n v="57.6"/>
  </r>
  <r>
    <x v="3"/>
    <x v="0"/>
    <n v="20"/>
    <n v="2020"/>
    <x v="0"/>
    <n v="2"/>
    <x v="0"/>
    <s v="No"/>
    <x v="9"/>
    <n v="0"/>
    <x v="0"/>
    <x v="0"/>
    <s v="Yes"/>
    <x v="4"/>
    <x v="1"/>
    <x v="5"/>
    <s v="No"/>
    <s v="No"/>
    <x v="1"/>
    <s v="Software Development"/>
    <n v="1"/>
    <x v="2"/>
    <s v="Single"/>
    <x v="1"/>
    <s v="Bachelor"/>
    <x v="0"/>
    <n v="4"/>
    <s v="No"/>
    <n v="4"/>
    <n v="12"/>
    <n v="20000"/>
    <x v="1"/>
    <x v="0"/>
    <n v="43"/>
  </r>
  <r>
    <x v="1"/>
    <x v="0"/>
    <n v="20"/>
    <n v="2020"/>
    <x v="0"/>
    <n v="3"/>
    <x v="0"/>
    <s v="No"/>
    <x v="1"/>
    <n v="1"/>
    <x v="1"/>
    <x v="0"/>
    <s v="Yes"/>
    <x v="2"/>
    <x v="0"/>
    <x v="11"/>
    <s v="Yes"/>
    <s v="No"/>
    <x v="0"/>
    <s v="Software Development"/>
    <n v="1"/>
    <x v="5"/>
    <s v="Single"/>
    <x v="1"/>
    <s v="Bachelor"/>
    <x v="1"/>
    <n v="2.08"/>
    <s v="No"/>
    <n v="2.68"/>
    <n v="20"/>
    <n v="50000"/>
    <x v="0"/>
    <x v="0"/>
    <n v="36"/>
  </r>
  <r>
    <x v="1"/>
    <x v="1"/>
    <n v="22"/>
    <n v="2020"/>
    <x v="0"/>
    <n v="3"/>
    <x v="1"/>
    <s v="Yes"/>
    <x v="4"/>
    <n v="2"/>
    <x v="0"/>
    <x v="0"/>
    <s v="Yes"/>
    <x v="1"/>
    <x v="1"/>
    <x v="2"/>
    <s v="Yes"/>
    <s v="No"/>
    <x v="0"/>
    <s v="Software Development"/>
    <n v="2"/>
    <x v="2"/>
    <s v="Single"/>
    <x v="1"/>
    <s v="Family"/>
    <x v="0"/>
    <n v="2.62"/>
    <s v="No"/>
    <n v="2.64"/>
    <n v="18"/>
    <n v="5000"/>
    <x v="0"/>
    <x v="0"/>
    <n v="56"/>
  </r>
  <r>
    <x v="3"/>
    <x v="0"/>
    <n v="19"/>
    <n v="2020"/>
    <x v="0"/>
    <n v="1"/>
    <x v="0"/>
    <s v="Yes"/>
    <x v="2"/>
    <n v="1"/>
    <x v="0"/>
    <x v="0"/>
    <s v="Yes"/>
    <x v="7"/>
    <x v="1"/>
    <x v="5"/>
    <s v="No"/>
    <s v="No"/>
    <x v="0"/>
    <s v="Software Development"/>
    <n v="2"/>
    <x v="2"/>
    <s v="Single"/>
    <x v="0"/>
    <s v="Bachelor"/>
    <x v="0"/>
    <n v="3.89"/>
    <s v="No"/>
    <n v="3.89"/>
    <n v="12"/>
    <n v="35000"/>
    <x v="1"/>
    <x v="0"/>
    <n v="52"/>
  </r>
  <r>
    <x v="0"/>
    <x v="1"/>
    <n v="23"/>
    <n v="2016"/>
    <x v="0"/>
    <n v="14"/>
    <x v="1"/>
    <s v="Yes"/>
    <x v="2"/>
    <n v="1"/>
    <x v="0"/>
    <x v="0"/>
    <s v="Yes"/>
    <x v="7"/>
    <x v="2"/>
    <x v="7"/>
    <s v="Yes"/>
    <s v="No"/>
    <x v="0"/>
    <s v="Networking"/>
    <n v="1"/>
    <x v="5"/>
    <s v="Relationship"/>
    <x v="1"/>
    <s v="Family"/>
    <x v="0"/>
    <n v="2.75"/>
    <s v="No"/>
    <n v="2.88"/>
    <n v="111"/>
    <n v="70000"/>
    <x v="0"/>
    <x v="0"/>
    <n v="37"/>
  </r>
  <r>
    <x v="2"/>
    <x v="0"/>
    <n v="22"/>
    <n v="2018"/>
    <x v="0"/>
    <n v="8"/>
    <x v="1"/>
    <s v="No"/>
    <x v="3"/>
    <n v="2"/>
    <x v="1"/>
    <x v="1"/>
    <s v="Yes"/>
    <x v="2"/>
    <x v="0"/>
    <x v="8"/>
    <s v="No"/>
    <s v="No"/>
    <x v="1"/>
    <s v="Software Development"/>
    <n v="3"/>
    <x v="2"/>
    <s v="Single"/>
    <x v="1"/>
    <s v="Family"/>
    <x v="0"/>
    <n v="4"/>
    <s v="No"/>
    <n v="3.97"/>
    <n v="87"/>
    <n v="30000"/>
    <x v="1"/>
    <x v="0"/>
    <n v="63.2"/>
  </r>
  <r>
    <x v="2"/>
    <x v="0"/>
    <n v="22"/>
    <n v="2018"/>
    <x v="0"/>
    <n v="8"/>
    <x v="0"/>
    <s v="No"/>
    <x v="0"/>
    <n v="2"/>
    <x v="1"/>
    <x v="0"/>
    <s v="Yes"/>
    <x v="2"/>
    <x v="0"/>
    <x v="4"/>
    <s v="No"/>
    <s v="No"/>
    <x v="1"/>
    <s v="Software Development"/>
    <n v="2"/>
    <x v="2"/>
    <s v="Single"/>
    <x v="1"/>
    <s v="Bachelor"/>
    <x v="0"/>
    <n v="3.57"/>
    <s v="No"/>
    <n v="3.57"/>
    <n v="90"/>
    <n v="40000"/>
    <x v="1"/>
    <x v="0"/>
    <n v="53"/>
  </r>
  <r>
    <x v="2"/>
    <x v="1"/>
    <n v="22"/>
    <n v="2018"/>
    <x v="0"/>
    <n v="8"/>
    <x v="0"/>
    <s v="No"/>
    <x v="2"/>
    <n v="1"/>
    <x v="0"/>
    <x v="0"/>
    <s v="Yes"/>
    <x v="2"/>
    <x v="0"/>
    <x v="8"/>
    <s v="No"/>
    <s v="No"/>
    <x v="0"/>
    <s v="Software Development"/>
    <n v="0"/>
    <x v="2"/>
    <s v="Single"/>
    <x v="1"/>
    <s v="Bachelor"/>
    <x v="1"/>
    <n v="3.19"/>
    <s v="No"/>
    <n v="3.41"/>
    <n v="90"/>
    <n v="62488"/>
    <x v="0"/>
    <x v="0"/>
    <n v="45.2"/>
  </r>
  <r>
    <x v="4"/>
    <x v="0"/>
    <n v="23"/>
    <n v="2018"/>
    <x v="0"/>
    <n v="11"/>
    <x v="0"/>
    <s v="No"/>
    <x v="6"/>
    <n v="2"/>
    <x v="0"/>
    <x v="0"/>
    <s v="Yes"/>
    <x v="2"/>
    <x v="0"/>
    <x v="10"/>
    <s v="No"/>
    <s v="No"/>
    <x v="1"/>
    <s v="Software Development"/>
    <n v="3"/>
    <x v="2"/>
    <s v="Single"/>
    <x v="1"/>
    <s v="Bachelor"/>
    <x v="0"/>
    <n v="3.6"/>
    <s v="No"/>
    <n v="3.9"/>
    <n v="130"/>
    <n v="24000"/>
    <x v="1"/>
    <x v="0"/>
    <n v="72.599999999999994"/>
  </r>
  <r>
    <x v="2"/>
    <x v="1"/>
    <n v="20"/>
    <n v="2019"/>
    <x v="0"/>
    <n v="7"/>
    <x v="1"/>
    <s v="Yes"/>
    <x v="4"/>
    <n v="2"/>
    <x v="0"/>
    <x v="0"/>
    <s v="Yes"/>
    <x v="5"/>
    <x v="0"/>
    <x v="9"/>
    <s v="Yes"/>
    <s v="No"/>
    <x v="0"/>
    <s v="Software Development"/>
    <n v="3"/>
    <x v="2"/>
    <s v="Single"/>
    <x v="1"/>
    <s v="Family"/>
    <x v="0"/>
    <n v="2.88"/>
    <s v="No"/>
    <n v="2.88"/>
    <n v="68"/>
    <n v="100000"/>
    <x v="0"/>
    <x v="0"/>
    <n v="61"/>
  </r>
  <r>
    <x v="3"/>
    <x v="0"/>
    <n v="20"/>
    <n v="2020"/>
    <x v="0"/>
    <n v="2"/>
    <x v="0"/>
    <s v="No"/>
    <x v="0"/>
    <n v="2"/>
    <x v="0"/>
    <x v="0"/>
    <s v="No"/>
    <x v="5"/>
    <x v="1"/>
    <x v="0"/>
    <s v="Yes"/>
    <s v="No"/>
    <x v="0"/>
    <s v="Software Development"/>
    <n v="2"/>
    <x v="2"/>
    <s v="Single"/>
    <x v="1"/>
    <s v="Bachelor"/>
    <x v="0"/>
    <n v="2.74"/>
    <s v="No"/>
    <n v="2.74"/>
    <n v="23"/>
    <n v="20000"/>
    <x v="0"/>
    <x v="0"/>
    <n v="51"/>
  </r>
  <r>
    <x v="1"/>
    <x v="1"/>
    <n v="20"/>
    <n v="2019"/>
    <x v="0"/>
    <n v="3"/>
    <x v="1"/>
    <s v="Yes"/>
    <x v="3"/>
    <n v="3"/>
    <x v="0"/>
    <x v="0"/>
    <s v="No"/>
    <x v="1"/>
    <x v="1"/>
    <x v="14"/>
    <s v="Yes"/>
    <s v="No"/>
    <x v="1"/>
    <s v="Software Development"/>
    <n v="3"/>
    <x v="6"/>
    <s v="Single"/>
    <x v="1"/>
    <s v="Family"/>
    <x v="0"/>
    <n v="1.41"/>
    <s v="No"/>
    <n v="2.5499999999999998"/>
    <n v="25"/>
    <n v="10000"/>
    <x v="0"/>
    <x v="0"/>
    <n v="44"/>
  </r>
  <r>
    <x v="4"/>
    <x v="1"/>
    <n v="22"/>
    <n v="2017"/>
    <x v="0"/>
    <n v="11"/>
    <x v="1"/>
    <s v="No"/>
    <x v="3"/>
    <n v="2"/>
    <x v="0"/>
    <x v="0"/>
    <s v="Yes"/>
    <x v="1"/>
    <x v="0"/>
    <x v="5"/>
    <s v="No"/>
    <s v="No"/>
    <x v="0"/>
    <s v="Software Development"/>
    <n v="2"/>
    <x v="5"/>
    <s v="Single"/>
    <x v="1"/>
    <s v="Bachelor"/>
    <x v="0"/>
    <n v="3.42"/>
    <s v="No"/>
    <n v="3.32"/>
    <n v="122"/>
    <n v="40000"/>
    <x v="0"/>
    <x v="0"/>
    <n v="61"/>
  </r>
  <r>
    <x v="4"/>
    <x v="1"/>
    <n v="22"/>
    <n v="2017"/>
    <x v="0"/>
    <n v="11"/>
    <x v="1"/>
    <s v="No"/>
    <x v="3"/>
    <n v="2"/>
    <x v="0"/>
    <x v="0"/>
    <s v="Yes"/>
    <x v="1"/>
    <x v="0"/>
    <x v="10"/>
    <s v="No"/>
    <s v="No"/>
    <x v="0"/>
    <s v="Software Development"/>
    <n v="2"/>
    <x v="5"/>
    <s v="Single"/>
    <x v="1"/>
    <s v="Bachelor"/>
    <x v="0"/>
    <n v="3.1"/>
    <s v="No"/>
    <n v="3.08"/>
    <n v="118"/>
    <n v="40000"/>
    <x v="0"/>
    <x v="0"/>
    <n v="60.6"/>
  </r>
  <r>
    <x v="2"/>
    <x v="0"/>
    <n v="21"/>
    <n v="2019"/>
    <x v="0"/>
    <n v="8"/>
    <x v="0"/>
    <s v="No"/>
    <x v="2"/>
    <n v="1"/>
    <x v="1"/>
    <x v="0"/>
    <s v="Yes"/>
    <x v="3"/>
    <x v="2"/>
    <x v="0"/>
    <s v="No"/>
    <s v="No"/>
    <x v="1"/>
    <s v="Software Development"/>
    <n v="2"/>
    <x v="5"/>
    <s v="Single"/>
    <x v="1"/>
    <s v="Bachelor"/>
    <x v="0"/>
    <n v="3.96"/>
    <s v="No"/>
    <n v="3.86"/>
    <n v="87"/>
    <n v="120000"/>
    <x v="1"/>
    <x v="0"/>
    <n v="48"/>
  </r>
  <r>
    <x v="3"/>
    <x v="0"/>
    <n v="20"/>
    <n v="2020"/>
    <x v="0"/>
    <n v="2"/>
    <x v="0"/>
    <s v="No"/>
    <x v="0"/>
    <n v="2"/>
    <x v="1"/>
    <x v="0"/>
    <s v="Yes"/>
    <x v="2"/>
    <x v="0"/>
    <x v="7"/>
    <s v="No"/>
    <s v="No"/>
    <x v="0"/>
    <s v="Software Development"/>
    <n v="1"/>
    <x v="0"/>
    <s v="Single"/>
    <x v="1"/>
    <s v="Bachelor"/>
    <x v="0"/>
    <n v="3.29"/>
    <s v="No"/>
    <n v="3.29"/>
    <n v="11"/>
    <n v="40000"/>
    <x v="0"/>
    <x v="0"/>
    <n v="40"/>
  </r>
  <r>
    <x v="3"/>
    <x v="1"/>
    <n v="22"/>
    <n v="2017"/>
    <x v="0"/>
    <n v="1"/>
    <x v="0"/>
    <s v="Yes"/>
    <x v="0"/>
    <n v="3"/>
    <x v="0"/>
    <x v="0"/>
    <s v="Yes"/>
    <x v="1"/>
    <x v="1"/>
    <x v="5"/>
    <s v="No"/>
    <s v="No"/>
    <x v="1"/>
    <s v="Software Development"/>
    <n v="2"/>
    <x v="2"/>
    <s v="Single"/>
    <x v="1"/>
    <s v="Family"/>
    <x v="0"/>
    <n v="3.75"/>
    <s v="No"/>
    <n v="3.75"/>
    <n v="12"/>
    <n v="50000"/>
    <x v="1"/>
    <x v="0"/>
    <n v="55"/>
  </r>
  <r>
    <x v="2"/>
    <x v="1"/>
    <n v="21"/>
    <n v="2019"/>
    <x v="0"/>
    <n v="8"/>
    <x v="0"/>
    <s v="No"/>
    <x v="3"/>
    <n v="2"/>
    <x v="0"/>
    <x v="0"/>
    <s v="Yes"/>
    <x v="2"/>
    <x v="0"/>
    <x v="5"/>
    <s v="No"/>
    <s v="No"/>
    <x v="0"/>
    <s v="Software Development"/>
    <n v="2"/>
    <x v="2"/>
    <s v="Single"/>
    <x v="1"/>
    <s v="Bachelor"/>
    <x v="0"/>
    <n v="3.66"/>
    <s v="No"/>
    <n v="3.8"/>
    <n v="87"/>
    <n v="50000"/>
    <x v="1"/>
    <x v="0"/>
    <n v="61"/>
  </r>
  <r>
    <x v="3"/>
    <x v="1"/>
    <n v="20"/>
    <n v="2019"/>
    <x v="0"/>
    <n v="1"/>
    <x v="0"/>
    <s v="Yes"/>
    <x v="2"/>
    <n v="3"/>
    <x v="0"/>
    <x v="0"/>
    <s v="Yes"/>
    <x v="3"/>
    <x v="1"/>
    <x v="6"/>
    <s v="No"/>
    <s v="No"/>
    <x v="0"/>
    <s v="Software Development"/>
    <n v="2"/>
    <x v="4"/>
    <s v="Single"/>
    <x v="0"/>
    <s v="Family"/>
    <x v="0"/>
    <n v="0"/>
    <s v="No"/>
    <n v="0"/>
    <n v="0"/>
    <n v="45000"/>
    <x v="2"/>
    <x v="0"/>
    <n v="50.800000000000004"/>
  </r>
  <r>
    <x v="4"/>
    <x v="0"/>
    <n v="21"/>
    <n v="2019"/>
    <x v="0"/>
    <n v="8"/>
    <x v="0"/>
    <s v="No"/>
    <x v="5"/>
    <n v="2"/>
    <x v="0"/>
    <x v="0"/>
    <s v="Yes"/>
    <x v="3"/>
    <x v="0"/>
    <x v="0"/>
    <s v="No"/>
    <s v="No"/>
    <x v="0"/>
    <s v="Cyber security"/>
    <n v="2"/>
    <x v="4"/>
    <s v="Single"/>
    <x v="1"/>
    <s v="Bachelor"/>
    <x v="0"/>
    <n v="3.88"/>
    <s v="No"/>
    <n v="3.71"/>
    <n v="92"/>
    <n v="30000"/>
    <x v="1"/>
    <x v="0"/>
    <n v="54"/>
  </r>
  <r>
    <x v="2"/>
    <x v="0"/>
    <n v="22"/>
    <n v="2018"/>
    <x v="0"/>
    <n v="8"/>
    <x v="0"/>
    <s v="Yes"/>
    <x v="2"/>
    <n v="1"/>
    <x v="1"/>
    <x v="0"/>
    <s v="Yes"/>
    <x v="3"/>
    <x v="0"/>
    <x v="0"/>
    <s v="No"/>
    <s v="No"/>
    <x v="1"/>
    <s v="Software Development"/>
    <n v="2"/>
    <x v="2"/>
    <s v="Single"/>
    <x v="0"/>
    <s v="Bachelor"/>
    <x v="0"/>
    <n v="4"/>
    <s v="No"/>
    <n v="3.89"/>
    <n v="75"/>
    <n v="30000"/>
    <x v="1"/>
    <x v="0"/>
    <n v="48"/>
  </r>
  <r>
    <x v="4"/>
    <x v="0"/>
    <n v="21"/>
    <n v="2018"/>
    <x v="0"/>
    <n v="8"/>
    <x v="0"/>
    <s v="Yes"/>
    <x v="2"/>
    <n v="2"/>
    <x v="0"/>
    <x v="1"/>
    <s v="Yes"/>
    <x v="1"/>
    <x v="0"/>
    <x v="0"/>
    <s v="No"/>
    <s v="No"/>
    <x v="0"/>
    <s v="Software Development"/>
    <n v="2"/>
    <x v="2"/>
    <s v="Single"/>
    <x v="0"/>
    <s v="Bachelor"/>
    <x v="0"/>
    <n v="3.64"/>
    <s v="No"/>
    <n v="3.42"/>
    <n v="100"/>
    <n v="18000"/>
    <x v="0"/>
    <x v="0"/>
    <n v="48"/>
  </r>
  <r>
    <x v="0"/>
    <x v="0"/>
    <n v="25"/>
    <n v="2016"/>
    <x v="0"/>
    <n v="13"/>
    <x v="0"/>
    <s v="Yes"/>
    <x v="2"/>
    <n v="2"/>
    <x v="1"/>
    <x v="0"/>
    <s v="Yes"/>
    <x v="1"/>
    <x v="0"/>
    <x v="0"/>
    <s v="Yes"/>
    <s v="Yes"/>
    <x v="0"/>
    <s v="Software Development"/>
    <n v="2"/>
    <x v="2"/>
    <s v="Single"/>
    <x v="1"/>
    <s v="Family"/>
    <x v="0"/>
    <n v="2.4"/>
    <s v="No"/>
    <n v="2.41"/>
    <n v="86"/>
    <n v="50000"/>
    <x v="2"/>
    <x v="0"/>
    <n v="48"/>
  </r>
  <r>
    <x v="1"/>
    <x v="1"/>
    <n v="20"/>
    <n v="2020"/>
    <x v="0"/>
    <n v="2"/>
    <x v="1"/>
    <s v="No"/>
    <x v="2"/>
    <n v="1"/>
    <x v="0"/>
    <x v="0"/>
    <s v="No"/>
    <x v="1"/>
    <x v="1"/>
    <x v="0"/>
    <s v="No"/>
    <s v="No"/>
    <x v="1"/>
    <s v="Software Development"/>
    <n v="2"/>
    <x v="2"/>
    <s v="Single"/>
    <x v="0"/>
    <s v="Bachelor"/>
    <x v="1"/>
    <n v="2.67"/>
    <s v="No"/>
    <n v="2.67"/>
    <n v="12"/>
    <n v="25000"/>
    <x v="0"/>
    <x v="0"/>
    <n v="48"/>
  </r>
  <r>
    <x v="1"/>
    <x v="1"/>
    <n v="22"/>
    <n v="2018"/>
    <x v="0"/>
    <n v="2"/>
    <x v="0"/>
    <s v="No"/>
    <x v="5"/>
    <n v="2"/>
    <x v="0"/>
    <x v="0"/>
    <s v="Yes"/>
    <x v="1"/>
    <x v="1"/>
    <x v="2"/>
    <s v="Yes"/>
    <s v="No"/>
    <x v="0"/>
    <s v="Software Development"/>
    <n v="3"/>
    <x v="2"/>
    <s v="Married"/>
    <x v="1"/>
    <s v="Family"/>
    <x v="1"/>
    <n v="2.86"/>
    <s v="No"/>
    <n v="2.86"/>
    <n v="15"/>
    <n v="50000"/>
    <x v="0"/>
    <x v="0"/>
    <n v="53"/>
  </r>
  <r>
    <x v="1"/>
    <x v="0"/>
    <n v="20"/>
    <n v="2020"/>
    <x v="0"/>
    <n v="3"/>
    <x v="0"/>
    <s v="No"/>
    <x v="1"/>
    <n v="1"/>
    <x v="1"/>
    <x v="0"/>
    <s v="Yes"/>
    <x v="2"/>
    <x v="0"/>
    <x v="2"/>
    <s v="No"/>
    <s v="No"/>
    <x v="1"/>
    <s v="Software Development"/>
    <n v="1"/>
    <x v="2"/>
    <s v="Single"/>
    <x v="0"/>
    <s v="Bachelor"/>
    <x v="1"/>
    <n v="2.63"/>
    <s v="No"/>
    <n v="3.07"/>
    <n v="27"/>
    <n v="25000"/>
    <x v="0"/>
    <x v="0"/>
    <n v="38"/>
  </r>
  <r>
    <x v="2"/>
    <x v="1"/>
    <n v="21"/>
    <n v="2018"/>
    <x v="0"/>
    <n v="8"/>
    <x v="1"/>
    <s v="Yes"/>
    <x v="0"/>
    <n v="2"/>
    <x v="1"/>
    <x v="0"/>
    <s v="Yes"/>
    <x v="3"/>
    <x v="0"/>
    <x v="1"/>
    <s v="No"/>
    <s v="No"/>
    <x v="0"/>
    <s v="Software Development"/>
    <n v="2"/>
    <x v="5"/>
    <s v="Single"/>
    <x v="1"/>
    <s v="Family"/>
    <x v="1"/>
    <n v="3.48"/>
    <s v="No"/>
    <n v="3.74"/>
    <n v="87"/>
    <n v="20000"/>
    <x v="1"/>
    <x v="0"/>
    <n v="53.400000000000006"/>
  </r>
  <r>
    <x v="3"/>
    <x v="0"/>
    <n v="19"/>
    <n v="2020"/>
    <x v="0"/>
    <n v="2"/>
    <x v="0"/>
    <s v="Yes"/>
    <x v="1"/>
    <n v="1"/>
    <x v="0"/>
    <x v="0"/>
    <s v="Yes"/>
    <x v="4"/>
    <x v="0"/>
    <x v="10"/>
    <s v="No"/>
    <s v="No"/>
    <x v="1"/>
    <s v="Software Development"/>
    <n v="1"/>
    <x v="2"/>
    <s v="Single"/>
    <x v="1"/>
    <s v="Family"/>
    <x v="0"/>
    <n v="3.75"/>
    <s v="No"/>
    <n v="3.75"/>
    <n v="12"/>
    <n v="30000"/>
    <x v="1"/>
    <x v="0"/>
    <n v="45.6"/>
  </r>
  <r>
    <x v="4"/>
    <x v="0"/>
    <n v="21"/>
    <n v="2019"/>
    <x v="0"/>
    <n v="8"/>
    <x v="0"/>
    <s v="Yes"/>
    <x v="2"/>
    <n v="1"/>
    <x v="0"/>
    <x v="0"/>
    <s v="Yes"/>
    <x v="3"/>
    <x v="0"/>
    <x v="4"/>
    <s v="No"/>
    <s v="No"/>
    <x v="0"/>
    <s v="Software Development"/>
    <n v="2"/>
    <x v="2"/>
    <s v="Single"/>
    <x v="0"/>
    <s v="Family"/>
    <x v="0"/>
    <n v="3.94"/>
    <s v="No"/>
    <n v="3.88"/>
    <n v="90"/>
    <n v="30000"/>
    <x v="1"/>
    <x v="0"/>
    <n v="50"/>
  </r>
  <r>
    <x v="3"/>
    <x v="1"/>
    <n v="21"/>
    <n v="2019"/>
    <x v="0"/>
    <n v="1"/>
    <x v="0"/>
    <s v="Yes"/>
    <x v="2"/>
    <n v="1"/>
    <x v="0"/>
    <x v="0"/>
    <s v="No"/>
    <x v="0"/>
    <x v="0"/>
    <x v="5"/>
    <s v="No"/>
    <s v="No"/>
    <x v="0"/>
    <s v="Networking"/>
    <n v="1"/>
    <x v="2"/>
    <s v="Single"/>
    <x v="1"/>
    <s v="Family"/>
    <x v="0"/>
    <n v="0"/>
    <s v="No"/>
    <n v="0"/>
    <n v="0"/>
    <n v="40000"/>
    <x v="2"/>
    <x v="0"/>
    <n v="49"/>
  </r>
  <r>
    <x v="3"/>
    <x v="1"/>
    <n v="20"/>
    <n v="2020"/>
    <x v="0"/>
    <n v="1"/>
    <x v="0"/>
    <s v="No"/>
    <x v="2"/>
    <n v="1"/>
    <x v="0"/>
    <x v="0"/>
    <s v="Yes"/>
    <x v="2"/>
    <x v="1"/>
    <x v="10"/>
    <s v="No"/>
    <s v="No"/>
    <x v="0"/>
    <s v="Software Development"/>
    <n v="2"/>
    <x v="2"/>
    <s v="Single"/>
    <x v="1"/>
    <s v="Family"/>
    <x v="0"/>
    <n v="4"/>
    <s v="No"/>
    <n v="4"/>
    <n v="13"/>
    <n v="62488"/>
    <x v="1"/>
    <x v="0"/>
    <n v="51.6"/>
  </r>
  <r>
    <x v="2"/>
    <x v="1"/>
    <n v="21"/>
    <n v="2018"/>
    <x v="0"/>
    <n v="8"/>
    <x v="0"/>
    <s v="No"/>
    <x v="2"/>
    <n v="2"/>
    <x v="0"/>
    <x v="0"/>
    <s v="Yes"/>
    <x v="2"/>
    <x v="0"/>
    <x v="2"/>
    <s v="No"/>
    <s v="No"/>
    <x v="0"/>
    <s v="Software Development"/>
    <n v="1"/>
    <x v="2"/>
    <s v="Engaged"/>
    <x v="1"/>
    <s v="Family"/>
    <x v="1"/>
    <n v="3.5"/>
    <s v="No"/>
    <n v="3.63"/>
    <n v="87"/>
    <n v="90000"/>
    <x v="1"/>
    <x v="0"/>
    <n v="41"/>
  </r>
  <r>
    <x v="3"/>
    <x v="0"/>
    <n v="19"/>
    <n v="2020"/>
    <x v="0"/>
    <n v="2"/>
    <x v="0"/>
    <s v="No"/>
    <x v="0"/>
    <n v="1"/>
    <x v="1"/>
    <x v="0"/>
    <s v="Yes"/>
    <x v="2"/>
    <x v="1"/>
    <x v="9"/>
    <s v="No"/>
    <s v="No"/>
    <x v="1"/>
    <s v="Cyber security"/>
    <n v="1"/>
    <x v="2"/>
    <s v="Single"/>
    <x v="1"/>
    <s v="Family"/>
    <x v="0"/>
    <n v="1.91"/>
    <s v="No"/>
    <n v="1.75"/>
    <n v="6"/>
    <n v="300000"/>
    <x v="2"/>
    <x v="0"/>
    <n v="46"/>
  </r>
  <r>
    <x v="3"/>
    <x v="0"/>
    <n v="20"/>
    <n v="2021"/>
    <x v="0"/>
    <n v="2"/>
    <x v="0"/>
    <s v="Yes"/>
    <x v="2"/>
    <n v="2"/>
    <x v="0"/>
    <x v="0"/>
    <s v="Yes"/>
    <x v="3"/>
    <x v="1"/>
    <x v="0"/>
    <s v="No"/>
    <s v="No"/>
    <x v="1"/>
    <s v="i don't"/>
    <n v="1"/>
    <x v="2"/>
    <s v="Single"/>
    <x v="1"/>
    <s v="Family"/>
    <x v="0"/>
    <n v="3.85"/>
    <s v="No"/>
    <n v="3.85"/>
    <n v="11"/>
    <n v="30000"/>
    <x v="1"/>
    <x v="0"/>
    <n v="45"/>
  </r>
  <r>
    <x v="2"/>
    <x v="0"/>
    <n v="22"/>
    <n v="2019"/>
    <x v="0"/>
    <n v="8"/>
    <x v="1"/>
    <s v="Yes"/>
    <x v="1"/>
    <n v="1"/>
    <x v="0"/>
    <x v="0"/>
    <s v="Yes"/>
    <x v="2"/>
    <x v="1"/>
    <x v="4"/>
    <s v="No"/>
    <s v="No"/>
    <x v="0"/>
    <s v="Video editing"/>
    <n v="2"/>
    <x v="5"/>
    <s v="Single"/>
    <x v="0"/>
    <s v="Bachelor"/>
    <x v="0"/>
    <n v="1.97"/>
    <s v="No"/>
    <n v="2.77"/>
    <n v="85"/>
    <n v="40000"/>
    <x v="0"/>
    <x v="0"/>
    <n v="47"/>
  </r>
  <r>
    <x v="3"/>
    <x v="0"/>
    <n v="20"/>
    <n v="2020"/>
    <x v="0"/>
    <n v="2"/>
    <x v="0"/>
    <s v="Yes"/>
    <x v="2"/>
    <n v="1"/>
    <x v="0"/>
    <x v="0"/>
    <s v="Yes"/>
    <x v="2"/>
    <x v="0"/>
    <x v="8"/>
    <s v="No"/>
    <s v="No"/>
    <x v="0"/>
    <s v="Software Development"/>
    <n v="3"/>
    <x v="2"/>
    <s v="Single"/>
    <x v="1"/>
    <s v="Family"/>
    <x v="0"/>
    <n v="3.51"/>
    <s v="No"/>
    <n v="3.51"/>
    <n v="11"/>
    <n v="40000"/>
    <x v="1"/>
    <x v="0"/>
    <n v="54.2"/>
  </r>
  <r>
    <x v="3"/>
    <x v="0"/>
    <n v="21"/>
    <n v="2019"/>
    <x v="0"/>
    <n v="2"/>
    <x v="1"/>
    <s v="No"/>
    <x v="0"/>
    <n v="2"/>
    <x v="0"/>
    <x v="0"/>
    <s v="Yes"/>
    <x v="2"/>
    <x v="1"/>
    <x v="4"/>
    <s v="No"/>
    <s v="No"/>
    <x v="0"/>
    <s v="Software Development"/>
    <n v="2"/>
    <x v="3"/>
    <s v="Single"/>
    <x v="1"/>
    <s v="Bachelor"/>
    <x v="0"/>
    <n v="3.85"/>
    <s v="No"/>
    <n v="3.85"/>
    <n v="11"/>
    <n v="20000"/>
    <x v="1"/>
    <x v="0"/>
    <n v="53"/>
  </r>
  <r>
    <x v="3"/>
    <x v="1"/>
    <n v="20"/>
    <n v="2020"/>
    <x v="0"/>
    <n v="2"/>
    <x v="0"/>
    <s v="Yes"/>
    <x v="0"/>
    <n v="3"/>
    <x v="0"/>
    <x v="0"/>
    <s v="Yes"/>
    <x v="0"/>
    <x v="1"/>
    <x v="0"/>
    <s v="No"/>
    <s v="No"/>
    <x v="0"/>
    <s v="Software Development"/>
    <n v="2"/>
    <x v="2"/>
    <s v="Single"/>
    <x v="1"/>
    <s v="Family"/>
    <x v="0"/>
    <n v="4"/>
    <s v="No"/>
    <n v="4"/>
    <n v="11"/>
    <n v="50000"/>
    <x v="1"/>
    <x v="0"/>
    <n v="51"/>
  </r>
  <r>
    <x v="3"/>
    <x v="0"/>
    <n v="19"/>
    <n v="2020"/>
    <x v="0"/>
    <n v="2"/>
    <x v="1"/>
    <s v="No"/>
    <x v="5"/>
    <n v="2"/>
    <x v="0"/>
    <x v="0"/>
    <s v="Yes"/>
    <x v="3"/>
    <x v="1"/>
    <x v="0"/>
    <s v="No"/>
    <s v="No"/>
    <x v="0"/>
    <s v="Software Development"/>
    <n v="1"/>
    <x v="3"/>
    <s v="Single"/>
    <x v="1"/>
    <s v="Bachelor"/>
    <x v="0"/>
    <n v="3.21"/>
    <s v="No"/>
    <n v="3.21"/>
    <n v="11"/>
    <n v="40000"/>
    <x v="0"/>
    <x v="0"/>
    <n v="51"/>
  </r>
  <r>
    <x v="2"/>
    <x v="1"/>
    <n v="22"/>
    <n v="2019"/>
    <x v="0"/>
    <n v="8"/>
    <x v="0"/>
    <s v="No"/>
    <x v="0"/>
    <n v="2"/>
    <x v="0"/>
    <x v="0"/>
    <s v="Yes"/>
    <x v="2"/>
    <x v="0"/>
    <x v="4"/>
    <s v="No"/>
    <s v="No"/>
    <x v="0"/>
    <s v="Software Development"/>
    <n v="2"/>
    <x v="6"/>
    <s v="Single"/>
    <x v="0"/>
    <s v="Family"/>
    <x v="0"/>
    <n v="3.15"/>
    <s v="No"/>
    <n v="3.65"/>
    <n v="84"/>
    <n v="50000"/>
    <x v="1"/>
    <x v="0"/>
    <n v="53"/>
  </r>
  <r>
    <x v="3"/>
    <x v="0"/>
    <n v="21"/>
    <n v="2020"/>
    <x v="0"/>
    <n v="2"/>
    <x v="0"/>
    <s v="No"/>
    <x v="5"/>
    <n v="3"/>
    <x v="0"/>
    <x v="0"/>
    <s v="Yes"/>
    <x v="3"/>
    <x v="1"/>
    <x v="2"/>
    <s v="Yes"/>
    <s v="Yes"/>
    <x v="0"/>
    <s v="Software Development"/>
    <n v="1"/>
    <x v="2"/>
    <s v="Relationship"/>
    <x v="0"/>
    <s v="Bachelor"/>
    <x v="1"/>
    <n v="3.1"/>
    <s v="No"/>
    <n v="3.1"/>
    <n v="14"/>
    <n v="20000"/>
    <x v="0"/>
    <x v="0"/>
    <n v="47"/>
  </r>
  <r>
    <x v="4"/>
    <x v="0"/>
    <n v="23"/>
    <n v="2016"/>
    <x v="0"/>
    <n v="10"/>
    <x v="0"/>
    <s v="No"/>
    <x v="1"/>
    <n v="1"/>
    <x v="0"/>
    <x v="0"/>
    <s v="Yes"/>
    <x v="2"/>
    <x v="0"/>
    <x v="0"/>
    <s v="No"/>
    <s v="No"/>
    <x v="0"/>
    <s v="Mentoring"/>
    <n v="3"/>
    <x v="5"/>
    <s v="Single"/>
    <x v="1"/>
    <s v="Bachelor"/>
    <x v="0"/>
    <n v="3.22"/>
    <s v="No"/>
    <n v="3.47"/>
    <n v="95"/>
    <n v="13500"/>
    <x v="0"/>
    <x v="0"/>
    <n v="48"/>
  </r>
  <r>
    <x v="1"/>
    <x v="1"/>
    <n v="22"/>
    <n v="2019"/>
    <x v="0"/>
    <n v="3"/>
    <x v="0"/>
    <s v="Yes"/>
    <x v="0"/>
    <n v="2"/>
    <x v="0"/>
    <x v="0"/>
    <s v="Yes"/>
    <x v="4"/>
    <x v="0"/>
    <x v="7"/>
    <s v="No"/>
    <s v="No"/>
    <x v="1"/>
    <s v="Software Development"/>
    <n v="2"/>
    <x v="5"/>
    <s v="Single"/>
    <x v="1"/>
    <s v="Family"/>
    <x v="0"/>
    <n v="3.52"/>
    <s v="No"/>
    <n v="3.77"/>
    <n v="23"/>
    <n v="25000"/>
    <x v="1"/>
    <x v="0"/>
    <n v="43"/>
  </r>
  <r>
    <x v="1"/>
    <x v="1"/>
    <n v="20"/>
    <n v="2020"/>
    <x v="0"/>
    <n v="3"/>
    <x v="0"/>
    <s v="No"/>
    <x v="2"/>
    <n v="2"/>
    <x v="0"/>
    <x v="0"/>
    <s v="Yes"/>
    <x v="2"/>
    <x v="0"/>
    <x v="9"/>
    <s v="No"/>
    <s v="No"/>
    <x v="0"/>
    <s v="Software Development"/>
    <n v="1"/>
    <x v="2"/>
    <s v="Single"/>
    <x v="1"/>
    <s v="Family"/>
    <x v="0"/>
    <n v="3.24"/>
    <s v="No"/>
    <n v="3.32"/>
    <n v="23"/>
    <n v="80000"/>
    <x v="0"/>
    <x v="0"/>
    <n v="43"/>
  </r>
  <r>
    <x v="4"/>
    <x v="0"/>
    <n v="23"/>
    <n v="2017"/>
    <x v="0"/>
    <n v="11"/>
    <x v="1"/>
    <s v="Yes"/>
    <x v="10"/>
    <n v="3"/>
    <x v="0"/>
    <x v="0"/>
    <s v="Yes"/>
    <x v="2"/>
    <x v="0"/>
    <x v="0"/>
    <s v="No"/>
    <s v="No"/>
    <x v="1"/>
    <s v="Software Development"/>
    <n v="4"/>
    <x v="2"/>
    <s v="Single"/>
    <x v="0"/>
    <s v="Bachelor"/>
    <x v="1"/>
    <n v="3.94"/>
    <s v="Yes"/>
    <n v="3.95"/>
    <n v="126"/>
    <n v="25000"/>
    <x v="1"/>
    <x v="0"/>
    <n v="78"/>
  </r>
  <r>
    <x v="2"/>
    <x v="1"/>
    <n v="22"/>
    <n v="2018"/>
    <x v="0"/>
    <n v="8"/>
    <x v="1"/>
    <s v="No"/>
    <x v="5"/>
    <n v="1"/>
    <x v="1"/>
    <x v="0"/>
    <s v="Yes"/>
    <x v="6"/>
    <x v="0"/>
    <x v="2"/>
    <s v="No"/>
    <s v="No"/>
    <x v="1"/>
    <s v="Graphics design"/>
    <n v="1"/>
    <x v="5"/>
    <s v="Single"/>
    <x v="0"/>
    <s v="Family"/>
    <x v="0"/>
    <n v="2.5"/>
    <s v="No"/>
    <n v="2.85"/>
    <n v="90"/>
    <n v="70000"/>
    <x v="0"/>
    <x v="0"/>
    <n v="47"/>
  </r>
  <r>
    <x v="2"/>
    <x v="1"/>
    <n v="21"/>
    <n v="2018"/>
    <x v="0"/>
    <n v="8"/>
    <x v="1"/>
    <s v="Yes"/>
    <x v="0"/>
    <n v="1"/>
    <x v="0"/>
    <x v="0"/>
    <s v="Yes"/>
    <x v="1"/>
    <x v="1"/>
    <x v="3"/>
    <s v="No"/>
    <s v="No"/>
    <x v="1"/>
    <s v="graphic design"/>
    <n v="5"/>
    <x v="4"/>
    <s v="Single"/>
    <x v="1"/>
    <s v="Bachelor"/>
    <x v="1"/>
    <n v="2.65"/>
    <s v="No"/>
    <n v="2.85"/>
    <n v="70"/>
    <n v="35000"/>
    <x v="0"/>
    <x v="0"/>
    <n v="59.2"/>
  </r>
  <r>
    <x v="1"/>
    <x v="0"/>
    <n v="20"/>
    <n v="2020"/>
    <x v="0"/>
    <n v="2"/>
    <x v="0"/>
    <s v="Yes"/>
    <x v="1"/>
    <n v="4"/>
    <x v="1"/>
    <x v="0"/>
    <s v="No"/>
    <x v="5"/>
    <x v="0"/>
    <x v="2"/>
    <s v="No"/>
    <s v="No"/>
    <x v="1"/>
    <s v="Software Development"/>
    <n v="1"/>
    <x v="2"/>
    <s v="Single"/>
    <x v="1"/>
    <s v="Family"/>
    <x v="0"/>
    <n v="2.91"/>
    <s v="No"/>
    <n v="2.91"/>
    <n v="11"/>
    <n v="25000"/>
    <x v="0"/>
    <x v="0"/>
    <n v="38"/>
  </r>
  <r>
    <x v="6"/>
    <x v="0"/>
    <n v="26"/>
    <n v="2014"/>
    <x v="0"/>
    <n v="22"/>
    <x v="1"/>
    <s v="Yes"/>
    <x v="3"/>
    <n v="4"/>
    <x v="0"/>
    <x v="0"/>
    <s v="Yes"/>
    <x v="3"/>
    <x v="0"/>
    <x v="5"/>
    <s v="Yes"/>
    <s v="Yes"/>
    <x v="0"/>
    <s v="Software Development"/>
    <n v="1"/>
    <x v="2"/>
    <s v="Single"/>
    <x v="1"/>
    <s v="Bachelor"/>
    <x v="0"/>
    <n v="3.22"/>
    <s v="No"/>
    <n v="2.83"/>
    <n v="103"/>
    <n v="25000"/>
    <x v="0"/>
    <x v="0"/>
    <n v="58"/>
  </r>
  <r>
    <x v="2"/>
    <x v="0"/>
    <n v="21"/>
    <n v="2019"/>
    <x v="0"/>
    <n v="7"/>
    <x v="0"/>
    <s v="Yes"/>
    <x v="1"/>
    <n v="1"/>
    <x v="0"/>
    <x v="0"/>
    <s v="Yes"/>
    <x v="3"/>
    <x v="1"/>
    <x v="5"/>
    <s v="No"/>
    <s v="No"/>
    <x v="1"/>
    <s v="Software Development"/>
    <n v="1"/>
    <x v="2"/>
    <s v="Single"/>
    <x v="0"/>
    <s v="Family"/>
    <x v="0"/>
    <n v="3.67"/>
    <s v="No"/>
    <n v="3.48"/>
    <n v="75"/>
    <n v="62488"/>
    <x v="0"/>
    <x v="0"/>
    <n v="46"/>
  </r>
  <r>
    <x v="3"/>
    <x v="1"/>
    <n v="21"/>
    <n v="2019"/>
    <x v="0"/>
    <n v="2"/>
    <x v="0"/>
    <s v="No"/>
    <x v="1"/>
    <n v="2"/>
    <x v="0"/>
    <x v="0"/>
    <s v="Yes"/>
    <x v="2"/>
    <x v="0"/>
    <x v="10"/>
    <s v="No"/>
    <s v="No"/>
    <x v="1"/>
    <s v="Software Development"/>
    <n v="2"/>
    <x v="2"/>
    <s v="Single"/>
    <x v="1"/>
    <s v="Bachelor"/>
    <x v="0"/>
    <n v="4"/>
    <s v="No"/>
    <n v="4"/>
    <n v="12"/>
    <n v="30000"/>
    <x v="1"/>
    <x v="0"/>
    <n v="48.6"/>
  </r>
  <r>
    <x v="3"/>
    <x v="0"/>
    <n v="21"/>
    <n v="2020"/>
    <x v="0"/>
    <n v="2"/>
    <x v="0"/>
    <s v="Yes"/>
    <x v="0"/>
    <n v="1"/>
    <x v="0"/>
    <x v="0"/>
    <s v="Yes"/>
    <x v="0"/>
    <x v="1"/>
    <x v="4"/>
    <s v="No"/>
    <s v="No"/>
    <x v="0"/>
    <s v="Software Development"/>
    <n v="1"/>
    <x v="5"/>
    <s v="Single"/>
    <x v="0"/>
    <s v="Family"/>
    <x v="0"/>
    <n v="3.92"/>
    <s v="No"/>
    <n v="3.92"/>
    <n v="12"/>
    <n v="35000"/>
    <x v="1"/>
    <x v="0"/>
    <n v="50"/>
  </r>
  <r>
    <x v="4"/>
    <x v="0"/>
    <n v="23"/>
    <n v="2018"/>
    <x v="0"/>
    <n v="11"/>
    <x v="1"/>
    <s v="No"/>
    <x v="4"/>
    <n v="2"/>
    <x v="1"/>
    <x v="0"/>
    <s v="Yes"/>
    <x v="5"/>
    <x v="2"/>
    <x v="0"/>
    <s v="No"/>
    <s v="No"/>
    <x v="0"/>
    <s v="Software Development"/>
    <n v="5"/>
    <x v="7"/>
    <s v="Single"/>
    <x v="1"/>
    <s v="Bachelor"/>
    <x v="0"/>
    <n v="3.02"/>
    <s v="No"/>
    <n v="3.05"/>
    <n v="123"/>
    <n v="40000"/>
    <x v="0"/>
    <x v="0"/>
    <n v="69"/>
  </r>
  <r>
    <x v="2"/>
    <x v="1"/>
    <n v="21"/>
    <n v="2019"/>
    <x v="0"/>
    <n v="8"/>
    <x v="1"/>
    <s v="Yes"/>
    <x v="11"/>
    <n v="2"/>
    <x v="1"/>
    <x v="0"/>
    <s v="Yes"/>
    <x v="3"/>
    <x v="2"/>
    <x v="5"/>
    <s v="No"/>
    <s v="No"/>
    <x v="1"/>
    <s v="Software Development"/>
    <n v="2"/>
    <x v="4"/>
    <s v="Single"/>
    <x v="1"/>
    <s v="Family"/>
    <x v="0"/>
    <n v="3.77"/>
    <s v="No"/>
    <n v="3.69"/>
    <n v="88"/>
    <n v="5000"/>
    <x v="1"/>
    <x v="0"/>
    <n v="85"/>
  </r>
  <r>
    <x v="1"/>
    <x v="0"/>
    <n v="21"/>
    <n v="2020"/>
    <x v="0"/>
    <n v="4"/>
    <x v="1"/>
    <s v="Yes"/>
    <x v="2"/>
    <n v="1"/>
    <x v="0"/>
    <x v="0"/>
    <s v="Yes"/>
    <x v="1"/>
    <x v="0"/>
    <x v="1"/>
    <s v="No"/>
    <s v="No"/>
    <x v="0"/>
    <s v="Software Development"/>
    <n v="1"/>
    <x v="2"/>
    <s v="Single"/>
    <x v="0"/>
    <s v="Family"/>
    <x v="0"/>
    <n v="3.89"/>
    <s v="No"/>
    <n v="3.7"/>
    <n v="35"/>
    <n v="90000"/>
    <x v="1"/>
    <x v="0"/>
    <n v="47.400000000000006"/>
  </r>
  <r>
    <x v="8"/>
    <x v="1"/>
    <n v="25"/>
    <n v="2013"/>
    <x v="0"/>
    <n v="15"/>
    <x v="1"/>
    <s v="Yes"/>
    <x v="5"/>
    <n v="3"/>
    <x v="0"/>
    <x v="0"/>
    <s v="Yes"/>
    <x v="3"/>
    <x v="0"/>
    <x v="0"/>
    <s v="Yes"/>
    <s v="No"/>
    <x v="0"/>
    <s v="Networking"/>
    <n v="2"/>
    <x v="2"/>
    <s v="Married"/>
    <x v="1"/>
    <s v="Family"/>
    <x v="0"/>
    <n v="3.06"/>
    <s v="No"/>
    <n v="2.86"/>
    <n v="140"/>
    <n v="40000"/>
    <x v="0"/>
    <x v="0"/>
    <n v="54"/>
  </r>
  <r>
    <x v="4"/>
    <x v="0"/>
    <n v="21"/>
    <n v="2019"/>
    <x v="0"/>
    <n v="8"/>
    <x v="1"/>
    <s v="Yes"/>
    <x v="1"/>
    <n v="2"/>
    <x v="1"/>
    <x v="0"/>
    <s v="Yes"/>
    <x v="4"/>
    <x v="0"/>
    <x v="29"/>
    <s v="Yes"/>
    <s v="No"/>
    <x v="1"/>
    <s v="Software Development"/>
    <n v="3"/>
    <x v="2"/>
    <s v="Single"/>
    <x v="0"/>
    <s v="Family"/>
    <x v="1"/>
    <n v="3.66"/>
    <s v="No"/>
    <n v="3.01"/>
    <n v="77"/>
    <n v="45000"/>
    <x v="0"/>
    <x v="0"/>
    <n v="34.799999999999997"/>
  </r>
  <r>
    <x v="2"/>
    <x v="1"/>
    <n v="22"/>
    <n v="2018"/>
    <x v="0"/>
    <n v="8"/>
    <x v="0"/>
    <s v="Yes"/>
    <x v="0"/>
    <n v="1"/>
    <x v="0"/>
    <x v="0"/>
    <s v="Yes"/>
    <x v="1"/>
    <x v="1"/>
    <x v="5"/>
    <s v="Yes"/>
    <s v="No"/>
    <x v="0"/>
    <s v="Networking"/>
    <n v="4"/>
    <x v="4"/>
    <s v="Single"/>
    <x v="1"/>
    <s v="Bachelor"/>
    <x v="0"/>
    <n v="2.15"/>
    <s v="No"/>
    <n v="2.54"/>
    <n v="70"/>
    <n v="25000"/>
    <x v="0"/>
    <x v="0"/>
    <n v="61"/>
  </r>
  <r>
    <x v="5"/>
    <x v="0"/>
    <n v="24"/>
    <n v="2017"/>
    <x v="0"/>
    <n v="9"/>
    <x v="0"/>
    <s v="Yes"/>
    <x v="1"/>
    <n v="1"/>
    <x v="1"/>
    <x v="0"/>
    <s v="Yes"/>
    <x v="3"/>
    <x v="0"/>
    <x v="9"/>
    <s v="No"/>
    <s v="No"/>
    <x v="1"/>
    <s v="Software Development"/>
    <n v="2"/>
    <x v="2"/>
    <s v="Single"/>
    <x v="1"/>
    <s v="Family"/>
    <x v="0"/>
    <n v="3.39"/>
    <s v="No"/>
    <n v="3.29"/>
    <n v="90"/>
    <n v="40000"/>
    <x v="0"/>
    <x v="0"/>
    <n v="43"/>
  </r>
  <r>
    <x v="4"/>
    <x v="1"/>
    <n v="22"/>
    <n v="2018"/>
    <x v="0"/>
    <n v="11"/>
    <x v="1"/>
    <s v="No"/>
    <x v="2"/>
    <n v="1"/>
    <x v="0"/>
    <x v="0"/>
    <s v="Yes"/>
    <x v="2"/>
    <x v="0"/>
    <x v="4"/>
    <s v="No"/>
    <s v="No"/>
    <x v="0"/>
    <s v="Software Development"/>
    <n v="1"/>
    <x v="2"/>
    <s v="Single"/>
    <x v="1"/>
    <s v="Family"/>
    <x v="0"/>
    <n v="3.78"/>
    <s v="No"/>
    <n v="3.54"/>
    <n v="125"/>
    <n v="60000"/>
    <x v="1"/>
    <x v="0"/>
    <n v="47"/>
  </r>
  <r>
    <x v="5"/>
    <x v="0"/>
    <n v="25"/>
    <n v="2016"/>
    <x v="0"/>
    <n v="16"/>
    <x v="1"/>
    <s v="Yes"/>
    <x v="4"/>
    <n v="3"/>
    <x v="1"/>
    <x v="0"/>
    <s v="Yes"/>
    <x v="4"/>
    <x v="0"/>
    <x v="0"/>
    <s v="No"/>
    <s v="No"/>
    <x v="0"/>
    <s v="Software Development"/>
    <n v="4"/>
    <x v="2"/>
    <s v="Single"/>
    <x v="0"/>
    <s v="Family"/>
    <x v="0"/>
    <n v="3.51"/>
    <s v="No"/>
    <n v="3.51"/>
    <n v="143"/>
    <n v="100000"/>
    <x v="1"/>
    <x v="0"/>
    <n v="66"/>
  </r>
  <r>
    <x v="2"/>
    <x v="0"/>
    <n v="22"/>
    <n v="2016"/>
    <x v="0"/>
    <n v="7"/>
    <x v="1"/>
    <s v="Yes"/>
    <x v="1"/>
    <n v="1"/>
    <x v="0"/>
    <x v="0"/>
    <s v="Yes"/>
    <x v="2"/>
    <x v="0"/>
    <x v="23"/>
    <s v="No"/>
    <s v="No"/>
    <x v="0"/>
    <s v="Software Development"/>
    <n v="1"/>
    <x v="6"/>
    <s v="Single"/>
    <x v="1"/>
    <s v="Bachelor"/>
    <x v="1"/>
    <n v="2.92"/>
    <s v="No"/>
    <n v="2.9"/>
    <n v="58"/>
    <n v="62488"/>
    <x v="0"/>
    <x v="0"/>
    <n v="30"/>
  </r>
  <r>
    <x v="4"/>
    <x v="1"/>
    <n v="21"/>
    <n v="2019"/>
    <x v="0"/>
    <n v="8"/>
    <x v="1"/>
    <s v="Yes"/>
    <x v="3"/>
    <n v="2"/>
    <x v="0"/>
    <x v="0"/>
    <s v="Yes"/>
    <x v="1"/>
    <x v="2"/>
    <x v="0"/>
    <s v="Yes"/>
    <s v="No"/>
    <x v="0"/>
    <s v="Networking"/>
    <n v="2"/>
    <x v="4"/>
    <s v="Engaged"/>
    <x v="0"/>
    <s v="Bachelor"/>
    <x v="0"/>
    <n v="2.13"/>
    <s v="No"/>
    <n v="2.4500000000000002"/>
    <n v="87"/>
    <n v="40000"/>
    <x v="2"/>
    <x v="0"/>
    <n v="57"/>
  </r>
  <r>
    <x v="2"/>
    <x v="0"/>
    <n v="22"/>
    <n v="2019"/>
    <x v="0"/>
    <n v="7"/>
    <x v="1"/>
    <s v="No"/>
    <x v="2"/>
    <n v="1"/>
    <x v="0"/>
    <x v="0"/>
    <s v="Yes"/>
    <x v="2"/>
    <x v="0"/>
    <x v="2"/>
    <s v="No"/>
    <s v="No"/>
    <x v="1"/>
    <s v="Software Development"/>
    <n v="1"/>
    <x v="2"/>
    <s v="Single"/>
    <x v="1"/>
    <s v="Bachelor"/>
    <x v="1"/>
    <n v="3.4"/>
    <s v="No"/>
    <n v="2.8"/>
    <n v="80"/>
    <n v="35000"/>
    <x v="0"/>
    <x v="0"/>
    <n v="41"/>
  </r>
  <r>
    <x v="3"/>
    <x v="1"/>
    <n v="20"/>
    <n v="2020"/>
    <x v="0"/>
    <n v="1"/>
    <x v="0"/>
    <s v="Yes"/>
    <x v="0"/>
    <n v="2"/>
    <x v="0"/>
    <x v="0"/>
    <s v="Yes"/>
    <x v="2"/>
    <x v="0"/>
    <x v="8"/>
    <s v="No"/>
    <s v="No"/>
    <x v="0"/>
    <s v="Software Development"/>
    <n v="1"/>
    <x v="2"/>
    <s v="Single"/>
    <x v="0"/>
    <s v="Family"/>
    <x v="0"/>
    <n v="0"/>
    <s v="No"/>
    <n v="0"/>
    <n v="0"/>
    <n v="30000"/>
    <x v="2"/>
    <x v="0"/>
    <n v="51.2"/>
  </r>
  <r>
    <x v="2"/>
    <x v="1"/>
    <n v="21"/>
    <n v="2019"/>
    <x v="0"/>
    <n v="8"/>
    <x v="0"/>
    <s v="Yes"/>
    <x v="2"/>
    <n v="2"/>
    <x v="0"/>
    <x v="0"/>
    <s v="Yes"/>
    <x v="3"/>
    <x v="0"/>
    <x v="2"/>
    <s v="No"/>
    <s v="No"/>
    <x v="0"/>
    <s v="Machine Learning"/>
    <n v="3"/>
    <x v="5"/>
    <s v="Single"/>
    <x v="0"/>
    <s v="Family"/>
    <x v="1"/>
    <n v="3.4"/>
    <s v="No"/>
    <n v="3.5"/>
    <n v="87"/>
    <n v="40000"/>
    <x v="1"/>
    <x v="0"/>
    <n v="47"/>
  </r>
  <r>
    <x v="1"/>
    <x v="0"/>
    <n v="20"/>
    <n v="2020"/>
    <x v="0"/>
    <n v="4"/>
    <x v="1"/>
    <s v="Yes"/>
    <x v="1"/>
    <n v="1"/>
    <x v="0"/>
    <x v="0"/>
    <s v="Yes"/>
    <x v="3"/>
    <x v="1"/>
    <x v="5"/>
    <s v="No"/>
    <s v="No"/>
    <x v="0"/>
    <s v="Market Analysis"/>
    <n v="1"/>
    <x v="2"/>
    <s v="Single"/>
    <x v="0"/>
    <s v="Family"/>
    <x v="0"/>
    <n v="2.59"/>
    <s v="No"/>
    <n v="3.01"/>
    <n v="24"/>
    <n v="40000"/>
    <x v="0"/>
    <x v="0"/>
    <n v="46"/>
  </r>
  <r>
    <x v="2"/>
    <x v="1"/>
    <n v="21"/>
    <n v="2019"/>
    <x v="0"/>
    <n v="8"/>
    <x v="0"/>
    <s v="No"/>
    <x v="2"/>
    <n v="1"/>
    <x v="0"/>
    <x v="0"/>
    <s v="Yes"/>
    <x v="1"/>
    <x v="0"/>
    <x v="6"/>
    <s v="No"/>
    <s v="No"/>
    <x v="0"/>
    <s v="Software Development"/>
    <n v="1"/>
    <x v="2"/>
    <s v="Single"/>
    <x v="0"/>
    <s v="Family"/>
    <x v="0"/>
    <n v="3.78"/>
    <s v="No"/>
    <n v="3.77"/>
    <n v="87"/>
    <n v="15000"/>
    <x v="1"/>
    <x v="0"/>
    <n v="47.800000000000004"/>
  </r>
  <r>
    <x v="3"/>
    <x v="0"/>
    <n v="20"/>
    <n v="2020"/>
    <x v="0"/>
    <n v="2"/>
    <x v="0"/>
    <s v="Yes"/>
    <x v="2"/>
    <n v="1"/>
    <x v="1"/>
    <x v="0"/>
    <s v="Yes"/>
    <x v="9"/>
    <x v="1"/>
    <x v="4"/>
    <s v="No"/>
    <s v="No"/>
    <x v="1"/>
    <s v="Software Development"/>
    <n v="2"/>
    <x v="2"/>
    <s v="Single"/>
    <x v="1"/>
    <s v="Family"/>
    <x v="0"/>
    <n v="1.75"/>
    <s v="No"/>
    <n v="1.75"/>
    <n v="11"/>
    <n v="30000"/>
    <x v="2"/>
    <x v="0"/>
    <n v="50"/>
  </r>
  <r>
    <x v="2"/>
    <x v="0"/>
    <n v="22"/>
    <n v="2019"/>
    <x v="0"/>
    <n v="7"/>
    <x v="1"/>
    <s v="No"/>
    <x v="9"/>
    <n v="0"/>
    <x v="0"/>
    <x v="0"/>
    <s v="Yes"/>
    <x v="2"/>
    <x v="0"/>
    <x v="8"/>
    <s v="No"/>
    <s v="No"/>
    <x v="1"/>
    <s v="Software Development"/>
    <n v="0"/>
    <x v="6"/>
    <s v="Single"/>
    <x v="0"/>
    <s v="Bachelor"/>
    <x v="1"/>
    <n v="3.4"/>
    <s v="No"/>
    <n v="3.65"/>
    <n v="75"/>
    <n v="50000"/>
    <x v="1"/>
    <x v="0"/>
    <n v="39.200000000000003"/>
  </r>
  <r>
    <x v="1"/>
    <x v="1"/>
    <n v="21"/>
    <n v="2021"/>
    <x v="0"/>
    <n v="3"/>
    <x v="0"/>
    <s v="No"/>
    <x v="7"/>
    <n v="2"/>
    <x v="0"/>
    <x v="0"/>
    <s v="Yes"/>
    <x v="1"/>
    <x v="1"/>
    <x v="10"/>
    <s v="Yes"/>
    <s v="Yes"/>
    <x v="0"/>
    <s v="Software Development"/>
    <n v="1"/>
    <x v="6"/>
    <s v="Single"/>
    <x v="1"/>
    <s v="Bachelor"/>
    <x v="0"/>
    <n v="1.52"/>
    <s v="No"/>
    <n v="1.64"/>
    <n v="8"/>
    <n v="60000"/>
    <x v="2"/>
    <x v="0"/>
    <n v="63.6"/>
  </r>
  <r>
    <x v="4"/>
    <x v="1"/>
    <n v="22"/>
    <n v="2018"/>
    <x v="0"/>
    <n v="11"/>
    <x v="1"/>
    <s v="Yes"/>
    <x v="2"/>
    <n v="1"/>
    <x v="0"/>
    <x v="0"/>
    <s v="Yes"/>
    <x v="4"/>
    <x v="2"/>
    <x v="0"/>
    <s v="No"/>
    <s v="No"/>
    <x v="0"/>
    <s v="Software Development"/>
    <n v="3"/>
    <x v="4"/>
    <s v="Single"/>
    <x v="0"/>
    <s v="Family"/>
    <x v="1"/>
    <n v="3.66"/>
    <s v="No"/>
    <n v="3.37"/>
    <n v="123"/>
    <n v="60000"/>
    <x v="0"/>
    <x v="0"/>
    <n v="51"/>
  </r>
  <r>
    <x v="2"/>
    <x v="0"/>
    <n v="20"/>
    <n v="2019"/>
    <x v="0"/>
    <n v="8"/>
    <x v="1"/>
    <s v="No"/>
    <x v="1"/>
    <n v="3"/>
    <x v="0"/>
    <x v="0"/>
    <s v="Yes"/>
    <x v="2"/>
    <x v="0"/>
    <x v="0"/>
    <s v="Yes"/>
    <s v="No"/>
    <x v="1"/>
    <s v="Software Development"/>
    <n v="3"/>
    <x v="2"/>
    <s v="Single"/>
    <x v="0"/>
    <s v="Bachelor"/>
    <x v="0"/>
    <n v="3.5"/>
    <s v="No"/>
    <n v="3.12"/>
    <n v="90"/>
    <n v="25000"/>
    <x v="0"/>
    <x v="0"/>
    <n v="48"/>
  </r>
  <r>
    <x v="4"/>
    <x v="1"/>
    <n v="23"/>
    <n v="2017"/>
    <x v="0"/>
    <n v="11"/>
    <x v="1"/>
    <s v="Yes"/>
    <x v="2"/>
    <n v="1"/>
    <x v="0"/>
    <x v="0"/>
    <s v="Yes"/>
    <x v="4"/>
    <x v="0"/>
    <x v="7"/>
    <s v="No"/>
    <s v="No"/>
    <x v="0"/>
    <s v="Software Development"/>
    <n v="2"/>
    <x v="2"/>
    <s v="Single"/>
    <x v="0"/>
    <s v="Family"/>
    <x v="0"/>
    <n v="3.59"/>
    <s v="No"/>
    <n v="3.55"/>
    <n v="123"/>
    <n v="50000"/>
    <x v="1"/>
    <x v="0"/>
    <n v="40"/>
  </r>
  <r>
    <x v="1"/>
    <x v="0"/>
    <n v="20"/>
    <n v="2019"/>
    <x v="0"/>
    <n v="3"/>
    <x v="0"/>
    <s v="No"/>
    <x v="5"/>
    <n v="2"/>
    <x v="0"/>
    <x v="0"/>
    <s v="Yes"/>
    <x v="1"/>
    <x v="1"/>
    <x v="5"/>
    <s v="No"/>
    <s v="No"/>
    <x v="0"/>
    <s v="Software Development"/>
    <n v="3"/>
    <x v="2"/>
    <s v="Single"/>
    <x v="1"/>
    <s v="Bachelor"/>
    <x v="0"/>
    <n v="3.03"/>
    <s v="No"/>
    <n v="3.03"/>
    <n v="23"/>
    <n v="7000"/>
    <x v="0"/>
    <x v="0"/>
    <n v="61"/>
  </r>
  <r>
    <x v="2"/>
    <x v="0"/>
    <n v="23"/>
    <n v="2018"/>
    <x v="0"/>
    <n v="8"/>
    <x v="0"/>
    <s v="No"/>
    <x v="2"/>
    <n v="3"/>
    <x v="0"/>
    <x v="0"/>
    <s v="Yes"/>
    <x v="2"/>
    <x v="1"/>
    <x v="0"/>
    <s v="No"/>
    <s v="No"/>
    <x v="0"/>
    <s v="Software Development"/>
    <n v="1"/>
    <x v="2"/>
    <s v="Single"/>
    <x v="1"/>
    <s v="Bachelor"/>
    <x v="1"/>
    <n v="3.94"/>
    <s v="No"/>
    <n v="3.9"/>
    <n v="91"/>
    <n v="20000"/>
    <x v="1"/>
    <x v="0"/>
    <n v="45"/>
  </r>
  <r>
    <x v="1"/>
    <x v="0"/>
    <n v="21"/>
    <n v="2020"/>
    <x v="0"/>
    <n v="2"/>
    <x v="0"/>
    <s v="Yes"/>
    <x v="0"/>
    <n v="2"/>
    <x v="0"/>
    <x v="0"/>
    <s v="Yes"/>
    <x v="2"/>
    <x v="0"/>
    <x v="4"/>
    <s v="No"/>
    <s v="No"/>
    <x v="0"/>
    <s v="Software Development"/>
    <n v="3"/>
    <x v="6"/>
    <s v="Single"/>
    <x v="0"/>
    <s v="Family"/>
    <x v="0"/>
    <n v="4"/>
    <s v="No"/>
    <n v="4"/>
    <n v="12"/>
    <n v="40000"/>
    <x v="1"/>
    <x v="0"/>
    <n v="56"/>
  </r>
  <r>
    <x v="2"/>
    <x v="1"/>
    <n v="22"/>
    <n v="2019"/>
    <x v="0"/>
    <n v="7"/>
    <x v="1"/>
    <s v="Yes"/>
    <x v="0"/>
    <n v="2"/>
    <x v="0"/>
    <x v="0"/>
    <s v="Yes"/>
    <x v="4"/>
    <x v="0"/>
    <x v="6"/>
    <s v="No"/>
    <s v="No"/>
    <x v="0"/>
    <s v="Software Development"/>
    <n v="3"/>
    <x v="6"/>
    <s v="Single"/>
    <x v="1"/>
    <s v="Family"/>
    <x v="0"/>
    <n v="3.49"/>
    <s v="No"/>
    <n v="3.44"/>
    <n v="80"/>
    <n v="45000"/>
    <x v="0"/>
    <x v="0"/>
    <n v="56.800000000000004"/>
  </r>
  <r>
    <x v="2"/>
    <x v="1"/>
    <n v="21"/>
    <n v="2019"/>
    <x v="0"/>
    <n v="8"/>
    <x v="0"/>
    <s v="Yes"/>
    <x v="1"/>
    <n v="3"/>
    <x v="1"/>
    <x v="0"/>
    <s v="Yes"/>
    <x v="3"/>
    <x v="0"/>
    <x v="0"/>
    <s v="No"/>
    <s v="No"/>
    <x v="0"/>
    <s v="Cyber security"/>
    <n v="1"/>
    <x v="7"/>
    <s v="Single"/>
    <x v="0"/>
    <s v="Family"/>
    <x v="1"/>
    <n v="3"/>
    <s v="No"/>
    <n v="3.1"/>
    <n v="87"/>
    <n v="30000"/>
    <x v="0"/>
    <x v="0"/>
    <n v="42"/>
  </r>
  <r>
    <x v="4"/>
    <x v="0"/>
    <n v="24"/>
    <n v="2018"/>
    <x v="0"/>
    <n v="11"/>
    <x v="1"/>
    <s v="Yes"/>
    <x v="0"/>
    <n v="2"/>
    <x v="1"/>
    <x v="0"/>
    <s v="Yes"/>
    <x v="3"/>
    <x v="0"/>
    <x v="30"/>
    <s v="No"/>
    <s v="No"/>
    <x v="0"/>
    <s v="Software Development"/>
    <n v="6"/>
    <x v="6"/>
    <s v="Single"/>
    <x v="0"/>
    <s v="Family"/>
    <x v="0"/>
    <n v="3.45"/>
    <s v="No"/>
    <n v="3.34"/>
    <n v="117"/>
    <n v="19000"/>
    <x v="0"/>
    <x v="0"/>
    <n v="63.4"/>
  </r>
  <r>
    <x v="2"/>
    <x v="0"/>
    <n v="20"/>
    <n v="2019"/>
    <x v="0"/>
    <n v="6"/>
    <x v="1"/>
    <s v="No"/>
    <x v="2"/>
    <n v="1"/>
    <x v="0"/>
    <x v="0"/>
    <s v="Yes"/>
    <x v="4"/>
    <x v="0"/>
    <x v="0"/>
    <s v="No"/>
    <s v="No"/>
    <x v="1"/>
    <s v="Software Development"/>
    <n v="2"/>
    <x v="4"/>
    <s v="Single"/>
    <x v="1"/>
    <s v="Family"/>
    <x v="1"/>
    <n v="3.58"/>
    <s v="No"/>
    <n v="3.5"/>
    <n v="72"/>
    <n v="50000"/>
    <x v="1"/>
    <x v="0"/>
    <n v="48"/>
  </r>
  <r>
    <x v="4"/>
    <x v="1"/>
    <n v="21"/>
    <n v="2018"/>
    <x v="0"/>
    <n v="11"/>
    <x v="1"/>
    <s v="No"/>
    <x v="5"/>
    <n v="3"/>
    <x v="1"/>
    <x v="0"/>
    <s v="Yes"/>
    <x v="1"/>
    <x v="2"/>
    <x v="2"/>
    <s v="Yes"/>
    <s v="Yes"/>
    <x v="0"/>
    <s v="Software Development"/>
    <n v="1"/>
    <x v="4"/>
    <s v="Married"/>
    <x v="1"/>
    <s v="Family"/>
    <x v="0"/>
    <n v="2.96"/>
    <s v="No"/>
    <n v="2.61"/>
    <n v="96"/>
    <n v="100000"/>
    <x v="0"/>
    <x v="0"/>
    <n v="47"/>
  </r>
  <r>
    <x v="1"/>
    <x v="1"/>
    <n v="21"/>
    <n v="2019"/>
    <x v="0"/>
    <n v="3"/>
    <x v="0"/>
    <s v="No"/>
    <x v="2"/>
    <n v="1"/>
    <x v="0"/>
    <x v="0"/>
    <s v="Yes"/>
    <x v="2"/>
    <x v="0"/>
    <x v="0"/>
    <s v="No"/>
    <s v="No"/>
    <x v="0"/>
    <s v="Software Development"/>
    <n v="1"/>
    <x v="2"/>
    <s v="Single"/>
    <x v="0"/>
    <s v="Bachelor"/>
    <x v="0"/>
    <n v="3.38"/>
    <s v="No"/>
    <n v="3.53"/>
    <n v="24"/>
    <n v="40000"/>
    <x v="1"/>
    <x v="0"/>
    <n v="45"/>
  </r>
  <r>
    <x v="1"/>
    <x v="1"/>
    <n v="20"/>
    <n v="2020"/>
    <x v="0"/>
    <n v="3"/>
    <x v="0"/>
    <s v="No"/>
    <x v="2"/>
    <n v="1"/>
    <x v="0"/>
    <x v="0"/>
    <s v="Yes"/>
    <x v="1"/>
    <x v="0"/>
    <x v="4"/>
    <s v="No"/>
    <s v="No"/>
    <x v="0"/>
    <s v="Software Development"/>
    <n v="1"/>
    <x v="2"/>
    <s v="Single"/>
    <x v="0"/>
    <s v="Bachelor"/>
    <x v="0"/>
    <n v="3.12"/>
    <s v="No"/>
    <n v="3.07"/>
    <n v="24"/>
    <n v="50000"/>
    <x v="0"/>
    <x v="0"/>
    <n v="47"/>
  </r>
  <r>
    <x v="0"/>
    <x v="0"/>
    <n v="24"/>
    <n v="2017"/>
    <x v="0"/>
    <n v="13"/>
    <x v="1"/>
    <s v="No"/>
    <x v="0"/>
    <n v="1"/>
    <x v="1"/>
    <x v="0"/>
    <s v="Yes"/>
    <x v="2"/>
    <x v="1"/>
    <x v="8"/>
    <s v="Yes"/>
    <s v="No"/>
    <x v="0"/>
    <s v="Software Development"/>
    <n v="2"/>
    <x v="7"/>
    <s v="Married"/>
    <x v="1"/>
    <s v="Bachelor"/>
    <x v="0"/>
    <n v="2.86"/>
    <s v="No"/>
    <n v="2.88"/>
    <n v="133"/>
    <n v="30000"/>
    <x v="0"/>
    <x v="0"/>
    <n v="54.2"/>
  </r>
  <r>
    <x v="4"/>
    <x v="1"/>
    <n v="20"/>
    <n v="2019"/>
    <x v="0"/>
    <n v="10"/>
    <x v="1"/>
    <s v="No"/>
    <x v="5"/>
    <n v="2"/>
    <x v="0"/>
    <x v="0"/>
    <s v="Yes"/>
    <x v="3"/>
    <x v="1"/>
    <x v="0"/>
    <s v="No"/>
    <s v="No"/>
    <x v="0"/>
    <s v="Software Development"/>
    <n v="1"/>
    <x v="0"/>
    <s v="Single"/>
    <x v="1"/>
    <s v="Family"/>
    <x v="0"/>
    <n v="3.1"/>
    <s v="No"/>
    <n v="3.27"/>
    <n v="88"/>
    <n v="45000"/>
    <x v="0"/>
    <x v="0"/>
    <n v="51"/>
  </r>
  <r>
    <x v="1"/>
    <x v="0"/>
    <n v="23"/>
    <n v="2020"/>
    <x v="0"/>
    <n v="2"/>
    <x v="0"/>
    <s v="Yes"/>
    <x v="1"/>
    <n v="2"/>
    <x v="0"/>
    <x v="0"/>
    <s v="Yes"/>
    <x v="3"/>
    <x v="0"/>
    <x v="4"/>
    <s v="No"/>
    <s v="No"/>
    <x v="1"/>
    <s v="Software Development"/>
    <n v="2"/>
    <x v="2"/>
    <s v="Single"/>
    <x v="1"/>
    <s v="Family"/>
    <x v="0"/>
    <n v="3.92"/>
    <s v="No"/>
    <n v="3.92"/>
    <n v="11"/>
    <n v="20000"/>
    <x v="1"/>
    <x v="0"/>
    <n v="47"/>
  </r>
  <r>
    <x v="0"/>
    <x v="0"/>
    <n v="24"/>
    <n v="2017"/>
    <x v="0"/>
    <n v="14"/>
    <x v="1"/>
    <s v="No"/>
    <x v="0"/>
    <n v="3"/>
    <x v="0"/>
    <x v="0"/>
    <s v="Yes"/>
    <x v="0"/>
    <x v="2"/>
    <x v="4"/>
    <s v="Yes"/>
    <s v="No"/>
    <x v="1"/>
    <s v="Software Development"/>
    <n v="2"/>
    <x v="2"/>
    <s v="Relationship"/>
    <x v="1"/>
    <s v="Family"/>
    <x v="0"/>
    <n v="2.76"/>
    <s v="No"/>
    <n v="2.64"/>
    <n v="136"/>
    <n v="25000"/>
    <x v="0"/>
    <x v="0"/>
    <n v="53"/>
  </r>
  <r>
    <x v="4"/>
    <x v="1"/>
    <n v="22"/>
    <n v="2018"/>
    <x v="0"/>
    <n v="10"/>
    <x v="0"/>
    <s v="No"/>
    <x v="2"/>
    <n v="1"/>
    <x v="0"/>
    <x v="0"/>
    <s v="Yes"/>
    <x v="5"/>
    <x v="0"/>
    <x v="7"/>
    <s v="No"/>
    <s v="No"/>
    <x v="0"/>
    <s v="Python"/>
    <n v="1"/>
    <x v="5"/>
    <s v="Single"/>
    <x v="0"/>
    <s v="Bachelor"/>
    <x v="1"/>
    <n v="3.52"/>
    <s v="No"/>
    <n v="3.78"/>
    <n v="112"/>
    <n v="62488"/>
    <x v="1"/>
    <x v="0"/>
    <n v="37"/>
  </r>
  <r>
    <x v="4"/>
    <x v="0"/>
    <n v="23"/>
    <n v="2017"/>
    <x v="0"/>
    <n v="11"/>
    <x v="0"/>
    <s v="No"/>
    <x v="0"/>
    <n v="2"/>
    <x v="0"/>
    <x v="1"/>
    <s v="Yes"/>
    <x v="3"/>
    <x v="0"/>
    <x v="0"/>
    <s v="No"/>
    <s v="No"/>
    <x v="1"/>
    <s v="Software Development"/>
    <n v="3"/>
    <x v="2"/>
    <s v="Relationship"/>
    <x v="0"/>
    <s v="Bachelor"/>
    <x v="0"/>
    <n v="4"/>
    <s v="No"/>
    <n v="3.9"/>
    <n v="123"/>
    <n v="25000"/>
    <x v="1"/>
    <x v="0"/>
    <n v="54"/>
  </r>
  <r>
    <x v="2"/>
    <x v="0"/>
    <n v="23"/>
    <n v="2019"/>
    <x v="0"/>
    <n v="8"/>
    <x v="0"/>
    <s v="Yes"/>
    <x v="0"/>
    <n v="1"/>
    <x v="0"/>
    <x v="0"/>
    <s v="Yes"/>
    <x v="1"/>
    <x v="2"/>
    <x v="0"/>
    <s v="No"/>
    <s v="No"/>
    <x v="1"/>
    <s v="Software Development"/>
    <n v="2"/>
    <x v="5"/>
    <s v="Single"/>
    <x v="1"/>
    <s v="Family"/>
    <x v="0"/>
    <n v="3.84"/>
    <s v="No"/>
    <n v="3.78"/>
    <n v="90"/>
    <n v="62488"/>
    <x v="1"/>
    <x v="0"/>
    <n v="51"/>
  </r>
  <r>
    <x v="4"/>
    <x v="1"/>
    <n v="22"/>
    <n v="2018"/>
    <x v="0"/>
    <n v="11"/>
    <x v="1"/>
    <s v="Yes"/>
    <x v="1"/>
    <n v="1"/>
    <x v="0"/>
    <x v="0"/>
    <s v="Yes"/>
    <x v="5"/>
    <x v="0"/>
    <x v="31"/>
    <s v="No"/>
    <s v="No"/>
    <x v="1"/>
    <s v="Software Development"/>
    <n v="2"/>
    <x v="2"/>
    <s v="Single"/>
    <x v="1"/>
    <s v="Family"/>
    <x v="0"/>
    <n v="3.44"/>
    <s v="No"/>
    <n v="3.46"/>
    <n v="125"/>
    <n v="300000"/>
    <x v="0"/>
    <x v="0"/>
    <n v="43.4"/>
  </r>
  <r>
    <x v="4"/>
    <x v="0"/>
    <n v="21"/>
    <n v="2018"/>
    <x v="0"/>
    <n v="10"/>
    <x v="1"/>
    <s v="Yes"/>
    <x v="0"/>
    <n v="3"/>
    <x v="1"/>
    <x v="0"/>
    <s v="Yes"/>
    <x v="2"/>
    <x v="1"/>
    <x v="10"/>
    <s v="No"/>
    <s v="No"/>
    <x v="0"/>
    <s v="Software Development"/>
    <n v="1"/>
    <x v="2"/>
    <s v="Single"/>
    <x v="1"/>
    <s v="Bachelor"/>
    <x v="0"/>
    <n v="3.11"/>
    <s v="No"/>
    <n v="3"/>
    <n v="105"/>
    <n v="62488"/>
    <x v="0"/>
    <x v="0"/>
    <n v="51.6"/>
  </r>
  <r>
    <x v="3"/>
    <x v="0"/>
    <n v="21"/>
    <n v="2020"/>
    <x v="0"/>
    <n v="2"/>
    <x v="0"/>
    <s v="Yes"/>
    <x v="5"/>
    <n v="1"/>
    <x v="0"/>
    <x v="0"/>
    <s v="Yes"/>
    <x v="2"/>
    <x v="1"/>
    <x v="5"/>
    <s v="No"/>
    <s v="No"/>
    <x v="0"/>
    <s v="Software Development"/>
    <n v="1"/>
    <x v="2"/>
    <s v="Single"/>
    <x v="0"/>
    <s v="Bachelor"/>
    <x v="0"/>
    <n v="2.98"/>
    <s v="No"/>
    <n v="2.98"/>
    <n v="11"/>
    <n v="30000"/>
    <x v="0"/>
    <x v="0"/>
    <n v="55"/>
  </r>
  <r>
    <x v="3"/>
    <x v="0"/>
    <n v="20"/>
    <n v="2020"/>
    <x v="0"/>
    <n v="2"/>
    <x v="0"/>
    <s v="No"/>
    <x v="0"/>
    <n v="2"/>
    <x v="0"/>
    <x v="0"/>
    <s v="Yes"/>
    <x v="5"/>
    <x v="1"/>
    <x v="5"/>
    <s v="No"/>
    <s v="No"/>
    <x v="1"/>
    <s v="Software Development"/>
    <n v="3"/>
    <x v="2"/>
    <s v="Single"/>
    <x v="1"/>
    <s v="Bachelor"/>
    <x v="0"/>
    <n v="3.43"/>
    <s v="No"/>
    <n v="3.43"/>
    <n v="12"/>
    <n v="25000"/>
    <x v="0"/>
    <x v="0"/>
    <n v="58"/>
  </r>
  <r>
    <x v="3"/>
    <x v="0"/>
    <n v="21"/>
    <n v="2020"/>
    <x v="0"/>
    <n v="2"/>
    <x v="0"/>
    <s v="No"/>
    <x v="8"/>
    <n v="3"/>
    <x v="0"/>
    <x v="0"/>
    <s v="Yes"/>
    <x v="1"/>
    <x v="2"/>
    <x v="0"/>
    <s v="No"/>
    <s v="No"/>
    <x v="0"/>
    <s v="Software Development"/>
    <n v="2"/>
    <x v="2"/>
    <s v="Single"/>
    <x v="0"/>
    <s v="Bachelor"/>
    <x v="0"/>
    <n v="3.98"/>
    <s v="No"/>
    <n v="3.98"/>
    <n v="28"/>
    <n v="40000"/>
    <x v="1"/>
    <x v="0"/>
    <n v="69"/>
  </r>
  <r>
    <x v="9"/>
    <x v="1"/>
    <n v="26"/>
    <n v="2012"/>
    <x v="0"/>
    <n v="9"/>
    <x v="1"/>
    <s v="Yes"/>
    <x v="2"/>
    <n v="2"/>
    <x v="0"/>
    <x v="0"/>
    <s v="Yes"/>
    <x v="2"/>
    <x v="1"/>
    <x v="0"/>
    <s v="Yes"/>
    <s v="No"/>
    <x v="0"/>
    <s v="Networking"/>
    <n v="3"/>
    <x v="4"/>
    <s v="Married"/>
    <x v="0"/>
    <s v="Family"/>
    <x v="0"/>
    <n v="3.08"/>
    <s v="No"/>
    <n v="3.15"/>
    <n v="89"/>
    <n v="50000"/>
    <x v="0"/>
    <x v="0"/>
    <n v="51"/>
  </r>
  <r>
    <x v="4"/>
    <x v="1"/>
    <n v="22"/>
    <n v="2017"/>
    <x v="0"/>
    <n v="11"/>
    <x v="1"/>
    <s v="No"/>
    <x v="2"/>
    <n v="2"/>
    <x v="1"/>
    <x v="0"/>
    <s v="Yes"/>
    <x v="2"/>
    <x v="0"/>
    <x v="5"/>
    <s v="No"/>
    <s v="No"/>
    <x v="0"/>
    <s v="Software Development"/>
    <n v="5"/>
    <x v="5"/>
    <s v="Single"/>
    <x v="0"/>
    <s v="Family"/>
    <x v="1"/>
    <n v="3.1"/>
    <s v="No"/>
    <n v="3.16"/>
    <n v="122"/>
    <n v="20000"/>
    <x v="0"/>
    <x v="0"/>
    <n v="61"/>
  </r>
  <r>
    <x v="1"/>
    <x v="0"/>
    <n v="19"/>
    <n v="2020"/>
    <x v="0"/>
    <n v="4"/>
    <x v="1"/>
    <s v="Yes"/>
    <x v="0"/>
    <n v="2"/>
    <x v="0"/>
    <x v="0"/>
    <s v="Yes"/>
    <x v="3"/>
    <x v="1"/>
    <x v="4"/>
    <s v="Yes"/>
    <s v="No"/>
    <x v="1"/>
    <s v="Problem solving"/>
    <n v="1"/>
    <x v="2"/>
    <s v="Single"/>
    <x v="1"/>
    <s v="Family"/>
    <x v="0"/>
    <n v="2.37"/>
    <s v="No"/>
    <n v="2.46"/>
    <n v="31"/>
    <n v="50000"/>
    <x v="2"/>
    <x v="0"/>
    <n v="50"/>
  </r>
  <r>
    <x v="3"/>
    <x v="0"/>
    <n v="20"/>
    <n v="2018"/>
    <x v="0"/>
    <n v="1"/>
    <x v="0"/>
    <s v="No"/>
    <x v="5"/>
    <n v="2"/>
    <x v="0"/>
    <x v="0"/>
    <s v="Yes"/>
    <x v="2"/>
    <x v="0"/>
    <x v="9"/>
    <s v="No"/>
    <s v="No"/>
    <x v="1"/>
    <s v="Software Development"/>
    <n v="2"/>
    <x v="2"/>
    <s v="Single"/>
    <x v="0"/>
    <s v="Bachelor"/>
    <x v="0"/>
    <n v="0"/>
    <s v="No"/>
    <n v="0"/>
    <n v="0"/>
    <n v="30000"/>
    <x v="2"/>
    <x v="0"/>
    <n v="52"/>
  </r>
  <r>
    <x v="3"/>
    <x v="0"/>
    <n v="21"/>
    <n v="2019"/>
    <x v="0"/>
    <n v="2"/>
    <x v="0"/>
    <s v="No"/>
    <x v="1"/>
    <n v="2"/>
    <x v="0"/>
    <x v="0"/>
    <s v="Yes"/>
    <x v="2"/>
    <x v="1"/>
    <x v="0"/>
    <s v="No"/>
    <s v="No"/>
    <x v="1"/>
    <s v="Software Development"/>
    <n v="1"/>
    <x v="2"/>
    <s v="Single"/>
    <x v="1"/>
    <s v="Bachelor"/>
    <x v="0"/>
    <n v="3.58"/>
    <s v="No"/>
    <n v="3.58"/>
    <n v="12"/>
    <n v="40000"/>
    <x v="1"/>
    <x v="0"/>
    <n v="42"/>
  </r>
  <r>
    <x v="4"/>
    <x v="0"/>
    <n v="22"/>
    <n v="2019"/>
    <x v="0"/>
    <n v="8"/>
    <x v="0"/>
    <s v="Yes"/>
    <x v="5"/>
    <n v="2"/>
    <x v="0"/>
    <x v="0"/>
    <s v="Yes"/>
    <x v="1"/>
    <x v="2"/>
    <x v="5"/>
    <s v="No"/>
    <s v="Yes"/>
    <x v="0"/>
    <s v="Software Development"/>
    <n v="4"/>
    <x v="4"/>
    <s v="Single"/>
    <x v="0"/>
    <s v="Bachelor"/>
    <x v="1"/>
    <n v="3.36"/>
    <s v="Yes"/>
    <n v="3.47"/>
    <n v="87"/>
    <n v="80000"/>
    <x v="0"/>
    <x v="0"/>
    <n v="64"/>
  </r>
  <r>
    <x v="3"/>
    <x v="1"/>
    <n v="18"/>
    <n v="2021"/>
    <x v="0"/>
    <n v="1"/>
    <x v="0"/>
    <s v="Yes"/>
    <x v="0"/>
    <n v="2"/>
    <x v="0"/>
    <x v="0"/>
    <s v="Yes"/>
    <x v="2"/>
    <x v="2"/>
    <x v="4"/>
    <s v="No"/>
    <s v="No"/>
    <x v="0"/>
    <s v="Haven't started yet"/>
    <n v="1"/>
    <x v="2"/>
    <s v="Single"/>
    <x v="1"/>
    <s v="Family"/>
    <x v="0"/>
    <n v="0"/>
    <s v="No"/>
    <n v="0"/>
    <n v="0"/>
    <n v="150000"/>
    <x v="2"/>
    <x v="0"/>
    <n v="50"/>
  </r>
  <r>
    <x v="3"/>
    <x v="1"/>
    <n v="20"/>
    <n v="2021"/>
    <x v="0"/>
    <n v="1"/>
    <x v="0"/>
    <s v="No"/>
    <x v="2"/>
    <n v="2"/>
    <x v="1"/>
    <x v="0"/>
    <s v="Yes"/>
    <x v="3"/>
    <x v="0"/>
    <x v="4"/>
    <s v="No"/>
    <s v="No"/>
    <x v="0"/>
    <s v="Haven't started yet"/>
    <n v="2"/>
    <x v="2"/>
    <s v="Single"/>
    <x v="1"/>
    <s v="Family"/>
    <x v="0"/>
    <n v="0"/>
    <s v="No"/>
    <n v="0"/>
    <n v="0"/>
    <n v="45000"/>
    <x v="2"/>
    <x v="0"/>
    <n v="50"/>
  </r>
  <r>
    <x v="3"/>
    <x v="0"/>
    <n v="19"/>
    <n v="2021"/>
    <x v="0"/>
    <n v="1"/>
    <x v="0"/>
    <s v="Yes"/>
    <x v="5"/>
    <n v="2"/>
    <x v="0"/>
    <x v="0"/>
    <s v="Yes"/>
    <x v="2"/>
    <x v="1"/>
    <x v="32"/>
    <s v="No"/>
    <s v="No"/>
    <x v="0"/>
    <s v="Software Development"/>
    <n v="2"/>
    <x v="2"/>
    <s v="Single"/>
    <x v="0"/>
    <s v="Bachelor"/>
    <x v="0"/>
    <n v="0"/>
    <s v="No"/>
    <n v="0"/>
    <n v="0"/>
    <n v="20000"/>
    <x v="2"/>
    <x v="0"/>
    <n v="42.8"/>
  </r>
  <r>
    <x v="1"/>
    <x v="0"/>
    <n v="22"/>
    <n v="2020"/>
    <x v="0"/>
    <n v="5"/>
    <x v="1"/>
    <s v="Yes"/>
    <x v="0"/>
    <n v="3"/>
    <x v="0"/>
    <x v="0"/>
    <s v="Yes"/>
    <x v="1"/>
    <x v="0"/>
    <x v="0"/>
    <s v="Yes"/>
    <s v="No"/>
    <x v="0"/>
    <s v="Software Development"/>
    <n v="2"/>
    <x v="2"/>
    <s v="Single"/>
    <x v="0"/>
    <s v="Bachelor"/>
    <x v="1"/>
    <n v="2.9"/>
    <s v="No"/>
    <n v="2.19"/>
    <n v="36"/>
    <n v="60000"/>
    <x v="2"/>
    <x v="0"/>
    <n v="51"/>
  </r>
  <r>
    <x v="3"/>
    <x v="0"/>
    <n v="20"/>
    <n v="2019"/>
    <x v="0"/>
    <n v="2"/>
    <x v="1"/>
    <s v="No"/>
    <x v="5"/>
    <n v="2"/>
    <x v="0"/>
    <x v="0"/>
    <s v="Yes"/>
    <x v="1"/>
    <x v="0"/>
    <x v="0"/>
    <s v="No"/>
    <s v="No"/>
    <x v="0"/>
    <s v="Software Development"/>
    <n v="1"/>
    <x v="2"/>
    <s v="Single"/>
    <x v="0"/>
    <s v="Bachelor"/>
    <x v="0"/>
    <n v="3.32"/>
    <s v="No"/>
    <n v="3.25"/>
    <n v="12"/>
    <n v="30000"/>
    <x v="0"/>
    <x v="0"/>
    <n v="51"/>
  </r>
  <r>
    <x v="2"/>
    <x v="0"/>
    <n v="22"/>
    <n v="2019"/>
    <x v="0"/>
    <n v="8"/>
    <x v="1"/>
    <s v="No"/>
    <x v="4"/>
    <n v="2"/>
    <x v="0"/>
    <x v="0"/>
    <s v="Yes"/>
    <x v="2"/>
    <x v="0"/>
    <x v="33"/>
    <s v="Yes"/>
    <s v="No"/>
    <x v="0"/>
    <s v="Software Development"/>
    <n v="1"/>
    <x v="2"/>
    <s v="Single"/>
    <x v="1"/>
    <s v="Bachelor"/>
    <x v="0"/>
    <n v="3.3"/>
    <s v="No"/>
    <n v="3.15"/>
    <n v="90"/>
    <n v="36000"/>
    <x v="0"/>
    <x v="0"/>
    <n v="21"/>
  </r>
  <r>
    <x v="4"/>
    <x v="0"/>
    <n v="23"/>
    <n v="2017"/>
    <x v="0"/>
    <n v="10"/>
    <x v="1"/>
    <s v="No"/>
    <x v="5"/>
    <n v="2"/>
    <x v="0"/>
    <x v="0"/>
    <s v="Yes"/>
    <x v="1"/>
    <x v="0"/>
    <x v="4"/>
    <s v="No"/>
    <s v="No"/>
    <x v="1"/>
    <s v="Software Development"/>
    <n v="6"/>
    <x v="2"/>
    <s v="Single"/>
    <x v="1"/>
    <s v="Bachelor"/>
    <x v="0"/>
    <n v="3.92"/>
    <s v="No"/>
    <n v="3.78"/>
    <n v="123"/>
    <n v="30000"/>
    <x v="1"/>
    <x v="0"/>
    <n v="68"/>
  </r>
  <r>
    <x v="8"/>
    <x v="1"/>
    <n v="25"/>
    <n v="2013"/>
    <x v="0"/>
    <n v="24"/>
    <x v="1"/>
    <s v="No"/>
    <x v="1"/>
    <n v="1"/>
    <x v="1"/>
    <x v="0"/>
    <s v="Yes"/>
    <x v="10"/>
    <x v="0"/>
    <x v="2"/>
    <s v="Yes"/>
    <s v="Yes"/>
    <x v="0"/>
    <s v="Software Development"/>
    <n v="4"/>
    <x v="2"/>
    <s v="Married"/>
    <x v="1"/>
    <s v="Family"/>
    <x v="1"/>
    <n v="2.8"/>
    <s v="Yes"/>
    <n v="2.5"/>
    <n v="115"/>
    <n v="20000"/>
    <x v="0"/>
    <x v="0"/>
    <n v="47"/>
  </r>
  <r>
    <x v="3"/>
    <x v="0"/>
    <n v="21"/>
    <n v="2020"/>
    <x v="0"/>
    <n v="2"/>
    <x v="0"/>
    <s v="No"/>
    <x v="0"/>
    <n v="2"/>
    <x v="1"/>
    <x v="0"/>
    <s v="No"/>
    <x v="1"/>
    <x v="0"/>
    <x v="8"/>
    <s v="Yes"/>
    <s v="No"/>
    <x v="0"/>
    <s v="Software Development"/>
    <n v="2"/>
    <x v="2"/>
    <s v="Single"/>
    <x v="0"/>
    <s v="Bachelor"/>
    <x v="0"/>
    <n v="3.33"/>
    <s v="No"/>
    <n v="2.9"/>
    <n v="12"/>
    <n v="20000"/>
    <x v="0"/>
    <x v="0"/>
    <n v="54.2"/>
  </r>
  <r>
    <x v="2"/>
    <x v="0"/>
    <n v="22"/>
    <n v="2017"/>
    <x v="0"/>
    <n v="8"/>
    <x v="0"/>
    <s v="No"/>
    <x v="0"/>
    <n v="2"/>
    <x v="0"/>
    <x v="0"/>
    <s v="Yes"/>
    <x v="3"/>
    <x v="0"/>
    <x v="17"/>
    <s v="No"/>
    <s v="No"/>
    <x v="1"/>
    <s v="Software Development"/>
    <n v="3"/>
    <x v="2"/>
    <s v="Single"/>
    <x v="1"/>
    <s v="Bachelor"/>
    <x v="0"/>
    <n v="3.54"/>
    <s v="No"/>
    <n v="3.4"/>
    <n v="87"/>
    <n v="30000"/>
    <x v="0"/>
    <x v="0"/>
    <n v="52.800000000000004"/>
  </r>
  <r>
    <x v="2"/>
    <x v="0"/>
    <n v="23"/>
    <n v="2018"/>
    <x v="0"/>
    <n v="8"/>
    <x v="0"/>
    <s v="Yes"/>
    <x v="3"/>
    <n v="6"/>
    <x v="0"/>
    <x v="0"/>
    <s v="Yes"/>
    <x v="2"/>
    <x v="0"/>
    <x v="8"/>
    <s v="No"/>
    <s v="No"/>
    <x v="1"/>
    <s v="Software Development"/>
    <n v="2"/>
    <x v="4"/>
    <s v="Single"/>
    <x v="1"/>
    <s v="Bachelor"/>
    <x v="0"/>
    <n v="3.66"/>
    <s v="No"/>
    <n v="3.81"/>
    <n v="87"/>
    <n v="38000"/>
    <x v="1"/>
    <x v="0"/>
    <n v="60.2"/>
  </r>
  <r>
    <x v="4"/>
    <x v="0"/>
    <n v="24"/>
    <n v="2018"/>
    <x v="0"/>
    <n v="11"/>
    <x v="1"/>
    <s v="No"/>
    <x v="2"/>
    <n v="2"/>
    <x v="0"/>
    <x v="0"/>
    <s v="Yes"/>
    <x v="2"/>
    <x v="0"/>
    <x v="2"/>
    <s v="No"/>
    <s v="No"/>
    <x v="0"/>
    <s v="Software Development"/>
    <n v="3"/>
    <x v="2"/>
    <s v="Single"/>
    <x v="0"/>
    <s v="Bachelor"/>
    <x v="0"/>
    <n v="3.78"/>
    <s v="No"/>
    <n v="3.13"/>
    <n v="124"/>
    <n v="15000"/>
    <x v="0"/>
    <x v="0"/>
    <n v="47"/>
  </r>
  <r>
    <x v="2"/>
    <x v="0"/>
    <n v="21"/>
    <n v="2019"/>
    <x v="0"/>
    <n v="8"/>
    <x v="1"/>
    <s v="No"/>
    <x v="3"/>
    <n v="4"/>
    <x v="0"/>
    <x v="0"/>
    <s v="Yes"/>
    <x v="1"/>
    <x v="0"/>
    <x v="10"/>
    <s v="No"/>
    <s v="No"/>
    <x v="0"/>
    <s v="Software Development"/>
    <n v="1"/>
    <x v="2"/>
    <s v="Single"/>
    <x v="0"/>
    <s v="Family"/>
    <x v="1"/>
    <n v="3.82"/>
    <s v="No"/>
    <n v="3.81"/>
    <n v="89"/>
    <n v="15000"/>
    <x v="1"/>
    <x v="0"/>
    <n v="57.6"/>
  </r>
  <r>
    <x v="4"/>
    <x v="1"/>
    <n v="23"/>
    <n v="2018"/>
    <x v="0"/>
    <n v="11"/>
    <x v="0"/>
    <s v="Yes"/>
    <x v="5"/>
    <n v="1"/>
    <x v="0"/>
    <x v="0"/>
    <s v="Yes"/>
    <x v="3"/>
    <x v="0"/>
    <x v="4"/>
    <s v="No"/>
    <s v="No"/>
    <x v="0"/>
    <s v="Networking"/>
    <n v="4"/>
    <x v="4"/>
    <s v="Single"/>
    <x v="0"/>
    <s v="Bachelor"/>
    <x v="1"/>
    <n v="4"/>
    <s v="No"/>
    <n v="3.93"/>
    <n v="118"/>
    <n v="50000"/>
    <x v="1"/>
    <x v="0"/>
    <n v="62"/>
  </r>
  <r>
    <x v="3"/>
    <x v="0"/>
    <n v="19"/>
    <n v="2020"/>
    <x v="0"/>
    <n v="2"/>
    <x v="0"/>
    <s v="No"/>
    <x v="5"/>
    <n v="2"/>
    <x v="0"/>
    <x v="0"/>
    <s v="Yes"/>
    <x v="3"/>
    <x v="1"/>
    <x v="2"/>
    <s v="No"/>
    <s v="No"/>
    <x v="0"/>
    <s v="Software Development"/>
    <n v="2"/>
    <x v="2"/>
    <s v="Single"/>
    <x v="0"/>
    <s v="Bachelor"/>
    <x v="1"/>
    <n v="3.54"/>
    <s v="No"/>
    <n v="3.54"/>
    <n v="11"/>
    <n v="20000"/>
    <x v="1"/>
    <x v="0"/>
    <n v="50"/>
  </r>
  <r>
    <x v="3"/>
    <x v="0"/>
    <n v="21"/>
    <n v="2019"/>
    <x v="0"/>
    <n v="2"/>
    <x v="0"/>
    <s v="No"/>
    <x v="5"/>
    <n v="2"/>
    <x v="0"/>
    <x v="0"/>
    <s v="Yes"/>
    <x v="2"/>
    <x v="1"/>
    <x v="4"/>
    <s v="No"/>
    <s v="No"/>
    <x v="0"/>
    <s v="Software Development"/>
    <n v="2"/>
    <x v="2"/>
    <s v="Single"/>
    <x v="1"/>
    <s v="Bachelor"/>
    <x v="0"/>
    <n v="2.5499999999999998"/>
    <s v="No"/>
    <n v="2.5499999999999998"/>
    <n v="11"/>
    <n v="20000"/>
    <x v="0"/>
    <x v="0"/>
    <n v="56"/>
  </r>
  <r>
    <x v="0"/>
    <x v="0"/>
    <n v="25"/>
    <n v="2016"/>
    <x v="0"/>
    <n v="12"/>
    <x v="0"/>
    <s v="No"/>
    <x v="0"/>
    <n v="2"/>
    <x v="0"/>
    <x v="0"/>
    <s v="Yes"/>
    <x v="2"/>
    <x v="2"/>
    <x v="0"/>
    <s v="No"/>
    <s v="No"/>
    <x v="1"/>
    <s v="Software Development"/>
    <n v="2"/>
    <x v="2"/>
    <s v="Single"/>
    <x v="1"/>
    <s v="Bachelor"/>
    <x v="1"/>
    <n v="3.4"/>
    <s v="Yes"/>
    <n v="3.4"/>
    <n v="136"/>
    <n v="12000"/>
    <x v="0"/>
    <x v="0"/>
    <n v="51"/>
  </r>
  <r>
    <x v="4"/>
    <x v="1"/>
    <n v="22"/>
    <n v="2017"/>
    <x v="0"/>
    <n v="11"/>
    <x v="1"/>
    <s v="No"/>
    <x v="0"/>
    <n v="1"/>
    <x v="1"/>
    <x v="0"/>
    <s v="Yes"/>
    <x v="0"/>
    <x v="0"/>
    <x v="0"/>
    <s v="No"/>
    <s v="No"/>
    <x v="1"/>
    <s v="Software Development"/>
    <n v="2"/>
    <x v="2"/>
    <s v="Single"/>
    <x v="1"/>
    <s v="Bachelor"/>
    <x v="0"/>
    <n v="3.65"/>
    <s v="No"/>
    <n v="3.59"/>
    <n v="126"/>
    <n v="30000"/>
    <x v="1"/>
    <x v="0"/>
    <n v="51"/>
  </r>
  <r>
    <x v="2"/>
    <x v="1"/>
    <n v="21"/>
    <n v="2019"/>
    <x v="0"/>
    <n v="8"/>
    <x v="0"/>
    <s v="Yes"/>
    <x v="0"/>
    <n v="2"/>
    <x v="0"/>
    <x v="0"/>
    <s v="Yes"/>
    <x v="4"/>
    <x v="0"/>
    <x v="34"/>
    <s v="No"/>
    <s v="No"/>
    <x v="1"/>
    <s v="Software Development"/>
    <n v="2"/>
    <x v="5"/>
    <s v="Single"/>
    <x v="1"/>
    <s v="Family"/>
    <x v="0"/>
    <n v="3.62"/>
    <s v="No"/>
    <n v="3.62"/>
    <n v="85"/>
    <n v="30000"/>
    <x v="1"/>
    <x v="0"/>
    <n v="52.6"/>
  </r>
  <r>
    <x v="4"/>
    <x v="0"/>
    <n v="20"/>
    <n v="2018"/>
    <x v="0"/>
    <n v="9"/>
    <x v="1"/>
    <s v="Yes"/>
    <x v="2"/>
    <n v="2"/>
    <x v="0"/>
    <x v="0"/>
    <s v="Yes"/>
    <x v="3"/>
    <x v="1"/>
    <x v="0"/>
    <s v="No"/>
    <s v="No"/>
    <x v="1"/>
    <s v="Learning frontend"/>
    <n v="1"/>
    <x v="4"/>
    <s v="Single"/>
    <x v="1"/>
    <s v="Family"/>
    <x v="0"/>
    <n v="3.7"/>
    <s v="No"/>
    <n v="3.45"/>
    <n v="101"/>
    <n v="30000"/>
    <x v="0"/>
    <x v="0"/>
    <n v="45"/>
  </r>
  <r>
    <x v="2"/>
    <x v="1"/>
    <n v="21"/>
    <n v="2019"/>
    <x v="0"/>
    <n v="7"/>
    <x v="0"/>
    <s v="Yes"/>
    <x v="0"/>
    <n v="2"/>
    <x v="1"/>
    <x v="0"/>
    <s v="Yes"/>
    <x v="2"/>
    <x v="0"/>
    <x v="4"/>
    <s v="No"/>
    <s v="No"/>
    <x v="0"/>
    <s v="Software Development"/>
    <n v="1"/>
    <x v="2"/>
    <s v="Single"/>
    <x v="0"/>
    <s v="Family"/>
    <x v="0"/>
    <n v="3.5"/>
    <s v="No"/>
    <n v="3.5"/>
    <n v="89"/>
    <n v="55000"/>
    <x v="1"/>
    <x v="0"/>
    <n v="50"/>
  </r>
  <r>
    <x v="3"/>
    <x v="0"/>
    <n v="21"/>
    <n v="2020"/>
    <x v="0"/>
    <n v="2"/>
    <x v="0"/>
    <s v="Yes"/>
    <x v="3"/>
    <n v="2"/>
    <x v="1"/>
    <x v="0"/>
    <s v="Yes"/>
    <x v="1"/>
    <x v="0"/>
    <x v="5"/>
    <s v="No"/>
    <s v="No"/>
    <x v="0"/>
    <s v="Software Development"/>
    <n v="4"/>
    <x v="2"/>
    <s v="Single"/>
    <x v="1"/>
    <s v="Family"/>
    <x v="0"/>
    <n v="3.48"/>
    <s v="No"/>
    <n v="3.48"/>
    <n v="11"/>
    <n v="50000"/>
    <x v="0"/>
    <x v="0"/>
    <n v="67"/>
  </r>
  <r>
    <x v="4"/>
    <x v="0"/>
    <n v="22"/>
    <n v="2018"/>
    <x v="0"/>
    <n v="10"/>
    <x v="1"/>
    <s v="No"/>
    <x v="0"/>
    <n v="2"/>
    <x v="0"/>
    <x v="0"/>
    <s v="No"/>
    <x v="1"/>
    <x v="0"/>
    <x v="5"/>
    <s v="No"/>
    <s v="No"/>
    <x v="0"/>
    <s v="Networking"/>
    <n v="2"/>
    <x v="4"/>
    <s v="Relationship"/>
    <x v="0"/>
    <s v="Bachelor"/>
    <x v="0"/>
    <n v="3.01"/>
    <s v="No"/>
    <n v="2.92"/>
    <n v="112"/>
    <n v="50000"/>
    <x v="0"/>
    <x v="0"/>
    <n v="55"/>
  </r>
  <r>
    <x v="0"/>
    <x v="0"/>
    <n v="25"/>
    <n v="2016"/>
    <x v="0"/>
    <n v="11"/>
    <x v="0"/>
    <s v="Yes"/>
    <x v="5"/>
    <n v="2"/>
    <x v="0"/>
    <x v="0"/>
    <s v="Yes"/>
    <x v="1"/>
    <x v="0"/>
    <x v="5"/>
    <s v="No"/>
    <s v="No"/>
    <x v="0"/>
    <s v="Software Development"/>
    <n v="2"/>
    <x v="2"/>
    <s v="Single"/>
    <x v="0"/>
    <s v="Family"/>
    <x v="0"/>
    <n v="3.86"/>
    <s v="No"/>
    <n v="3.56"/>
    <n v="129"/>
    <n v="60000"/>
    <x v="1"/>
    <x v="0"/>
    <n v="58"/>
  </r>
  <r>
    <x v="4"/>
    <x v="0"/>
    <n v="23"/>
    <n v="2017"/>
    <x v="0"/>
    <n v="10"/>
    <x v="0"/>
    <s v="Yes"/>
    <x v="5"/>
    <n v="4"/>
    <x v="1"/>
    <x v="0"/>
    <s v="Yes"/>
    <x v="9"/>
    <x v="0"/>
    <x v="8"/>
    <s v="No"/>
    <s v="No"/>
    <x v="0"/>
    <s v="Software Development"/>
    <n v="2"/>
    <x v="2"/>
    <s v="Relationship"/>
    <x v="1"/>
    <s v="Family"/>
    <x v="0"/>
    <n v="3.38"/>
    <s v="No"/>
    <n v="3.81"/>
    <n v="117"/>
    <n v="15000"/>
    <x v="1"/>
    <x v="0"/>
    <n v="57.2"/>
  </r>
  <r>
    <x v="2"/>
    <x v="1"/>
    <n v="22"/>
    <n v="2019"/>
    <x v="0"/>
    <n v="8"/>
    <x v="0"/>
    <s v="Yes"/>
    <x v="3"/>
    <n v="1"/>
    <x v="0"/>
    <x v="0"/>
    <s v="Yes"/>
    <x v="2"/>
    <x v="0"/>
    <x v="0"/>
    <s v="No"/>
    <s v="No"/>
    <x v="0"/>
    <s v="Software Development"/>
    <n v="1"/>
    <x v="2"/>
    <s v="Married"/>
    <x v="1"/>
    <s v="Family"/>
    <x v="0"/>
    <n v="3.07"/>
    <s v="No"/>
    <n v="3.42"/>
    <n v="75"/>
    <n v="500000"/>
    <x v="0"/>
    <x v="0"/>
    <n v="54"/>
  </r>
  <r>
    <x v="4"/>
    <x v="1"/>
    <n v="23"/>
    <n v="2017"/>
    <x v="0"/>
    <n v="11"/>
    <x v="0"/>
    <s v="Yes"/>
    <x v="0"/>
    <n v="2"/>
    <x v="0"/>
    <x v="0"/>
    <s v="Yes"/>
    <x v="0"/>
    <x v="0"/>
    <x v="1"/>
    <s v="No"/>
    <s v="No"/>
    <x v="1"/>
    <s v="Software Development"/>
    <n v="3"/>
    <x v="4"/>
    <s v="Single"/>
    <x v="1"/>
    <s v="Family"/>
    <x v="0"/>
    <n v="3.59"/>
    <s v="No"/>
    <n v="3.56"/>
    <n v="119"/>
    <n v="20000"/>
    <x v="1"/>
    <x v="0"/>
    <n v="56.400000000000006"/>
  </r>
  <r>
    <x v="4"/>
    <x v="0"/>
    <n v="25"/>
    <n v="2017"/>
    <x v="0"/>
    <n v="11"/>
    <x v="1"/>
    <s v="No"/>
    <x v="2"/>
    <n v="1"/>
    <x v="0"/>
    <x v="0"/>
    <s v="Yes"/>
    <x v="5"/>
    <x v="0"/>
    <x v="0"/>
    <s v="No"/>
    <s v="No"/>
    <x v="0"/>
    <s v="Software Development"/>
    <n v="4"/>
    <x v="2"/>
    <s v="Single"/>
    <x v="0"/>
    <s v="Bachelor"/>
    <x v="0"/>
    <n v="2.59"/>
    <s v="No"/>
    <n v="3.06"/>
    <n v="130"/>
    <n v="50000"/>
    <x v="0"/>
    <x v="0"/>
    <n v="54"/>
  </r>
  <r>
    <x v="4"/>
    <x v="0"/>
    <n v="23"/>
    <n v="2018"/>
    <x v="0"/>
    <n v="11"/>
    <x v="1"/>
    <s v="No"/>
    <x v="2"/>
    <n v="3"/>
    <x v="0"/>
    <x v="0"/>
    <s v="Yes"/>
    <x v="2"/>
    <x v="0"/>
    <x v="10"/>
    <s v="Yes"/>
    <s v="No"/>
    <x v="1"/>
    <s v="Software Development"/>
    <n v="0"/>
    <x v="6"/>
    <s v="Single"/>
    <x v="1"/>
    <s v="Bachelor"/>
    <x v="0"/>
    <n v="3.3"/>
    <s v="No"/>
    <n v="3.24"/>
    <n v="130"/>
    <n v="15000"/>
    <x v="0"/>
    <x v="0"/>
    <n v="45.6"/>
  </r>
  <r>
    <x v="4"/>
    <x v="1"/>
    <n v="22"/>
    <n v="2018"/>
    <x v="0"/>
    <n v="11"/>
    <x v="0"/>
    <s v="Yes"/>
    <x v="5"/>
    <n v="4"/>
    <x v="0"/>
    <x v="0"/>
    <s v="Yes"/>
    <x v="9"/>
    <x v="0"/>
    <x v="10"/>
    <s v="No"/>
    <s v="No"/>
    <x v="0"/>
    <s v="Software Development"/>
    <n v="2"/>
    <x v="4"/>
    <s v="Single"/>
    <x v="0"/>
    <s v="Family"/>
    <x v="0"/>
    <n v="3.72"/>
    <s v="No"/>
    <n v="3.78"/>
    <n v="127"/>
    <n v="62488"/>
    <x v="1"/>
    <x v="0"/>
    <n v="57.6"/>
  </r>
  <r>
    <x v="3"/>
    <x v="0"/>
    <n v="19"/>
    <n v="2020"/>
    <x v="0"/>
    <n v="1"/>
    <x v="0"/>
    <s v="Yes"/>
    <x v="0"/>
    <n v="2"/>
    <x v="0"/>
    <x v="0"/>
    <s v="Yes"/>
    <x v="2"/>
    <x v="1"/>
    <x v="5"/>
    <s v="No"/>
    <s v="No"/>
    <x v="0"/>
    <s v="Software Development"/>
    <n v="1"/>
    <x v="2"/>
    <s v="Single"/>
    <x v="1"/>
    <s v="Family"/>
    <x v="0"/>
    <n v="3.9"/>
    <s v="No"/>
    <n v="3.9"/>
    <n v="11"/>
    <n v="40000"/>
    <x v="1"/>
    <x v="0"/>
    <n v="52"/>
  </r>
  <r>
    <x v="0"/>
    <x v="0"/>
    <n v="23"/>
    <n v="2016"/>
    <x v="0"/>
    <n v="13"/>
    <x v="1"/>
    <s v="No"/>
    <x v="2"/>
    <n v="2"/>
    <x v="0"/>
    <x v="0"/>
    <s v="Yes"/>
    <x v="0"/>
    <x v="1"/>
    <x v="11"/>
    <s v="Yes"/>
    <s v="Yes"/>
    <x v="0"/>
    <s v="Software Development"/>
    <n v="1"/>
    <x v="6"/>
    <s v="Single"/>
    <x v="0"/>
    <s v="Bachelor"/>
    <x v="0"/>
    <n v="2.5499999999999998"/>
    <s v="No"/>
    <n v="2.65"/>
    <n v="120"/>
    <n v="20000"/>
    <x v="0"/>
    <x v="0"/>
    <n v="39"/>
  </r>
  <r>
    <x v="1"/>
    <x v="0"/>
    <n v="20"/>
    <n v="2020"/>
    <x v="0"/>
    <n v="4"/>
    <x v="0"/>
    <s v="No"/>
    <x v="5"/>
    <n v="2"/>
    <x v="0"/>
    <x v="0"/>
    <s v="Yes"/>
    <x v="2"/>
    <x v="1"/>
    <x v="9"/>
    <s v="No"/>
    <s v="No"/>
    <x v="1"/>
    <s v="Software Development"/>
    <n v="3"/>
    <x v="2"/>
    <s v="Single"/>
    <x v="1"/>
    <s v="Bachelor"/>
    <x v="0"/>
    <n v="3"/>
    <s v="No"/>
    <n v="2.8"/>
    <n v="36"/>
    <n v="20000"/>
    <x v="0"/>
    <x v="0"/>
    <n v="55"/>
  </r>
  <r>
    <x v="1"/>
    <x v="0"/>
    <n v="22"/>
    <n v="2021"/>
    <x v="0"/>
    <n v="4"/>
    <x v="0"/>
    <s v="No"/>
    <x v="5"/>
    <n v="2"/>
    <x v="1"/>
    <x v="0"/>
    <s v="Yes"/>
    <x v="2"/>
    <x v="1"/>
    <x v="2"/>
    <s v="Yes"/>
    <s v="No"/>
    <x v="0"/>
    <s v="Software Development"/>
    <n v="1"/>
    <x v="2"/>
    <s v="Single"/>
    <x v="1"/>
    <s v="Bachelor"/>
    <x v="0"/>
    <n v="2"/>
    <s v="No"/>
    <n v="2.59"/>
    <n v="24"/>
    <n v="25000"/>
    <x v="0"/>
    <x v="0"/>
    <n v="47"/>
  </r>
  <r>
    <x v="4"/>
    <x v="1"/>
    <n v="22"/>
    <n v="2018"/>
    <x v="0"/>
    <n v="11"/>
    <x v="0"/>
    <s v="No"/>
    <x v="3"/>
    <n v="2"/>
    <x v="0"/>
    <x v="0"/>
    <s v="Yes"/>
    <x v="2"/>
    <x v="0"/>
    <x v="4"/>
    <s v="No"/>
    <s v="No"/>
    <x v="0"/>
    <s v="Software Development"/>
    <n v="4"/>
    <x v="2"/>
    <s v="Single"/>
    <x v="1"/>
    <s v="Bachelor"/>
    <x v="1"/>
    <n v="3.96"/>
    <s v="No"/>
    <n v="3.9"/>
    <n v="135"/>
    <n v="200000"/>
    <x v="1"/>
    <x v="0"/>
    <n v="65"/>
  </r>
  <r>
    <x v="3"/>
    <x v="0"/>
    <n v="20"/>
    <n v="2020"/>
    <x v="0"/>
    <n v="2"/>
    <x v="0"/>
    <s v="Yes"/>
    <x v="2"/>
    <n v="2"/>
    <x v="0"/>
    <x v="0"/>
    <s v="Yes"/>
    <x v="3"/>
    <x v="0"/>
    <x v="2"/>
    <s v="No"/>
    <s v="No"/>
    <x v="0"/>
    <s v="Software Development"/>
    <n v="1"/>
    <x v="2"/>
    <s v="Single"/>
    <x v="1"/>
    <s v="Bachelor"/>
    <x v="0"/>
    <n v="3.7"/>
    <s v="No"/>
    <n v="3.7"/>
    <n v="10"/>
    <n v="25000"/>
    <x v="1"/>
    <x v="0"/>
    <n v="41"/>
  </r>
  <r>
    <x v="3"/>
    <x v="0"/>
    <n v="19"/>
    <n v="2020"/>
    <x v="0"/>
    <n v="1"/>
    <x v="1"/>
    <s v="No"/>
    <x v="3"/>
    <n v="2"/>
    <x v="1"/>
    <x v="0"/>
    <s v="Yes"/>
    <x v="6"/>
    <x v="1"/>
    <x v="0"/>
    <s v="No"/>
    <s v="No"/>
    <x v="1"/>
    <s v="Software Development"/>
    <n v="3"/>
    <x v="2"/>
    <s v="Single"/>
    <x v="1"/>
    <s v="Family"/>
    <x v="0"/>
    <n v="3.3"/>
    <s v="No"/>
    <n v="3.3"/>
    <n v="11"/>
    <n v="35000"/>
    <x v="0"/>
    <x v="0"/>
    <n v="60"/>
  </r>
  <r>
    <x v="2"/>
    <x v="0"/>
    <n v="22"/>
    <n v="2019"/>
    <x v="0"/>
    <n v="7"/>
    <x v="1"/>
    <s v="No"/>
    <x v="3"/>
    <n v="2"/>
    <x v="0"/>
    <x v="0"/>
    <s v="Yes"/>
    <x v="2"/>
    <x v="0"/>
    <x v="4"/>
    <s v="No"/>
    <s v="No"/>
    <x v="1"/>
    <s v="Software Development"/>
    <n v="2"/>
    <x v="2"/>
    <s v="Single"/>
    <x v="0"/>
    <s v="Bachelor"/>
    <x v="1"/>
    <n v="3.2"/>
    <s v="No"/>
    <n v="3.51"/>
    <n v="90"/>
    <n v="62488"/>
    <x v="1"/>
    <x v="0"/>
    <n v="59"/>
  </r>
  <r>
    <x v="1"/>
    <x v="0"/>
    <n v="21"/>
    <n v="2020"/>
    <x v="0"/>
    <n v="3"/>
    <x v="0"/>
    <s v="Yes"/>
    <x v="5"/>
    <n v="2"/>
    <x v="0"/>
    <x v="0"/>
    <s v="Yes"/>
    <x v="1"/>
    <x v="0"/>
    <x v="0"/>
    <s v="No"/>
    <s v="No"/>
    <x v="0"/>
    <s v="Software Development"/>
    <n v="4"/>
    <x v="2"/>
    <s v="Single"/>
    <x v="1"/>
    <s v="Family"/>
    <x v="0"/>
    <n v="3.57"/>
    <s v="No"/>
    <n v="3.67"/>
    <n v="23"/>
    <n v="35000"/>
    <x v="1"/>
    <x v="0"/>
    <n v="60"/>
  </r>
  <r>
    <x v="4"/>
    <x v="1"/>
    <n v="22"/>
    <n v="2018"/>
    <x v="0"/>
    <n v="11"/>
    <x v="1"/>
    <s v="Yes"/>
    <x v="0"/>
    <n v="2"/>
    <x v="0"/>
    <x v="0"/>
    <s v="Yes"/>
    <x v="3"/>
    <x v="0"/>
    <x v="5"/>
    <s v="No"/>
    <s v="No"/>
    <x v="0"/>
    <s v="Software Development"/>
    <n v="1"/>
    <x v="2"/>
    <s v="Single"/>
    <x v="0"/>
    <s v="Family"/>
    <x v="0"/>
    <n v="3.37"/>
    <s v="No"/>
    <n v="3.11"/>
    <n v="140"/>
    <n v="40000"/>
    <x v="0"/>
    <x v="0"/>
    <n v="52"/>
  </r>
  <r>
    <x v="1"/>
    <x v="0"/>
    <n v="21"/>
    <n v="2020"/>
    <x v="0"/>
    <n v="3"/>
    <x v="0"/>
    <s v="No"/>
    <x v="5"/>
    <n v="2"/>
    <x v="0"/>
    <x v="0"/>
    <s v="Yes"/>
    <x v="3"/>
    <x v="2"/>
    <x v="6"/>
    <s v="Yes"/>
    <s v="No"/>
    <x v="0"/>
    <s v="Software Development"/>
    <n v="2"/>
    <x v="2"/>
    <s v="Single"/>
    <x v="0"/>
    <s v="Bachelor"/>
    <x v="0"/>
    <n v="3.17"/>
    <s v="No"/>
    <n v="2.85"/>
    <n v="20"/>
    <n v="30000"/>
    <x v="0"/>
    <x v="0"/>
    <n v="56.800000000000004"/>
  </r>
  <r>
    <x v="3"/>
    <x v="0"/>
    <n v="19"/>
    <n v="2020"/>
    <x v="0"/>
    <n v="1"/>
    <x v="1"/>
    <s v="No"/>
    <x v="1"/>
    <n v="1"/>
    <x v="0"/>
    <x v="0"/>
    <s v="Yes"/>
    <x v="3"/>
    <x v="1"/>
    <x v="0"/>
    <s v="No"/>
    <s v="No"/>
    <x v="0"/>
    <s v="Software Development"/>
    <n v="1"/>
    <x v="2"/>
    <s v="Single"/>
    <x v="1"/>
    <s v="Bachelor"/>
    <x v="0"/>
    <n v="3.5"/>
    <s v="No"/>
    <n v="3.45"/>
    <n v="11"/>
    <n v="10000"/>
    <x v="0"/>
    <x v="0"/>
    <n v="42"/>
  </r>
  <r>
    <x v="3"/>
    <x v="0"/>
    <n v="20"/>
    <n v="2020"/>
    <x v="0"/>
    <n v="1"/>
    <x v="1"/>
    <s v="No"/>
    <x v="5"/>
    <n v="2"/>
    <x v="0"/>
    <x v="0"/>
    <s v="Yes"/>
    <x v="3"/>
    <x v="1"/>
    <x v="0"/>
    <s v="No"/>
    <s v="No"/>
    <x v="0"/>
    <s v="Software Development"/>
    <n v="3"/>
    <x v="2"/>
    <s v="Single"/>
    <x v="1"/>
    <s v="Bachelor"/>
    <x v="0"/>
    <n v="3.78"/>
    <s v="No"/>
    <n v="3.78"/>
    <n v="28"/>
    <n v="25000"/>
    <x v="1"/>
    <x v="0"/>
    <n v="57"/>
  </r>
  <r>
    <x v="4"/>
    <x v="0"/>
    <n v="25"/>
    <n v="2017"/>
    <x v="0"/>
    <n v="10"/>
    <x v="0"/>
    <s v="Yes"/>
    <x v="2"/>
    <n v="2"/>
    <x v="0"/>
    <x v="0"/>
    <s v="Yes"/>
    <x v="3"/>
    <x v="0"/>
    <x v="17"/>
    <s v="No"/>
    <s v="No"/>
    <x v="0"/>
    <s v="Software Development"/>
    <n v="3"/>
    <x v="2"/>
    <s v="Single"/>
    <x v="0"/>
    <s v="Bachelor"/>
    <x v="1"/>
    <n v="3.9"/>
    <s v="No"/>
    <n v="3.59"/>
    <n v="128"/>
    <n v="40000"/>
    <x v="1"/>
    <x v="0"/>
    <n v="49.800000000000004"/>
  </r>
  <r>
    <x v="1"/>
    <x v="0"/>
    <n v="21"/>
    <n v="2020"/>
    <x v="0"/>
    <n v="3"/>
    <x v="1"/>
    <s v="Yes"/>
    <x v="5"/>
    <n v="2"/>
    <x v="0"/>
    <x v="0"/>
    <s v="Yes"/>
    <x v="4"/>
    <x v="0"/>
    <x v="14"/>
    <s v="No"/>
    <s v="No"/>
    <x v="1"/>
    <s v="Software Development"/>
    <n v="1"/>
    <x v="2"/>
    <s v="Single"/>
    <x v="1"/>
    <s v="Family"/>
    <x v="0"/>
    <n v="2.94"/>
    <s v="No"/>
    <n v="2.5"/>
    <n v="23"/>
    <n v="62488"/>
    <x v="0"/>
    <x v="0"/>
    <n v="35"/>
  </r>
  <r>
    <x v="1"/>
    <x v="1"/>
    <n v="21"/>
    <n v="2020"/>
    <x v="0"/>
    <n v="5"/>
    <x v="0"/>
    <s v="Yes"/>
    <x v="0"/>
    <n v="2"/>
    <x v="0"/>
    <x v="0"/>
    <s v="Yes"/>
    <x v="0"/>
    <x v="1"/>
    <x v="2"/>
    <s v="No"/>
    <s v="No"/>
    <x v="1"/>
    <s v="Software Development"/>
    <n v="2"/>
    <x v="2"/>
    <s v="Single"/>
    <x v="1"/>
    <s v="Family"/>
    <x v="0"/>
    <n v="2.89"/>
    <s v="No"/>
    <n v="2.8"/>
    <n v="65"/>
    <n v="20000"/>
    <x v="0"/>
    <x v="0"/>
    <n v="47"/>
  </r>
  <r>
    <x v="1"/>
    <x v="1"/>
    <n v="22"/>
    <n v="2020"/>
    <x v="0"/>
    <n v="4"/>
    <x v="1"/>
    <s v="No"/>
    <x v="5"/>
    <n v="2"/>
    <x v="0"/>
    <x v="0"/>
    <s v="Yes"/>
    <x v="2"/>
    <x v="0"/>
    <x v="0"/>
    <s v="No"/>
    <s v="No"/>
    <x v="1"/>
    <s v="Software Development"/>
    <n v="1"/>
    <x v="2"/>
    <s v="Single"/>
    <x v="1"/>
    <s v="Bachelor"/>
    <x v="0"/>
    <n v="1.8"/>
    <s v="No"/>
    <n v="2.56"/>
    <n v="23"/>
    <n v="20000"/>
    <x v="0"/>
    <x v="0"/>
    <n v="51"/>
  </r>
  <r>
    <x v="2"/>
    <x v="1"/>
    <n v="22"/>
    <n v="2019"/>
    <x v="0"/>
    <n v="8"/>
    <x v="1"/>
    <s v="No"/>
    <x v="5"/>
    <n v="3"/>
    <x v="1"/>
    <x v="0"/>
    <s v="Yes"/>
    <x v="1"/>
    <x v="0"/>
    <x v="9"/>
    <s v="No"/>
    <s v="No"/>
    <x v="1"/>
    <s v="Software Development"/>
    <n v="4"/>
    <x v="6"/>
    <s v="Single"/>
    <x v="1"/>
    <s v="Bachelor"/>
    <x v="0"/>
    <n v="2.78"/>
    <s v="No"/>
    <n v="3.75"/>
    <n v="78"/>
    <n v="30000"/>
    <x v="1"/>
    <x v="0"/>
    <n v="58"/>
  </r>
  <r>
    <x v="3"/>
    <x v="1"/>
    <n v="20"/>
    <n v="2021"/>
    <x v="0"/>
    <n v="6"/>
    <x v="1"/>
    <s v="No"/>
    <x v="1"/>
    <n v="2"/>
    <x v="0"/>
    <x v="0"/>
    <s v="No"/>
    <x v="2"/>
    <x v="1"/>
    <x v="5"/>
    <s v="Yes"/>
    <s v="No"/>
    <x v="0"/>
    <s v="Software Development"/>
    <n v="4"/>
    <x v="0"/>
    <s v="Single"/>
    <x v="1"/>
    <s v="Family"/>
    <x v="0"/>
    <n v="1.45"/>
    <s v="No"/>
    <n v="2.38"/>
    <n v="50"/>
    <n v="30000"/>
    <x v="2"/>
    <x v="0"/>
    <n v="55"/>
  </r>
  <r>
    <x v="4"/>
    <x v="1"/>
    <n v="25"/>
    <n v="2018"/>
    <x v="0"/>
    <n v="10"/>
    <x v="1"/>
    <s v="No"/>
    <x v="3"/>
    <n v="3"/>
    <x v="1"/>
    <x v="0"/>
    <s v="Yes"/>
    <x v="2"/>
    <x v="0"/>
    <x v="5"/>
    <s v="No"/>
    <s v="No"/>
    <x v="0"/>
    <s v="Cyber security"/>
    <n v="2"/>
    <x v="0"/>
    <s v="Relationship"/>
    <x v="0"/>
    <s v="Bachelor"/>
    <x v="0"/>
    <n v="2.4500000000000002"/>
    <s v="No"/>
    <n v="3.54"/>
    <n v="116"/>
    <n v="34000"/>
    <x v="1"/>
    <x v="0"/>
    <n v="61"/>
  </r>
  <r>
    <x v="4"/>
    <x v="0"/>
    <n v="23"/>
    <n v="2019"/>
    <x v="0"/>
    <n v="10"/>
    <x v="0"/>
    <s v="No"/>
    <x v="4"/>
    <n v="3"/>
    <x v="0"/>
    <x v="0"/>
    <s v="No"/>
    <x v="4"/>
    <x v="2"/>
    <x v="2"/>
    <s v="No"/>
    <s v="No"/>
    <x v="1"/>
    <s v="Software Development"/>
    <n v="1"/>
    <x v="2"/>
    <s v="Single"/>
    <x v="0"/>
    <s v="Family"/>
    <x v="0"/>
    <n v="1.45"/>
    <s v="No"/>
    <n v="2.4500000000000002"/>
    <n v="116"/>
    <n v="35000"/>
    <x v="2"/>
    <x v="0"/>
    <n v="53"/>
  </r>
  <r>
    <x v="1"/>
    <x v="1"/>
    <n v="20"/>
    <n v="2019"/>
    <x v="0"/>
    <n v="6"/>
    <x v="1"/>
    <s v="No"/>
    <x v="0"/>
    <n v="2"/>
    <x v="0"/>
    <x v="0"/>
    <s v="Yes"/>
    <x v="6"/>
    <x v="0"/>
    <x v="5"/>
    <s v="No"/>
    <s v="No"/>
    <x v="1"/>
    <s v="Machine Learning"/>
    <n v="2"/>
    <x v="6"/>
    <s v="Single"/>
    <x v="1"/>
    <s v="Family"/>
    <x v="0"/>
    <n v="2"/>
    <s v="No"/>
    <n v="3.19"/>
    <n v="78"/>
    <n v="35000"/>
    <x v="0"/>
    <x v="0"/>
    <n v="55"/>
  </r>
  <r>
    <x v="2"/>
    <x v="0"/>
    <n v="24"/>
    <n v="2018"/>
    <x v="0"/>
    <n v="11"/>
    <x v="0"/>
    <s v="No"/>
    <x v="1"/>
    <n v="2"/>
    <x v="0"/>
    <x v="0"/>
    <s v="Yes"/>
    <x v="7"/>
    <x v="2"/>
    <x v="5"/>
    <s v="No"/>
    <s v="No"/>
    <x v="0"/>
    <s v="Software Development"/>
    <n v="2"/>
    <x v="6"/>
    <s v="Single"/>
    <x v="1"/>
    <s v="Bachelor"/>
    <x v="0"/>
    <n v="2.89"/>
    <s v="No"/>
    <n v="3.99"/>
    <n v="140"/>
    <n v="36000"/>
    <x v="1"/>
    <x v="0"/>
    <n v="49"/>
  </r>
  <r>
    <x v="2"/>
    <x v="1"/>
    <n v="20"/>
    <n v="2019"/>
    <x v="0"/>
    <n v="10"/>
    <x v="1"/>
    <s v="No"/>
    <x v="2"/>
    <n v="1"/>
    <x v="0"/>
    <x v="0"/>
    <s v="Yes"/>
    <x v="7"/>
    <x v="0"/>
    <x v="7"/>
    <s v="No"/>
    <s v="No"/>
    <x v="0"/>
    <s v="Cyber security"/>
    <n v="1"/>
    <x v="0"/>
    <s v="Relationship"/>
    <x v="1"/>
    <s v="Bachelor"/>
    <x v="0"/>
    <n v="2.88"/>
    <s v="No"/>
    <n v="3.75"/>
    <n v="116"/>
    <n v="36000"/>
    <x v="1"/>
    <x v="0"/>
    <n v="37"/>
  </r>
  <r>
    <x v="1"/>
    <x v="0"/>
    <n v="20"/>
    <n v="2020"/>
    <x v="0"/>
    <n v="7"/>
    <x v="1"/>
    <s v="No"/>
    <x v="0"/>
    <n v="2"/>
    <x v="0"/>
    <x v="0"/>
    <s v="Yes"/>
    <x v="6"/>
    <x v="1"/>
    <x v="23"/>
    <s v="Yes"/>
    <s v="No"/>
    <x v="0"/>
    <s v="Software Development"/>
    <n v="2"/>
    <x v="2"/>
    <s v="Single"/>
    <x v="0"/>
    <s v="Bachelor"/>
    <x v="0"/>
    <n v="1.87"/>
    <s v="No"/>
    <n v="2.98"/>
    <n v="101"/>
    <n v="37000"/>
    <x v="0"/>
    <x v="0"/>
    <n v="39"/>
  </r>
  <r>
    <x v="2"/>
    <x v="0"/>
    <n v="20"/>
    <n v="2020"/>
    <x v="0"/>
    <n v="9"/>
    <x v="1"/>
    <s v="No"/>
    <x v="1"/>
    <n v="1"/>
    <x v="0"/>
    <x v="0"/>
    <s v="No"/>
    <x v="1"/>
    <x v="2"/>
    <x v="35"/>
    <s v="Yes"/>
    <s v="No"/>
    <x v="0"/>
    <s v="Networking"/>
    <n v="3"/>
    <x v="6"/>
    <s v="Single"/>
    <x v="0"/>
    <s v="Family"/>
    <x v="0"/>
    <n v="2.44"/>
    <s v="No"/>
    <n v="3.53"/>
    <n v="127"/>
    <n v="39000"/>
    <x v="1"/>
    <x v="0"/>
    <n v="33.6"/>
  </r>
  <r>
    <x v="4"/>
    <x v="1"/>
    <n v="22"/>
    <n v="2019"/>
    <x v="0"/>
    <n v="10"/>
    <x v="1"/>
    <s v="No"/>
    <x v="5"/>
    <n v="2"/>
    <x v="0"/>
    <x v="0"/>
    <s v="No"/>
    <x v="2"/>
    <x v="0"/>
    <x v="0"/>
    <s v="No"/>
    <s v="No"/>
    <x v="0"/>
    <s v="Software Development"/>
    <n v="1"/>
    <x v="2"/>
    <s v="Single"/>
    <x v="1"/>
    <s v="Family"/>
    <x v="1"/>
    <n v="2.8"/>
    <s v="No"/>
    <n v="3.65"/>
    <n v="126"/>
    <n v="40000"/>
    <x v="1"/>
    <x v="0"/>
    <n v="51"/>
  </r>
  <r>
    <x v="4"/>
    <x v="0"/>
    <n v="21"/>
    <n v="2019"/>
    <x v="0"/>
    <n v="7"/>
    <x v="1"/>
    <s v="No"/>
    <x v="4"/>
    <n v="3"/>
    <x v="1"/>
    <x v="0"/>
    <s v="Yes"/>
    <x v="2"/>
    <x v="0"/>
    <x v="5"/>
    <s v="No"/>
    <s v="No"/>
    <x v="0"/>
    <s v="Software Development"/>
    <n v="2"/>
    <x v="3"/>
    <s v="Single"/>
    <x v="1"/>
    <s v="Family"/>
    <x v="0"/>
    <n v="2.11"/>
    <s v="No"/>
    <n v="3.47"/>
    <n v="103"/>
    <n v="40000"/>
    <x v="0"/>
    <x v="0"/>
    <n v="64"/>
  </r>
  <r>
    <x v="3"/>
    <x v="0"/>
    <n v="22"/>
    <n v="2021"/>
    <x v="0"/>
    <n v="5"/>
    <x v="1"/>
    <s v="No"/>
    <x v="5"/>
    <n v="1"/>
    <x v="0"/>
    <x v="0"/>
    <s v="Yes"/>
    <x v="1"/>
    <x v="2"/>
    <x v="17"/>
    <s v="No"/>
    <s v="No"/>
    <x v="1"/>
    <s v="Machine Learning"/>
    <n v="2"/>
    <x v="0"/>
    <s v="Married"/>
    <x v="1"/>
    <s v="Bachelor"/>
    <x v="0"/>
    <n v="2.37"/>
    <s v="No"/>
    <n v="3.49"/>
    <n v="67"/>
    <n v="41000"/>
    <x v="0"/>
    <x v="0"/>
    <n v="52.800000000000004"/>
  </r>
  <r>
    <x v="1"/>
    <x v="0"/>
    <n v="23"/>
    <n v="2019"/>
    <x v="0"/>
    <n v="9"/>
    <x v="1"/>
    <s v="No"/>
    <x v="0"/>
    <n v="1"/>
    <x v="0"/>
    <x v="0"/>
    <s v="Yes"/>
    <x v="1"/>
    <x v="0"/>
    <x v="17"/>
    <s v="Yes"/>
    <s v="No"/>
    <x v="1"/>
    <s v="Networking"/>
    <n v="2"/>
    <x v="6"/>
    <s v="Married"/>
    <x v="1"/>
    <s v="Family"/>
    <x v="0"/>
    <n v="2.75"/>
    <s v="No"/>
    <n v="3.8"/>
    <n v="116"/>
    <n v="44000"/>
    <x v="1"/>
    <x v="0"/>
    <n v="49.800000000000004"/>
  </r>
  <r>
    <x v="1"/>
    <x v="1"/>
    <n v="21"/>
    <n v="2020"/>
    <x v="0"/>
    <n v="9"/>
    <x v="1"/>
    <s v="No"/>
    <x v="0"/>
    <n v="2"/>
    <x v="1"/>
    <x v="0"/>
    <s v="Yes"/>
    <x v="4"/>
    <x v="0"/>
    <x v="5"/>
    <s v="No"/>
    <s v="No"/>
    <x v="0"/>
    <s v="Cyber security"/>
    <n v="3"/>
    <x v="2"/>
    <s v="Relationship"/>
    <x v="1"/>
    <s v="Bachelor"/>
    <x v="0"/>
    <n v="1.98"/>
    <s v="No"/>
    <n v="2.91"/>
    <n v="117"/>
    <n v="44000"/>
    <x v="0"/>
    <x v="0"/>
    <n v="58"/>
  </r>
  <r>
    <x v="2"/>
    <x v="1"/>
    <n v="20"/>
    <n v="2020"/>
    <x v="0"/>
    <n v="11"/>
    <x v="1"/>
    <s v="No"/>
    <x v="2"/>
    <n v="1"/>
    <x v="1"/>
    <x v="0"/>
    <s v="Yes"/>
    <x v="1"/>
    <x v="0"/>
    <x v="5"/>
    <s v="No"/>
    <s v="No"/>
    <x v="0"/>
    <s v="Networking"/>
    <n v="2"/>
    <x v="6"/>
    <s v="Single"/>
    <x v="0"/>
    <s v="Family"/>
    <x v="0"/>
    <n v="2.64"/>
    <s v="No"/>
    <n v="3.7"/>
    <n v="136"/>
    <n v="44000"/>
    <x v="1"/>
    <x v="0"/>
    <n v="52"/>
  </r>
  <r>
    <x v="4"/>
    <x v="0"/>
    <n v="22"/>
    <n v="2018"/>
    <x v="0"/>
    <n v="9"/>
    <x v="1"/>
    <s v="No"/>
    <x v="4"/>
    <n v="2"/>
    <x v="1"/>
    <x v="0"/>
    <s v="Yes"/>
    <x v="14"/>
    <x v="0"/>
    <x v="22"/>
    <s v="No"/>
    <s v="No"/>
    <x v="1"/>
    <s v="Networking"/>
    <n v="6"/>
    <x v="7"/>
    <s v="Single"/>
    <x v="0"/>
    <s v="Bachelor"/>
    <x v="0"/>
    <n v="1.77"/>
    <s v="No"/>
    <n v="2.66"/>
    <n v="133"/>
    <n v="45000"/>
    <x v="0"/>
    <x v="0"/>
    <n v="66.8"/>
  </r>
  <r>
    <x v="3"/>
    <x v="1"/>
    <n v="21"/>
    <n v="2020"/>
    <x v="0"/>
    <n v="5"/>
    <x v="1"/>
    <s v="No"/>
    <x v="5"/>
    <n v="2"/>
    <x v="0"/>
    <x v="0"/>
    <s v="Yes"/>
    <x v="6"/>
    <x v="0"/>
    <x v="4"/>
    <s v="No"/>
    <s v="No"/>
    <x v="1"/>
    <s v="Software Development"/>
    <n v="1"/>
    <x v="0"/>
    <s v="Single"/>
    <x v="0"/>
    <s v="Family"/>
    <x v="0"/>
    <n v="2.19"/>
    <s v="No"/>
    <n v="2.77"/>
    <n v="42"/>
    <n v="45000"/>
    <x v="0"/>
    <x v="0"/>
    <n v="53"/>
  </r>
  <r>
    <x v="1"/>
    <x v="0"/>
    <n v="22"/>
    <n v="2020"/>
    <x v="0"/>
    <n v="6"/>
    <x v="0"/>
    <s v="No"/>
    <x v="3"/>
    <n v="5"/>
    <x v="1"/>
    <x v="0"/>
    <s v="Yes"/>
    <x v="6"/>
    <x v="2"/>
    <x v="7"/>
    <s v="Yes"/>
    <s v="Yes"/>
    <x v="0"/>
    <s v="Software Development"/>
    <n v="3"/>
    <x v="6"/>
    <s v="Relationship"/>
    <x v="0"/>
    <s v="Bachelor"/>
    <x v="0"/>
    <n v="2.19"/>
    <s v="No"/>
    <n v="3.19"/>
    <n v="63"/>
    <n v="45000"/>
    <x v="0"/>
    <x v="0"/>
    <n v="52"/>
  </r>
  <r>
    <x v="2"/>
    <x v="1"/>
    <n v="20"/>
    <n v="2020"/>
    <x v="0"/>
    <n v="8"/>
    <x v="1"/>
    <s v="No"/>
    <x v="0"/>
    <n v="1"/>
    <x v="1"/>
    <x v="0"/>
    <s v="Yes"/>
    <x v="15"/>
    <x v="0"/>
    <x v="31"/>
    <s v="Yes"/>
    <s v="No"/>
    <x v="1"/>
    <s v="Software Development"/>
    <n v="2"/>
    <x v="0"/>
    <s v="Single"/>
    <x v="1"/>
    <s v="Bachelor"/>
    <x v="1"/>
    <n v="1.98"/>
    <s v="No"/>
    <n v="2.98"/>
    <n v="119"/>
    <n v="45000"/>
    <x v="0"/>
    <x v="0"/>
    <n v="49.4"/>
  </r>
  <r>
    <x v="1"/>
    <x v="1"/>
    <n v="20"/>
    <n v="2020"/>
    <x v="0"/>
    <n v="9"/>
    <x v="1"/>
    <s v="No"/>
    <x v="5"/>
    <n v="2"/>
    <x v="0"/>
    <x v="0"/>
    <s v="Yes"/>
    <x v="2"/>
    <x v="0"/>
    <x v="28"/>
    <s v="Yes"/>
    <s v="No"/>
    <x v="1"/>
    <s v="Machine Learning"/>
    <n v="4"/>
    <x v="0"/>
    <s v="Relationship"/>
    <x v="0"/>
    <s v="Family"/>
    <x v="0"/>
    <n v="1.83"/>
    <s v="No"/>
    <n v="2.9"/>
    <n v="97"/>
    <n v="45000"/>
    <x v="0"/>
    <x v="0"/>
    <n v="55.2"/>
  </r>
  <r>
    <x v="2"/>
    <x v="1"/>
    <n v="21"/>
    <n v="2019"/>
    <x v="0"/>
    <n v="9"/>
    <x v="1"/>
    <s v="No"/>
    <x v="0"/>
    <n v="1"/>
    <x v="1"/>
    <x v="0"/>
    <s v="Yes"/>
    <x v="15"/>
    <x v="0"/>
    <x v="5"/>
    <s v="No"/>
    <s v="No"/>
    <x v="0"/>
    <s v="Software Development"/>
    <n v="2"/>
    <x v="2"/>
    <s v="In a relationship"/>
    <x v="1"/>
    <s v="Bachelor"/>
    <x v="0"/>
    <n v="1.87"/>
    <s v="No"/>
    <n v="2.82"/>
    <n v="139"/>
    <n v="46000"/>
    <x v="0"/>
    <x v="0"/>
    <n v="55"/>
  </r>
  <r>
    <x v="2"/>
    <x v="1"/>
    <n v="25"/>
    <n v="2019"/>
    <x v="0"/>
    <n v="11"/>
    <x v="1"/>
    <s v="No"/>
    <x v="1"/>
    <n v="1"/>
    <x v="1"/>
    <x v="0"/>
    <s v="Yes"/>
    <x v="1"/>
    <x v="0"/>
    <x v="36"/>
    <s v="No"/>
    <s v="No"/>
    <x v="1"/>
    <s v="Software Development"/>
    <n v="2"/>
    <x v="7"/>
    <s v="Single"/>
    <x v="1"/>
    <s v="Bachelor"/>
    <x v="0"/>
    <n v="2.65"/>
    <s v="No"/>
    <n v="3.71"/>
    <n v="136"/>
    <n v="49000"/>
    <x v="1"/>
    <x v="0"/>
    <n v="36.200000000000003"/>
  </r>
  <r>
    <x v="2"/>
    <x v="1"/>
    <n v="23"/>
    <n v="2018"/>
    <x v="0"/>
    <n v="11"/>
    <x v="0"/>
    <s v="No"/>
    <x v="4"/>
    <n v="2"/>
    <x v="0"/>
    <x v="0"/>
    <s v="Yes"/>
    <x v="4"/>
    <x v="2"/>
    <x v="0"/>
    <s v="Yes"/>
    <s v="No"/>
    <x v="0"/>
    <s v="Software Development"/>
    <n v="5"/>
    <x v="2"/>
    <s v="Single"/>
    <x v="1"/>
    <s v="Family"/>
    <x v="0"/>
    <n v="2.19"/>
    <s v="No"/>
    <n v="3.45"/>
    <n v="122"/>
    <n v="50000"/>
    <x v="0"/>
    <x v="0"/>
    <n v="69"/>
  </r>
  <r>
    <x v="3"/>
    <x v="0"/>
    <n v="24"/>
    <n v="2019"/>
    <x v="0"/>
    <n v="4"/>
    <x v="0"/>
    <s v="No"/>
    <x v="0"/>
    <n v="2"/>
    <x v="0"/>
    <x v="0"/>
    <s v="Yes"/>
    <x v="4"/>
    <x v="0"/>
    <x v="5"/>
    <s v="No"/>
    <s v="No"/>
    <x v="0"/>
    <s v="Networking"/>
    <n v="1"/>
    <x v="2"/>
    <s v="Single"/>
    <x v="1"/>
    <s v="Family"/>
    <x v="0"/>
    <n v="2.5"/>
    <s v="No"/>
    <n v="3.4"/>
    <n v="46"/>
    <n v="50000"/>
    <x v="0"/>
    <x v="0"/>
    <n v="52"/>
  </r>
  <r>
    <x v="2"/>
    <x v="0"/>
    <n v="25"/>
    <n v="2019"/>
    <x v="0"/>
    <n v="11"/>
    <x v="1"/>
    <s v="No"/>
    <x v="2"/>
    <n v="1"/>
    <x v="0"/>
    <x v="0"/>
    <s v="Yes"/>
    <x v="1"/>
    <x v="0"/>
    <x v="5"/>
    <s v="Yes"/>
    <s v="No"/>
    <x v="1"/>
    <s v="Networking"/>
    <n v="4"/>
    <x v="6"/>
    <s v="Relationship"/>
    <x v="1"/>
    <s v="Bachelor"/>
    <x v="0"/>
    <n v="2.82"/>
    <s v="No"/>
    <n v="3.85"/>
    <n v="136"/>
    <n v="50000"/>
    <x v="1"/>
    <x v="0"/>
    <n v="58"/>
  </r>
  <r>
    <x v="2"/>
    <x v="1"/>
    <n v="22"/>
    <n v="2020"/>
    <x v="0"/>
    <n v="8"/>
    <x v="1"/>
    <s v="No"/>
    <x v="2"/>
    <n v="1"/>
    <x v="1"/>
    <x v="0"/>
    <s v="Yes"/>
    <x v="2"/>
    <x v="1"/>
    <x v="14"/>
    <s v="Yes"/>
    <s v="No"/>
    <x v="1"/>
    <s v="Cyber security"/>
    <n v="2"/>
    <x v="0"/>
    <s v="Relationship"/>
    <x v="1"/>
    <s v="Bachelor"/>
    <x v="0"/>
    <n v="1.34"/>
    <s v="No"/>
    <n v="2.68"/>
    <n v="98"/>
    <n v="50000"/>
    <x v="0"/>
    <x v="0"/>
    <n v="32"/>
  </r>
  <r>
    <x v="3"/>
    <x v="1"/>
    <n v="19"/>
    <n v="2021"/>
    <x v="0"/>
    <n v="5"/>
    <x v="1"/>
    <s v="No"/>
    <x v="1"/>
    <n v="1"/>
    <x v="0"/>
    <x v="0"/>
    <s v="Yes"/>
    <x v="4"/>
    <x v="1"/>
    <x v="28"/>
    <s v="No"/>
    <s v="No"/>
    <x v="0"/>
    <s v="Software Development"/>
    <n v="2"/>
    <x v="7"/>
    <s v="Single"/>
    <x v="1"/>
    <s v="Bachelor"/>
    <x v="0"/>
    <n v="2.68"/>
    <s v="No"/>
    <n v="3.79"/>
    <n v="80"/>
    <n v="50000"/>
    <x v="1"/>
    <x v="0"/>
    <n v="40.200000000000003"/>
  </r>
  <r>
    <x v="4"/>
    <x v="1"/>
    <n v="22"/>
    <n v="2017"/>
    <x v="0"/>
    <n v="10"/>
    <x v="1"/>
    <s v="No"/>
    <x v="2"/>
    <n v="1"/>
    <x v="1"/>
    <x v="0"/>
    <s v="Yes"/>
    <x v="3"/>
    <x v="0"/>
    <x v="2"/>
    <s v="Yes"/>
    <s v="No"/>
    <x v="1"/>
    <s v="Networking"/>
    <n v="1"/>
    <x v="0"/>
    <s v="Relationship"/>
    <x v="0"/>
    <s v="Family"/>
    <x v="0"/>
    <n v="1.97"/>
    <s v="No"/>
    <n v="2.98"/>
    <n v="79"/>
    <n v="52000"/>
    <x v="0"/>
    <x v="0"/>
    <n v="41"/>
  </r>
  <r>
    <x v="1"/>
    <x v="1"/>
    <n v="20"/>
    <n v="2020"/>
    <x v="0"/>
    <n v="9"/>
    <x v="0"/>
    <s v="No"/>
    <x v="3"/>
    <n v="2"/>
    <x v="0"/>
    <x v="0"/>
    <s v="Yes"/>
    <x v="1"/>
    <x v="2"/>
    <x v="5"/>
    <s v="No"/>
    <s v="No"/>
    <x v="1"/>
    <s v="Software Development"/>
    <n v="4"/>
    <x v="0"/>
    <s v="Single"/>
    <x v="1"/>
    <s v="Family"/>
    <x v="0"/>
    <n v="2.76"/>
    <s v="No"/>
    <n v="3.86"/>
    <n v="127"/>
    <n v="52000"/>
    <x v="1"/>
    <x v="0"/>
    <n v="67"/>
  </r>
  <r>
    <x v="4"/>
    <x v="1"/>
    <n v="25"/>
    <n v="2019"/>
    <x v="0"/>
    <n v="10"/>
    <x v="1"/>
    <s v="No"/>
    <x v="5"/>
    <n v="2"/>
    <x v="0"/>
    <x v="0"/>
    <s v="Yes"/>
    <x v="6"/>
    <x v="2"/>
    <x v="37"/>
    <s v="No"/>
    <s v="No"/>
    <x v="0"/>
    <s v="Software Development"/>
    <n v="2"/>
    <x v="2"/>
    <s v="Single"/>
    <x v="0"/>
    <s v="Family"/>
    <x v="0"/>
    <n v="1.72"/>
    <s v="No"/>
    <n v="2.79"/>
    <n v="140"/>
    <n v="54000"/>
    <x v="0"/>
    <x v="0"/>
    <n v="36"/>
  </r>
  <r>
    <x v="2"/>
    <x v="0"/>
    <n v="21"/>
    <n v="2020"/>
    <x v="0"/>
    <n v="10"/>
    <x v="1"/>
    <s v="No"/>
    <x v="2"/>
    <n v="2"/>
    <x v="0"/>
    <x v="0"/>
    <s v="Yes"/>
    <x v="2"/>
    <x v="1"/>
    <x v="5"/>
    <s v="No"/>
    <s v="No"/>
    <x v="1"/>
    <s v="Cyber security"/>
    <n v="4"/>
    <x v="0"/>
    <s v="Single"/>
    <x v="0"/>
    <s v="Bachelor"/>
    <x v="0"/>
    <n v="2.62"/>
    <s v="No"/>
    <n v="3.75"/>
    <n v="136"/>
    <n v="55000"/>
    <x v="1"/>
    <x v="0"/>
    <n v="58"/>
  </r>
  <r>
    <x v="1"/>
    <x v="1"/>
    <n v="20"/>
    <n v="2020"/>
    <x v="0"/>
    <n v="7"/>
    <x v="1"/>
    <s v="No"/>
    <x v="2"/>
    <n v="1"/>
    <x v="0"/>
    <x v="0"/>
    <s v="Yes"/>
    <x v="2"/>
    <x v="2"/>
    <x v="17"/>
    <s v="No"/>
    <s v="No"/>
    <x v="1"/>
    <s v="Networking"/>
    <n v="4"/>
    <x v="6"/>
    <s v="Relationship"/>
    <x v="1"/>
    <s v="Bachelor"/>
    <x v="0"/>
    <n v="1.51"/>
    <s v="No"/>
    <n v="2.59"/>
    <n v="99"/>
    <n v="55000"/>
    <x v="0"/>
    <x v="0"/>
    <n v="52.800000000000004"/>
  </r>
  <r>
    <x v="3"/>
    <x v="1"/>
    <n v="22"/>
    <n v="2021"/>
    <x v="0"/>
    <n v="5"/>
    <x v="1"/>
    <s v="No"/>
    <x v="2"/>
    <n v="3"/>
    <x v="0"/>
    <x v="0"/>
    <s v="No"/>
    <x v="2"/>
    <x v="0"/>
    <x v="4"/>
    <s v="Yes"/>
    <s v="No"/>
    <x v="1"/>
    <s v="Networking"/>
    <n v="2"/>
    <x v="6"/>
    <s v="Single"/>
    <x v="1"/>
    <s v="Bachelor"/>
    <x v="0"/>
    <n v="1.45"/>
    <s v="No"/>
    <n v="2.5299999999999998"/>
    <n v="65"/>
    <n v="55000"/>
    <x v="0"/>
    <x v="0"/>
    <n v="50"/>
  </r>
  <r>
    <x v="3"/>
    <x v="0"/>
    <n v="21"/>
    <n v="2021"/>
    <x v="0"/>
    <n v="5"/>
    <x v="1"/>
    <s v="No"/>
    <x v="2"/>
    <n v="1"/>
    <x v="0"/>
    <x v="0"/>
    <s v="No"/>
    <x v="4"/>
    <x v="0"/>
    <x v="5"/>
    <s v="No"/>
    <s v="No"/>
    <x v="1"/>
    <s v="Machine Learning"/>
    <n v="2"/>
    <x v="7"/>
    <s v="Single"/>
    <x v="1"/>
    <s v="Bachelor"/>
    <x v="0"/>
    <n v="2.16"/>
    <s v="No"/>
    <n v="3.24"/>
    <n v="66"/>
    <n v="57000"/>
    <x v="0"/>
    <x v="0"/>
    <n v="52"/>
  </r>
  <r>
    <x v="3"/>
    <x v="0"/>
    <n v="21"/>
    <n v="2021"/>
    <x v="0"/>
    <n v="6"/>
    <x v="1"/>
    <s v="No"/>
    <x v="2"/>
    <n v="1"/>
    <x v="0"/>
    <x v="0"/>
    <s v="Yes"/>
    <x v="2"/>
    <x v="0"/>
    <x v="5"/>
    <s v="Yes"/>
    <s v="No"/>
    <x v="1"/>
    <s v="Software Development"/>
    <n v="2"/>
    <x v="2"/>
    <s v="Married"/>
    <x v="0"/>
    <s v="Family"/>
    <x v="0"/>
    <n v="2.56"/>
    <s v="No"/>
    <n v="3.62"/>
    <n v="65"/>
    <n v="58000"/>
    <x v="1"/>
    <x v="0"/>
    <n v="52"/>
  </r>
  <r>
    <x v="4"/>
    <x v="0"/>
    <n v="21"/>
    <n v="2018"/>
    <x v="0"/>
    <n v="11"/>
    <x v="0"/>
    <s v="No"/>
    <x v="1"/>
    <n v="1"/>
    <x v="0"/>
    <x v="0"/>
    <s v="Yes"/>
    <x v="6"/>
    <x v="2"/>
    <x v="5"/>
    <s v="No"/>
    <s v="No"/>
    <x v="0"/>
    <s v="Software Development"/>
    <n v="3"/>
    <x v="7"/>
    <s v="Single"/>
    <x v="1"/>
    <s v="Bachelor"/>
    <x v="0"/>
    <n v="1.97"/>
    <s v="No"/>
    <n v="3.1"/>
    <n v="136"/>
    <n v="59000"/>
    <x v="0"/>
    <x v="0"/>
    <n v="52"/>
  </r>
  <r>
    <x v="2"/>
    <x v="1"/>
    <n v="23"/>
    <n v="2019"/>
    <x v="0"/>
    <n v="7"/>
    <x v="1"/>
    <s v="No"/>
    <x v="2"/>
    <n v="2"/>
    <x v="0"/>
    <x v="0"/>
    <s v="Yes"/>
    <x v="1"/>
    <x v="0"/>
    <x v="0"/>
    <s v="Yes"/>
    <s v="No"/>
    <x v="1"/>
    <s v="Networking"/>
    <n v="1"/>
    <x v="0"/>
    <s v="Relationship"/>
    <x v="0"/>
    <s v="Family"/>
    <x v="0"/>
    <n v="2.33"/>
    <s v="No"/>
    <n v="3.31"/>
    <n v="32"/>
    <n v="60000"/>
    <x v="0"/>
    <x v="0"/>
    <n v="45"/>
  </r>
  <r>
    <x v="2"/>
    <x v="1"/>
    <n v="20"/>
    <n v="2020"/>
    <x v="0"/>
    <n v="11"/>
    <x v="1"/>
    <s v="No"/>
    <x v="2"/>
    <n v="1"/>
    <x v="0"/>
    <x v="0"/>
    <s v="Yes"/>
    <x v="1"/>
    <x v="0"/>
    <x v="5"/>
    <s v="Yes"/>
    <s v="No"/>
    <x v="1"/>
    <s v="Networking"/>
    <n v="2"/>
    <x v="6"/>
    <s v="Single"/>
    <x v="1"/>
    <s v="Bachelor"/>
    <x v="0"/>
    <n v="1.6"/>
    <s v="No"/>
    <n v="2.68"/>
    <n v="136"/>
    <n v="60000"/>
    <x v="0"/>
    <x v="0"/>
    <n v="52"/>
  </r>
  <r>
    <x v="1"/>
    <x v="0"/>
    <n v="20"/>
    <n v="2021"/>
    <x v="0"/>
    <n v="7"/>
    <x v="1"/>
    <s v="No"/>
    <x v="5"/>
    <n v="3"/>
    <x v="0"/>
    <x v="0"/>
    <s v="Yes"/>
    <x v="5"/>
    <x v="0"/>
    <x v="2"/>
    <s v="No"/>
    <s v="No"/>
    <x v="1"/>
    <s v="Machine Learning"/>
    <n v="3"/>
    <x v="6"/>
    <s v="Relationship"/>
    <x v="0"/>
    <s v="Bachelor"/>
    <x v="0"/>
    <n v="2.11"/>
    <s v="No"/>
    <n v="3.22"/>
    <n v="97"/>
    <n v="60000"/>
    <x v="0"/>
    <x v="0"/>
    <n v="53"/>
  </r>
  <r>
    <x v="1"/>
    <x v="1"/>
    <n v="20"/>
    <n v="2021"/>
    <x v="0"/>
    <n v="7"/>
    <x v="1"/>
    <s v="No"/>
    <x v="0"/>
    <n v="1"/>
    <x v="1"/>
    <x v="0"/>
    <s v="Yes"/>
    <x v="6"/>
    <x v="1"/>
    <x v="5"/>
    <s v="Yes"/>
    <s v="Yes"/>
    <x v="1"/>
    <s v="Software Development"/>
    <n v="2"/>
    <x v="2"/>
    <s v="Single"/>
    <x v="0"/>
    <s v="Bachelor"/>
    <x v="0"/>
    <n v="1.19"/>
    <s v="No"/>
    <n v="2.16"/>
    <n v="103"/>
    <n v="60000"/>
    <x v="2"/>
    <x v="0"/>
    <n v="55"/>
  </r>
  <r>
    <x v="2"/>
    <x v="0"/>
    <n v="21"/>
    <n v="2019"/>
    <x v="0"/>
    <n v="9"/>
    <x v="1"/>
    <s v="No"/>
    <x v="5"/>
    <n v="2"/>
    <x v="1"/>
    <x v="0"/>
    <s v="Yes"/>
    <x v="0"/>
    <x v="2"/>
    <x v="5"/>
    <s v="No"/>
    <s v="No"/>
    <x v="0"/>
    <s v="Machine Learning"/>
    <n v="2"/>
    <x v="2"/>
    <s v="Single"/>
    <x v="1"/>
    <s v="Bachelor"/>
    <x v="0"/>
    <n v="2.65"/>
    <s v="No"/>
    <n v="3.78"/>
    <n v="121"/>
    <n v="61000"/>
    <x v="1"/>
    <x v="0"/>
    <n v="58"/>
  </r>
  <r>
    <x v="2"/>
    <x v="0"/>
    <n v="20"/>
    <n v="2020"/>
    <x v="0"/>
    <n v="10"/>
    <x v="1"/>
    <s v="No"/>
    <x v="2"/>
    <n v="2"/>
    <x v="0"/>
    <x v="0"/>
    <s v="Yes"/>
    <x v="2"/>
    <x v="0"/>
    <x v="5"/>
    <s v="Yes"/>
    <s v="No"/>
    <x v="0"/>
    <s v="Artificial Intelligence"/>
    <n v="1"/>
    <x v="0"/>
    <s v="Relationship"/>
    <x v="0"/>
    <s v="Bachelor"/>
    <x v="0"/>
    <n v="2.67"/>
    <s v="No"/>
    <n v="3.7"/>
    <n v="135"/>
    <n v="61000"/>
    <x v="1"/>
    <x v="0"/>
    <n v="49"/>
  </r>
  <r>
    <x v="2"/>
    <x v="0"/>
    <n v="24"/>
    <n v="2019"/>
    <x v="0"/>
    <n v="11"/>
    <x v="1"/>
    <s v="No"/>
    <x v="0"/>
    <n v="3"/>
    <x v="1"/>
    <x v="0"/>
    <s v="Yes"/>
    <x v="1"/>
    <x v="0"/>
    <x v="38"/>
    <s v="Yes"/>
    <s v="No"/>
    <x v="1"/>
    <s v="Cyber security"/>
    <n v="2"/>
    <x v="0"/>
    <s v="Single"/>
    <x v="1"/>
    <s v="Family"/>
    <x v="0"/>
    <n v="2.44"/>
    <s v="No"/>
    <n v="3.51"/>
    <n v="144"/>
    <n v="64000"/>
    <x v="1"/>
    <x v="0"/>
    <n v="33.400000000000006"/>
  </r>
  <r>
    <x v="2"/>
    <x v="0"/>
    <n v="24"/>
    <n v="2019"/>
    <x v="0"/>
    <n v="11"/>
    <x v="1"/>
    <s v="No"/>
    <x v="0"/>
    <n v="3"/>
    <x v="0"/>
    <x v="0"/>
    <s v="Yes"/>
    <x v="1"/>
    <x v="2"/>
    <x v="11"/>
    <s v="Yes"/>
    <s v="No"/>
    <x v="0"/>
    <s v="Networking"/>
    <n v="1"/>
    <x v="6"/>
    <s v="Relationship"/>
    <x v="0"/>
    <s v="Bachelor"/>
    <x v="0"/>
    <n v="1.65"/>
    <s v="No"/>
    <n v="2.68"/>
    <n v="143"/>
    <n v="65000"/>
    <x v="0"/>
    <x v="0"/>
    <n v="42"/>
  </r>
  <r>
    <x v="2"/>
    <x v="0"/>
    <n v="25"/>
    <n v="2019"/>
    <x v="0"/>
    <n v="10"/>
    <x v="1"/>
    <s v="No"/>
    <x v="2"/>
    <n v="2"/>
    <x v="0"/>
    <x v="0"/>
    <s v="Yes"/>
    <x v="1"/>
    <x v="0"/>
    <x v="28"/>
    <s v="No"/>
    <s v="No"/>
    <x v="1"/>
    <s v="Cyber security"/>
    <n v="2"/>
    <x v="0"/>
    <s v="Single"/>
    <x v="0"/>
    <s v="Bachelor"/>
    <x v="0"/>
    <n v="2.54"/>
    <s v="No"/>
    <n v="3.61"/>
    <n v="78"/>
    <n v="65000"/>
    <x v="1"/>
    <x v="0"/>
    <n v="43.2"/>
  </r>
  <r>
    <x v="2"/>
    <x v="0"/>
    <n v="20"/>
    <n v="2020"/>
    <x v="0"/>
    <n v="11"/>
    <x v="1"/>
    <s v="No"/>
    <x v="2"/>
    <n v="1"/>
    <x v="1"/>
    <x v="0"/>
    <s v="Yes"/>
    <x v="2"/>
    <x v="2"/>
    <x v="5"/>
    <s v="Yes"/>
    <s v="No"/>
    <x v="1"/>
    <s v="Cyber security"/>
    <n v="2"/>
    <x v="0"/>
    <s v="Married"/>
    <x v="0"/>
    <s v="Family"/>
    <x v="0"/>
    <n v="2.5"/>
    <s v="No"/>
    <n v="3.61"/>
    <n v="136"/>
    <n v="65000"/>
    <x v="1"/>
    <x v="0"/>
    <n v="52"/>
  </r>
  <r>
    <x v="1"/>
    <x v="1"/>
    <n v="20"/>
    <n v="2020"/>
    <x v="0"/>
    <n v="6"/>
    <x v="1"/>
    <s v="No"/>
    <x v="5"/>
    <n v="2"/>
    <x v="1"/>
    <x v="0"/>
    <s v="Yes"/>
    <x v="7"/>
    <x v="0"/>
    <x v="5"/>
    <s v="No"/>
    <s v="No"/>
    <x v="1"/>
    <s v="Software Development"/>
    <n v="2"/>
    <x v="2"/>
    <s v="Relationship"/>
    <x v="0"/>
    <s v="Family"/>
    <x v="0"/>
    <n v="2.0699999999999998"/>
    <s v="No"/>
    <n v="3.39"/>
    <n v="84"/>
    <n v="66000"/>
    <x v="0"/>
    <x v="0"/>
    <n v="58"/>
  </r>
  <r>
    <x v="2"/>
    <x v="1"/>
    <n v="20"/>
    <n v="2020"/>
    <x v="0"/>
    <n v="8"/>
    <x v="1"/>
    <s v="No"/>
    <x v="5"/>
    <n v="2"/>
    <x v="1"/>
    <x v="0"/>
    <s v="Yes"/>
    <x v="5"/>
    <x v="2"/>
    <x v="5"/>
    <s v="No"/>
    <s v="No"/>
    <x v="0"/>
    <s v="Software Development"/>
    <n v="1"/>
    <x v="7"/>
    <s v="Single"/>
    <x v="1"/>
    <s v="Family"/>
    <x v="0"/>
    <n v="1.77"/>
    <s v="No"/>
    <n v="2.64"/>
    <n v="119"/>
    <n v="66000"/>
    <x v="0"/>
    <x v="0"/>
    <n v="55"/>
  </r>
  <r>
    <x v="1"/>
    <x v="0"/>
    <n v="20"/>
    <n v="2020"/>
    <x v="0"/>
    <n v="7"/>
    <x v="0"/>
    <s v="No"/>
    <x v="0"/>
    <n v="1"/>
    <x v="0"/>
    <x v="0"/>
    <s v="Yes"/>
    <x v="0"/>
    <x v="0"/>
    <x v="0"/>
    <s v="No"/>
    <s v="No"/>
    <x v="1"/>
    <s v="Networking"/>
    <n v="2"/>
    <x v="6"/>
    <s v="Single"/>
    <x v="1"/>
    <s v="Bachelor"/>
    <x v="0"/>
    <n v="2.11"/>
    <s v="No"/>
    <n v="3.21"/>
    <n v="102"/>
    <n v="66000"/>
    <x v="0"/>
    <x v="0"/>
    <n v="51"/>
  </r>
  <r>
    <x v="3"/>
    <x v="1"/>
    <n v="21"/>
    <n v="2021"/>
    <x v="0"/>
    <n v="5"/>
    <x v="1"/>
    <s v="No"/>
    <x v="2"/>
    <n v="1"/>
    <x v="0"/>
    <x v="0"/>
    <s v="No"/>
    <x v="2"/>
    <x v="0"/>
    <x v="38"/>
    <s v="Yes"/>
    <s v="No"/>
    <x v="0"/>
    <s v="Artificial Intelligence"/>
    <n v="4"/>
    <x v="0"/>
    <s v="Single"/>
    <x v="0"/>
    <s v="Bachelor"/>
    <x v="0"/>
    <n v="2.33"/>
    <s v="No"/>
    <n v="3.41"/>
    <n v="63"/>
    <n v="66000"/>
    <x v="0"/>
    <x v="0"/>
    <n v="36.400000000000006"/>
  </r>
  <r>
    <x v="3"/>
    <x v="1"/>
    <n v="20"/>
    <n v="2021"/>
    <x v="0"/>
    <n v="5"/>
    <x v="1"/>
    <s v="No"/>
    <x v="0"/>
    <n v="1"/>
    <x v="0"/>
    <x v="0"/>
    <s v="Yes"/>
    <x v="1"/>
    <x v="1"/>
    <x v="5"/>
    <s v="Yes"/>
    <s v="No"/>
    <x v="0"/>
    <s v="Software Development"/>
    <n v="4"/>
    <x v="2"/>
    <s v="Relationship"/>
    <x v="0"/>
    <s v="Bachelor"/>
    <x v="0"/>
    <n v="2.77"/>
    <s v="No"/>
    <n v="3.84"/>
    <n v="58"/>
    <n v="66000"/>
    <x v="1"/>
    <x v="0"/>
    <n v="61"/>
  </r>
  <r>
    <x v="4"/>
    <x v="0"/>
    <n v="21"/>
    <n v="2018"/>
    <x v="0"/>
    <n v="11"/>
    <x v="0"/>
    <s v="No"/>
    <x v="5"/>
    <n v="4"/>
    <x v="0"/>
    <x v="0"/>
    <s v="Yes"/>
    <x v="2"/>
    <x v="2"/>
    <x v="5"/>
    <s v="No"/>
    <s v="No"/>
    <x v="0"/>
    <s v="Software Development"/>
    <n v="3"/>
    <x v="2"/>
    <s v="Single"/>
    <x v="1"/>
    <s v="Family"/>
    <x v="0"/>
    <n v="2.87"/>
    <s v="No"/>
    <n v="3.98"/>
    <n v="136"/>
    <n v="67000"/>
    <x v="1"/>
    <x v="0"/>
    <n v="61"/>
  </r>
  <r>
    <x v="4"/>
    <x v="0"/>
    <n v="22"/>
    <n v="2017"/>
    <x v="0"/>
    <n v="10"/>
    <x v="1"/>
    <s v="No"/>
    <x v="0"/>
    <n v="1"/>
    <x v="1"/>
    <x v="0"/>
    <s v="Yes"/>
    <x v="6"/>
    <x v="0"/>
    <x v="5"/>
    <s v="No"/>
    <s v="No"/>
    <x v="1"/>
    <s v="Software Development"/>
    <n v="2"/>
    <x v="2"/>
    <s v="Single"/>
    <x v="1"/>
    <s v="Bachelor"/>
    <x v="0"/>
    <n v="2.19"/>
    <s v="No"/>
    <n v="3.43"/>
    <n v="116"/>
    <n v="68000"/>
    <x v="0"/>
    <x v="0"/>
    <n v="55"/>
  </r>
  <r>
    <x v="2"/>
    <x v="0"/>
    <n v="22"/>
    <n v="2019"/>
    <x v="0"/>
    <n v="10"/>
    <x v="1"/>
    <s v="No"/>
    <x v="2"/>
    <n v="1"/>
    <x v="0"/>
    <x v="0"/>
    <s v="Yes"/>
    <x v="7"/>
    <x v="2"/>
    <x v="5"/>
    <s v="No"/>
    <s v="No"/>
    <x v="0"/>
    <s v="Artificial Intelligence"/>
    <n v="2"/>
    <x v="6"/>
    <s v="Single"/>
    <x v="1"/>
    <s v="Family"/>
    <x v="0"/>
    <n v="2.11"/>
    <s v="No"/>
    <n v="3.39"/>
    <n v="132"/>
    <n v="68000"/>
    <x v="0"/>
    <x v="0"/>
    <n v="52"/>
  </r>
  <r>
    <x v="2"/>
    <x v="0"/>
    <n v="25"/>
    <n v="2019"/>
    <x v="0"/>
    <n v="11"/>
    <x v="1"/>
    <s v="No"/>
    <x v="1"/>
    <n v="2"/>
    <x v="0"/>
    <x v="0"/>
    <s v="Yes"/>
    <x v="2"/>
    <x v="0"/>
    <x v="39"/>
    <s v="No"/>
    <s v="No"/>
    <x v="0"/>
    <s v="Artificial Intelligence"/>
    <n v="4"/>
    <x v="0"/>
    <s v="Single"/>
    <x v="0"/>
    <s v="Bachelor"/>
    <x v="1"/>
    <n v="2.5099999999999998"/>
    <s v="No"/>
    <n v="3.57"/>
    <n v="136"/>
    <n v="68000"/>
    <x v="1"/>
    <x v="0"/>
    <n v="35.400000000000006"/>
  </r>
  <r>
    <x v="2"/>
    <x v="0"/>
    <n v="22"/>
    <n v="2019"/>
    <x v="0"/>
    <n v="9"/>
    <x v="1"/>
    <s v="No"/>
    <x v="0"/>
    <n v="2"/>
    <x v="1"/>
    <x v="0"/>
    <s v="Yes"/>
    <x v="1"/>
    <x v="1"/>
    <x v="5"/>
    <s v="No"/>
    <s v="No"/>
    <x v="1"/>
    <s v="Networking"/>
    <n v="2"/>
    <x v="6"/>
    <s v="Single"/>
    <x v="0"/>
    <s v="Bachelor"/>
    <x v="0"/>
    <n v="2.2200000000000002"/>
    <s v="No"/>
    <n v="3.38"/>
    <n v="100"/>
    <n v="68000"/>
    <x v="0"/>
    <x v="0"/>
    <n v="55"/>
  </r>
  <r>
    <x v="1"/>
    <x v="1"/>
    <n v="20"/>
    <n v="2020"/>
    <x v="0"/>
    <n v="8"/>
    <x v="1"/>
    <s v="No"/>
    <x v="2"/>
    <n v="2"/>
    <x v="0"/>
    <x v="0"/>
    <s v="Yes"/>
    <x v="2"/>
    <x v="0"/>
    <x v="40"/>
    <s v="Yes"/>
    <s v="No"/>
    <x v="1"/>
    <s v="Cyber security"/>
    <n v="3"/>
    <x v="0"/>
    <s v="Single"/>
    <x v="1"/>
    <s v="Bachelor"/>
    <x v="0"/>
    <n v="1.86"/>
    <s v="No"/>
    <n v="2.91"/>
    <n v="88"/>
    <n v="68000"/>
    <x v="0"/>
    <x v="0"/>
    <n v="28.6"/>
  </r>
  <r>
    <x v="1"/>
    <x v="1"/>
    <n v="22"/>
    <n v="2021"/>
    <x v="0"/>
    <n v="9"/>
    <x v="1"/>
    <s v="No"/>
    <x v="1"/>
    <n v="1"/>
    <x v="0"/>
    <x v="0"/>
    <s v="No"/>
    <x v="7"/>
    <x v="1"/>
    <x v="14"/>
    <s v="No"/>
    <s v="No"/>
    <x v="1"/>
    <s v="Artificial Intelligence"/>
    <n v="1"/>
    <x v="0"/>
    <s v="Married"/>
    <x v="0"/>
    <s v="Family"/>
    <x v="0"/>
    <n v="1.87"/>
    <s v="No"/>
    <n v="2.95"/>
    <n v="100"/>
    <n v="68000"/>
    <x v="0"/>
    <x v="0"/>
    <n v="26"/>
  </r>
  <r>
    <x v="3"/>
    <x v="1"/>
    <n v="21"/>
    <n v="2021"/>
    <x v="0"/>
    <n v="8"/>
    <x v="0"/>
    <s v="No"/>
    <x v="3"/>
    <n v="2"/>
    <x v="1"/>
    <x v="0"/>
    <s v="Yes"/>
    <x v="1"/>
    <x v="1"/>
    <x v="17"/>
    <s v="No"/>
    <s v="No"/>
    <x v="0"/>
    <s v="Cyber security"/>
    <n v="2"/>
    <x v="0"/>
    <s v="Single"/>
    <x v="1"/>
    <s v="Bachelor"/>
    <x v="0"/>
    <n v="2.88"/>
    <s v="No"/>
    <n v="3.91"/>
    <n v="88"/>
    <n v="68000"/>
    <x v="1"/>
    <x v="0"/>
    <n v="55.800000000000004"/>
  </r>
  <r>
    <x v="2"/>
    <x v="1"/>
    <n v="23"/>
    <n v="2018"/>
    <x v="0"/>
    <n v="10"/>
    <x v="1"/>
    <s v="No"/>
    <x v="0"/>
    <n v="3"/>
    <x v="1"/>
    <x v="0"/>
    <s v="Yes"/>
    <x v="5"/>
    <x v="0"/>
    <x v="10"/>
    <s v="Yes"/>
    <s v="Yes"/>
    <x v="1"/>
    <s v="Software Development"/>
    <n v="1"/>
    <x v="0"/>
    <s v="Single"/>
    <x v="1"/>
    <s v="Family"/>
    <x v="0"/>
    <n v="1.91"/>
    <s v="No"/>
    <n v="3.1"/>
    <n v="123"/>
    <n v="70000"/>
    <x v="0"/>
    <x v="0"/>
    <n v="51.6"/>
  </r>
  <r>
    <x v="1"/>
    <x v="1"/>
    <n v="20"/>
    <n v="2020"/>
    <x v="0"/>
    <n v="8"/>
    <x v="1"/>
    <s v="No"/>
    <x v="0"/>
    <n v="3"/>
    <x v="1"/>
    <x v="0"/>
    <s v="Yes"/>
    <x v="2"/>
    <x v="0"/>
    <x v="5"/>
    <s v="No"/>
    <s v="No"/>
    <x v="1"/>
    <s v="Software Development"/>
    <n v="2"/>
    <x v="7"/>
    <s v="Relationship"/>
    <x v="1"/>
    <s v="Family"/>
    <x v="0"/>
    <n v="1.81"/>
    <s v="No"/>
    <n v="2.9"/>
    <n v="101"/>
    <n v="70000"/>
    <x v="0"/>
    <x v="0"/>
    <n v="55"/>
  </r>
  <r>
    <x v="3"/>
    <x v="0"/>
    <n v="20"/>
    <n v="2020"/>
    <x v="0"/>
    <n v="6"/>
    <x v="1"/>
    <s v="No"/>
    <x v="2"/>
    <n v="2"/>
    <x v="0"/>
    <x v="0"/>
    <s v="Yes"/>
    <x v="2"/>
    <x v="0"/>
    <x v="41"/>
    <s v="Yes"/>
    <s v="No"/>
    <x v="0"/>
    <s v="Software Development"/>
    <n v="2"/>
    <x v="7"/>
    <s v="Single"/>
    <x v="1"/>
    <s v="Family"/>
    <x v="1"/>
    <n v="1.72"/>
    <s v="No"/>
    <n v="2.8"/>
    <n v="80"/>
    <n v="70000"/>
    <x v="0"/>
    <x v="0"/>
    <n v="34.400000000000006"/>
  </r>
  <r>
    <x v="1"/>
    <x v="1"/>
    <n v="20"/>
    <n v="2020"/>
    <x v="0"/>
    <n v="9"/>
    <x v="1"/>
    <s v="No"/>
    <x v="1"/>
    <n v="1"/>
    <x v="0"/>
    <x v="0"/>
    <s v="Yes"/>
    <x v="1"/>
    <x v="0"/>
    <x v="42"/>
    <s v="No"/>
    <s v="No"/>
    <x v="0"/>
    <s v="Software Development"/>
    <n v="2"/>
    <x v="2"/>
    <s v="Relationship"/>
    <x v="1"/>
    <s v="Bachelor"/>
    <x v="0"/>
    <n v="1.56"/>
    <s v="No"/>
    <n v="2.63"/>
    <n v="70"/>
    <n v="70000"/>
    <x v="0"/>
    <x v="0"/>
    <n v="39.400000000000006"/>
  </r>
  <r>
    <x v="1"/>
    <x v="1"/>
    <n v="24"/>
    <n v="2021"/>
    <x v="0"/>
    <n v="6"/>
    <x v="1"/>
    <s v="No"/>
    <x v="1"/>
    <n v="1"/>
    <x v="0"/>
    <x v="0"/>
    <s v="Yes"/>
    <x v="4"/>
    <x v="1"/>
    <x v="5"/>
    <s v="No"/>
    <s v="No"/>
    <x v="1"/>
    <s v="Software Development"/>
    <n v="2"/>
    <x v="2"/>
    <s v="Single"/>
    <x v="0"/>
    <s v="Family"/>
    <x v="1"/>
    <n v="2.23"/>
    <s v="No"/>
    <n v="3.39"/>
    <n v="98"/>
    <n v="70000"/>
    <x v="0"/>
    <x v="0"/>
    <n v="49"/>
  </r>
  <r>
    <x v="3"/>
    <x v="1"/>
    <n v="21"/>
    <n v="2021"/>
    <x v="0"/>
    <n v="6"/>
    <x v="1"/>
    <s v="No"/>
    <x v="2"/>
    <n v="1"/>
    <x v="0"/>
    <x v="0"/>
    <s v="Yes"/>
    <x v="1"/>
    <x v="0"/>
    <x v="5"/>
    <s v="Yes"/>
    <s v="No"/>
    <x v="0"/>
    <s v="Networking"/>
    <n v="2"/>
    <x v="6"/>
    <s v="Relationship"/>
    <x v="1"/>
    <s v="Bachelor"/>
    <x v="0"/>
    <n v="2.67"/>
    <s v="No"/>
    <n v="3.74"/>
    <n v="70"/>
    <n v="70000"/>
    <x v="1"/>
    <x v="0"/>
    <n v="52"/>
  </r>
  <r>
    <x v="3"/>
    <x v="1"/>
    <n v="19"/>
    <n v="2022"/>
    <x v="0"/>
    <n v="3"/>
    <x v="1"/>
    <s v="No"/>
    <x v="5"/>
    <n v="3"/>
    <x v="1"/>
    <x v="0"/>
    <s v="Yes"/>
    <x v="4"/>
    <x v="0"/>
    <x v="43"/>
    <s v="No"/>
    <s v="No"/>
    <x v="1"/>
    <s v="Software Development"/>
    <n v="2"/>
    <x v="2"/>
    <s v="Relationship"/>
    <x v="1"/>
    <s v="Bachelor"/>
    <x v="1"/>
    <n v="1.65"/>
    <s v="No"/>
    <n v="2.87"/>
    <n v="35"/>
    <n v="70000"/>
    <x v="0"/>
    <x v="0"/>
    <n v="43.2"/>
  </r>
  <r>
    <x v="1"/>
    <x v="1"/>
    <n v="20"/>
    <n v="2020"/>
    <x v="0"/>
    <n v="9"/>
    <x v="1"/>
    <s v="No"/>
    <x v="2"/>
    <n v="1"/>
    <x v="1"/>
    <x v="0"/>
    <s v="Yes"/>
    <x v="5"/>
    <x v="2"/>
    <x v="0"/>
    <s v="No"/>
    <s v="No"/>
    <x v="0"/>
    <s v="Machine Learning"/>
    <n v="2"/>
    <x v="2"/>
    <s v="Relationship"/>
    <x v="1"/>
    <s v="Family"/>
    <x v="0"/>
    <n v="2.44"/>
    <s v="No"/>
    <n v="3.88"/>
    <n v="23"/>
    <n v="71000"/>
    <x v="1"/>
    <x v="0"/>
    <n v="48"/>
  </r>
  <r>
    <x v="3"/>
    <x v="0"/>
    <n v="20"/>
    <n v="2021"/>
    <x v="0"/>
    <n v="6"/>
    <x v="1"/>
    <s v="No"/>
    <x v="5"/>
    <n v="2"/>
    <x v="0"/>
    <x v="0"/>
    <s v="Yes"/>
    <x v="1"/>
    <x v="0"/>
    <x v="36"/>
    <s v="Yes"/>
    <s v="No"/>
    <x v="1"/>
    <s v="Networking"/>
    <n v="4"/>
    <x v="6"/>
    <s v="Married"/>
    <x v="0"/>
    <s v="Family"/>
    <x v="0"/>
    <n v="1.56"/>
    <s v="No"/>
    <n v="2.63"/>
    <n v="70"/>
    <n v="74000"/>
    <x v="0"/>
    <x v="0"/>
    <n v="51.2"/>
  </r>
  <r>
    <x v="2"/>
    <x v="1"/>
    <n v="21"/>
    <n v="2019"/>
    <x v="0"/>
    <n v="10"/>
    <x v="1"/>
    <s v="No"/>
    <x v="4"/>
    <n v="2"/>
    <x v="0"/>
    <x v="0"/>
    <s v="Yes"/>
    <x v="4"/>
    <x v="0"/>
    <x v="2"/>
    <s v="No"/>
    <s v="No"/>
    <x v="1"/>
    <s v="Networking"/>
    <n v="4"/>
    <x v="6"/>
    <s v="Relationship"/>
    <x v="1"/>
    <s v="Bachelor"/>
    <x v="1"/>
    <n v="2.21"/>
    <s v="No"/>
    <n v="3.21"/>
    <n v="116"/>
    <n v="75000"/>
    <x v="0"/>
    <x v="0"/>
    <n v="62"/>
  </r>
  <r>
    <x v="2"/>
    <x v="0"/>
    <n v="20"/>
    <n v="2020"/>
    <x v="0"/>
    <n v="11"/>
    <x v="1"/>
    <s v="No"/>
    <x v="1"/>
    <n v="3"/>
    <x v="0"/>
    <x v="0"/>
    <s v="Yes"/>
    <x v="1"/>
    <x v="0"/>
    <x v="5"/>
    <s v="No"/>
    <s v="No"/>
    <x v="1"/>
    <s v="Networking"/>
    <n v="1"/>
    <x v="6"/>
    <s v="Relationship"/>
    <x v="1"/>
    <s v="Bachelor"/>
    <x v="0"/>
    <n v="2.61"/>
    <s v="No"/>
    <n v="3.68"/>
    <n v="136"/>
    <n v="75000"/>
    <x v="1"/>
    <x v="0"/>
    <n v="46"/>
  </r>
  <r>
    <x v="1"/>
    <x v="1"/>
    <n v="24"/>
    <n v="2019"/>
    <x v="0"/>
    <n v="10"/>
    <x v="1"/>
    <s v="No"/>
    <x v="0"/>
    <n v="3"/>
    <x v="0"/>
    <x v="0"/>
    <s v="Yes"/>
    <x v="2"/>
    <x v="1"/>
    <x v="5"/>
    <s v="No"/>
    <s v="No"/>
    <x v="0"/>
    <s v="Artificial Intelligence"/>
    <n v="2"/>
    <x v="0"/>
    <s v="Relationship"/>
    <x v="1"/>
    <s v="Bachelor"/>
    <x v="0"/>
    <n v="2.41"/>
    <s v="No"/>
    <n v="3.5"/>
    <n v="116"/>
    <n v="76000"/>
    <x v="1"/>
    <x v="0"/>
    <n v="55"/>
  </r>
  <r>
    <x v="1"/>
    <x v="1"/>
    <n v="20"/>
    <n v="2020"/>
    <x v="0"/>
    <n v="9"/>
    <x v="1"/>
    <s v="No"/>
    <x v="2"/>
    <n v="3"/>
    <x v="1"/>
    <x v="0"/>
    <s v="Yes"/>
    <x v="1"/>
    <x v="2"/>
    <x v="5"/>
    <s v="Yes"/>
    <s v="No"/>
    <x v="1"/>
    <s v="Cyber security"/>
    <n v="2"/>
    <x v="0"/>
    <s v="Single"/>
    <x v="0"/>
    <s v="Family"/>
    <x v="0"/>
    <n v="1.57"/>
    <s v="No"/>
    <n v="2.66"/>
    <n v="100"/>
    <n v="76000"/>
    <x v="0"/>
    <x v="0"/>
    <n v="52"/>
  </r>
  <r>
    <x v="1"/>
    <x v="0"/>
    <n v="20"/>
    <n v="2020"/>
    <x v="0"/>
    <n v="9"/>
    <x v="0"/>
    <s v="No"/>
    <x v="5"/>
    <n v="1"/>
    <x v="0"/>
    <x v="0"/>
    <s v="Yes"/>
    <x v="2"/>
    <x v="2"/>
    <x v="5"/>
    <s v="Yes"/>
    <s v="No"/>
    <x v="0"/>
    <s v="Machine Learning"/>
    <n v="2"/>
    <x v="0"/>
    <s v="Relationship"/>
    <x v="0"/>
    <s v="Bachelor"/>
    <x v="0"/>
    <n v="2.73"/>
    <s v="No"/>
    <n v="3.8"/>
    <n v="100"/>
    <n v="76000"/>
    <x v="1"/>
    <x v="0"/>
    <n v="58"/>
  </r>
  <r>
    <x v="2"/>
    <x v="0"/>
    <n v="22"/>
    <n v="2020"/>
    <x v="0"/>
    <n v="9"/>
    <x v="1"/>
    <s v="No"/>
    <x v="2"/>
    <n v="1"/>
    <x v="0"/>
    <x v="0"/>
    <s v="Yes"/>
    <x v="2"/>
    <x v="2"/>
    <x v="5"/>
    <s v="Yes"/>
    <s v="No"/>
    <x v="0"/>
    <s v="Networking"/>
    <n v="4"/>
    <x v="6"/>
    <s v="Married"/>
    <x v="1"/>
    <s v="Family"/>
    <x v="1"/>
    <n v="2.87"/>
    <s v="No"/>
    <n v="3.93"/>
    <n v="100"/>
    <n v="76000"/>
    <x v="1"/>
    <x v="0"/>
    <n v="58"/>
  </r>
  <r>
    <x v="3"/>
    <x v="0"/>
    <n v="20"/>
    <n v="2021"/>
    <x v="0"/>
    <n v="5"/>
    <x v="1"/>
    <s v="No"/>
    <x v="0"/>
    <n v="2"/>
    <x v="1"/>
    <x v="0"/>
    <s v="Yes"/>
    <x v="1"/>
    <x v="0"/>
    <x v="5"/>
    <s v="No"/>
    <s v="No"/>
    <x v="1"/>
    <s v="Networking"/>
    <n v="3"/>
    <x v="6"/>
    <s v="Single"/>
    <x v="1"/>
    <s v="Bachelor"/>
    <x v="0"/>
    <n v="1.56"/>
    <s v="No"/>
    <n v="2.66"/>
    <n v="71"/>
    <n v="76000"/>
    <x v="0"/>
    <x v="0"/>
    <n v="58"/>
  </r>
  <r>
    <x v="3"/>
    <x v="0"/>
    <n v="25"/>
    <n v="2018"/>
    <x v="0"/>
    <n v="6"/>
    <x v="1"/>
    <s v="No"/>
    <x v="0"/>
    <n v="2"/>
    <x v="1"/>
    <x v="0"/>
    <s v="Yes"/>
    <x v="7"/>
    <x v="2"/>
    <x v="5"/>
    <s v="No"/>
    <s v="No"/>
    <x v="1"/>
    <s v="Software Development"/>
    <n v="3"/>
    <x v="7"/>
    <s v="Single"/>
    <x v="1"/>
    <s v="Bachelor"/>
    <x v="1"/>
    <n v="2.87"/>
    <s v="No"/>
    <n v="3.98"/>
    <n v="143"/>
    <n v="77000"/>
    <x v="1"/>
    <x v="0"/>
    <n v="58"/>
  </r>
  <r>
    <x v="1"/>
    <x v="0"/>
    <n v="23"/>
    <n v="2019"/>
    <x v="0"/>
    <n v="8"/>
    <x v="1"/>
    <s v="No"/>
    <x v="0"/>
    <n v="1"/>
    <x v="1"/>
    <x v="0"/>
    <s v="Yes"/>
    <x v="6"/>
    <x v="2"/>
    <x v="44"/>
    <s v="No"/>
    <s v="No"/>
    <x v="1"/>
    <s v="Machine Learning"/>
    <n v="1"/>
    <x v="0"/>
    <s v="Single"/>
    <x v="1"/>
    <s v="Bachelor"/>
    <x v="0"/>
    <n v="1.79"/>
    <s v="No"/>
    <n v="2.85"/>
    <n v="104"/>
    <n v="77000"/>
    <x v="0"/>
    <x v="0"/>
    <n v="47.6"/>
  </r>
  <r>
    <x v="4"/>
    <x v="0"/>
    <n v="21"/>
    <n v="2019"/>
    <x v="0"/>
    <n v="10"/>
    <x v="0"/>
    <s v="No"/>
    <x v="7"/>
    <n v="3"/>
    <x v="1"/>
    <x v="0"/>
    <s v="Yes"/>
    <x v="1"/>
    <x v="2"/>
    <x v="5"/>
    <s v="No"/>
    <s v="No"/>
    <x v="1"/>
    <s v="Software Development"/>
    <n v="2"/>
    <x v="7"/>
    <s v="Single"/>
    <x v="1"/>
    <s v="Family"/>
    <x v="0"/>
    <n v="2.88"/>
    <s v="No"/>
    <n v="3.93"/>
    <n v="139"/>
    <n v="77000"/>
    <x v="1"/>
    <x v="0"/>
    <n v="67"/>
  </r>
  <r>
    <x v="2"/>
    <x v="1"/>
    <n v="22"/>
    <n v="2019"/>
    <x v="0"/>
    <n v="9"/>
    <x v="1"/>
    <s v="No"/>
    <x v="5"/>
    <n v="2"/>
    <x v="0"/>
    <x v="0"/>
    <s v="Yes"/>
    <x v="2"/>
    <x v="0"/>
    <x v="5"/>
    <s v="Yes"/>
    <s v="No"/>
    <x v="1"/>
    <s v="Artificial Intelligence"/>
    <n v="1"/>
    <x v="0"/>
    <s v="Relationship"/>
    <x v="1"/>
    <s v="Bachelor"/>
    <x v="1"/>
    <n v="2.78"/>
    <s v="No"/>
    <n v="3.84"/>
    <n v="120"/>
    <n v="77000"/>
    <x v="1"/>
    <x v="0"/>
    <n v="55"/>
  </r>
  <r>
    <x v="1"/>
    <x v="1"/>
    <n v="22"/>
    <n v="2020"/>
    <x v="0"/>
    <n v="6"/>
    <x v="0"/>
    <s v="No"/>
    <x v="1"/>
    <n v="1"/>
    <x v="1"/>
    <x v="0"/>
    <s v="Yes"/>
    <x v="4"/>
    <x v="1"/>
    <x v="8"/>
    <s v="No"/>
    <s v="No"/>
    <x v="1"/>
    <s v="Cyber security"/>
    <n v="3"/>
    <x v="6"/>
    <s v="Relationship"/>
    <x v="0"/>
    <s v="Family"/>
    <x v="1"/>
    <n v="2.36"/>
    <s v="Yes"/>
    <n v="3.19"/>
    <n v="70"/>
    <n v="77000"/>
    <x v="0"/>
    <x v="0"/>
    <n v="51.2"/>
  </r>
  <r>
    <x v="2"/>
    <x v="1"/>
    <n v="21"/>
    <n v="2020"/>
    <x v="0"/>
    <n v="7"/>
    <x v="1"/>
    <s v="No"/>
    <x v="0"/>
    <n v="2"/>
    <x v="0"/>
    <x v="0"/>
    <s v="Yes"/>
    <x v="4"/>
    <x v="0"/>
    <x v="5"/>
    <s v="No"/>
    <s v="No"/>
    <x v="0"/>
    <s v="Machine Learning"/>
    <n v="3"/>
    <x v="2"/>
    <s v="Single"/>
    <x v="1"/>
    <s v="Family"/>
    <x v="0"/>
    <n v="2.0299999999999998"/>
    <s v="No"/>
    <n v="3.15"/>
    <n v="65"/>
    <n v="78000"/>
    <x v="0"/>
    <x v="0"/>
    <n v="58"/>
  </r>
  <r>
    <x v="0"/>
    <x v="1"/>
    <n v="25"/>
    <n v="2018"/>
    <x v="0"/>
    <n v="11"/>
    <x v="0"/>
    <s v="No"/>
    <x v="3"/>
    <n v="3"/>
    <x v="0"/>
    <x v="0"/>
    <s v="Yes"/>
    <x v="3"/>
    <x v="1"/>
    <x v="28"/>
    <s v="Yes"/>
    <s v="No"/>
    <x v="0"/>
    <s v="Artificial Intelligence"/>
    <n v="4"/>
    <x v="2"/>
    <s v="Single"/>
    <x v="0"/>
    <s v="Bachelor"/>
    <x v="0"/>
    <n v="2.83"/>
    <s v="No"/>
    <n v="3.9"/>
    <n v="143"/>
    <n v="79000"/>
    <x v="1"/>
    <x v="0"/>
    <n v="58.2"/>
  </r>
  <r>
    <x v="2"/>
    <x v="1"/>
    <n v="20"/>
    <n v="2019"/>
    <x v="0"/>
    <n v="7"/>
    <x v="0"/>
    <s v="No"/>
    <x v="3"/>
    <n v="3"/>
    <x v="0"/>
    <x v="0"/>
    <s v="Yes"/>
    <x v="4"/>
    <x v="2"/>
    <x v="5"/>
    <s v="No"/>
    <s v="No"/>
    <x v="1"/>
    <s v="Networking"/>
    <n v="1"/>
    <x v="7"/>
    <s v="Single"/>
    <x v="0"/>
    <s v="Family"/>
    <x v="0"/>
    <n v="2.44"/>
    <s v="No"/>
    <n v="3.78"/>
    <n v="88"/>
    <n v="79000"/>
    <x v="1"/>
    <x v="0"/>
    <n v="58"/>
  </r>
  <r>
    <x v="1"/>
    <x v="0"/>
    <n v="20"/>
    <n v="2020"/>
    <x v="0"/>
    <n v="7"/>
    <x v="1"/>
    <s v="No"/>
    <x v="3"/>
    <n v="3"/>
    <x v="0"/>
    <x v="0"/>
    <s v="Yes"/>
    <x v="0"/>
    <x v="0"/>
    <x v="14"/>
    <s v="No"/>
    <s v="No"/>
    <x v="0"/>
    <s v="Software Development"/>
    <n v="3"/>
    <x v="7"/>
    <s v="Single"/>
    <x v="1"/>
    <s v="Family"/>
    <x v="0"/>
    <n v="1.66"/>
    <s v="No"/>
    <n v="2.99"/>
    <n v="97"/>
    <n v="79000"/>
    <x v="0"/>
    <x v="0"/>
    <n v="44"/>
  </r>
  <r>
    <x v="4"/>
    <x v="0"/>
    <n v="21"/>
    <n v="2018"/>
    <x v="0"/>
    <n v="10"/>
    <x v="1"/>
    <s v="Yes"/>
    <x v="4"/>
    <n v="4"/>
    <x v="0"/>
    <x v="0"/>
    <s v="Yes"/>
    <x v="1"/>
    <x v="2"/>
    <x v="2"/>
    <s v="No"/>
    <s v="No"/>
    <x v="1"/>
    <s v="Cyber security"/>
    <n v="2"/>
    <x v="7"/>
    <s v="Single"/>
    <x v="0"/>
    <s v="Family"/>
    <x v="0"/>
    <n v="2.54"/>
    <s v="No"/>
    <n v="3.76"/>
    <n v="126"/>
    <n v="80000"/>
    <x v="1"/>
    <x v="0"/>
    <n v="56"/>
  </r>
  <r>
    <x v="2"/>
    <x v="1"/>
    <n v="22"/>
    <n v="2019"/>
    <x v="0"/>
    <n v="11"/>
    <x v="0"/>
    <s v="No"/>
    <x v="2"/>
    <n v="1"/>
    <x v="1"/>
    <x v="0"/>
    <s v="Yes"/>
    <x v="4"/>
    <x v="0"/>
    <x v="10"/>
    <s v="No"/>
    <s v="No"/>
    <x v="1"/>
    <s v="Software Development"/>
    <n v="1"/>
    <x v="6"/>
    <s v="Single"/>
    <x v="1"/>
    <s v="Family"/>
    <x v="0"/>
    <n v="2.79"/>
    <s v="No"/>
    <n v="3.59"/>
    <n v="125"/>
    <n v="80000"/>
    <x v="1"/>
    <x v="0"/>
    <n v="48.6"/>
  </r>
  <r>
    <x v="4"/>
    <x v="0"/>
    <n v="20"/>
    <n v="2019"/>
    <x v="0"/>
    <n v="11"/>
    <x v="1"/>
    <s v="No"/>
    <x v="2"/>
    <n v="1"/>
    <x v="0"/>
    <x v="0"/>
    <s v="Yes"/>
    <x v="5"/>
    <x v="1"/>
    <x v="22"/>
    <s v="Yes"/>
    <s v="Yes"/>
    <x v="0"/>
    <s v="Cyber security"/>
    <n v="2"/>
    <x v="6"/>
    <s v="Relationship"/>
    <x v="1"/>
    <s v="Bachelor"/>
    <x v="0"/>
    <n v="1.55"/>
    <s v="No"/>
    <n v="2.67"/>
    <n v="144"/>
    <n v="80000"/>
    <x v="0"/>
    <x v="0"/>
    <n v="42.8"/>
  </r>
  <r>
    <x v="1"/>
    <x v="0"/>
    <n v="21"/>
    <n v="2020"/>
    <x v="0"/>
    <n v="8"/>
    <x v="1"/>
    <s v="No"/>
    <x v="5"/>
    <n v="2"/>
    <x v="0"/>
    <x v="0"/>
    <s v="Yes"/>
    <x v="2"/>
    <x v="2"/>
    <x v="5"/>
    <s v="Yes"/>
    <s v="No"/>
    <x v="1"/>
    <s v="Networking"/>
    <n v="2"/>
    <x v="0"/>
    <s v="Single"/>
    <x v="1"/>
    <s v="Family"/>
    <x v="1"/>
    <n v="1.25"/>
    <s v="No"/>
    <n v="2.57"/>
    <n v="101"/>
    <n v="80000"/>
    <x v="0"/>
    <x v="0"/>
    <n v="58"/>
  </r>
  <r>
    <x v="2"/>
    <x v="1"/>
    <n v="20"/>
    <n v="2020"/>
    <x v="0"/>
    <n v="10"/>
    <x v="1"/>
    <s v="No"/>
    <x v="5"/>
    <n v="2"/>
    <x v="0"/>
    <x v="0"/>
    <s v="Yes"/>
    <x v="2"/>
    <x v="2"/>
    <x v="5"/>
    <s v="No"/>
    <s v="No"/>
    <x v="1"/>
    <s v="Networking"/>
    <n v="2"/>
    <x v="6"/>
    <s v="Single"/>
    <x v="1"/>
    <s v="Bachelor"/>
    <x v="0"/>
    <n v="2.56"/>
    <s v="No"/>
    <n v="3.61"/>
    <n v="131"/>
    <n v="80000"/>
    <x v="1"/>
    <x v="0"/>
    <n v="58"/>
  </r>
  <r>
    <x v="3"/>
    <x v="0"/>
    <n v="20"/>
    <n v="2021"/>
    <x v="0"/>
    <n v="8"/>
    <x v="1"/>
    <s v="No"/>
    <x v="5"/>
    <n v="1"/>
    <x v="0"/>
    <x v="0"/>
    <s v="Yes"/>
    <x v="1"/>
    <x v="0"/>
    <x v="5"/>
    <s v="Yes"/>
    <s v="No"/>
    <x v="1"/>
    <s v="Networking"/>
    <n v="1"/>
    <x v="6"/>
    <s v="Single"/>
    <x v="0"/>
    <s v="Family"/>
    <x v="0"/>
    <n v="2.64"/>
    <s v="No"/>
    <n v="3.7"/>
    <n v="99"/>
    <n v="81000"/>
    <x v="1"/>
    <x v="0"/>
    <n v="55"/>
  </r>
  <r>
    <x v="2"/>
    <x v="0"/>
    <n v="20"/>
    <n v="2020"/>
    <x v="0"/>
    <n v="10"/>
    <x v="0"/>
    <s v="No"/>
    <x v="0"/>
    <n v="2"/>
    <x v="0"/>
    <x v="0"/>
    <s v="Yes"/>
    <x v="6"/>
    <x v="2"/>
    <x v="28"/>
    <s v="No"/>
    <s v="No"/>
    <x v="1"/>
    <s v="Cyber security"/>
    <n v="2"/>
    <x v="0"/>
    <s v="Married"/>
    <x v="0"/>
    <s v="Family"/>
    <x v="1"/>
    <n v="1.45"/>
    <s v="No"/>
    <n v="2.67"/>
    <n v="142"/>
    <n v="82000"/>
    <x v="0"/>
    <x v="0"/>
    <n v="46.2"/>
  </r>
  <r>
    <x v="2"/>
    <x v="0"/>
    <n v="21"/>
    <n v="2018"/>
    <x v="0"/>
    <n v="10"/>
    <x v="1"/>
    <s v="No"/>
    <x v="0"/>
    <n v="2"/>
    <x v="0"/>
    <x v="0"/>
    <s v="Yes"/>
    <x v="1"/>
    <x v="1"/>
    <x v="7"/>
    <s v="No"/>
    <s v="No"/>
    <x v="1"/>
    <s v="Software Development"/>
    <n v="3"/>
    <x v="7"/>
    <s v="Relationship"/>
    <x v="1"/>
    <s v="Bachelor"/>
    <x v="1"/>
    <n v="1.56"/>
    <s v="No"/>
    <n v="2.87"/>
    <n v="133"/>
    <n v="85000"/>
    <x v="0"/>
    <x v="0"/>
    <n v="46"/>
  </r>
  <r>
    <x v="3"/>
    <x v="1"/>
    <n v="21"/>
    <n v="2021"/>
    <x v="0"/>
    <n v="6"/>
    <x v="0"/>
    <s v="No"/>
    <x v="4"/>
    <n v="2"/>
    <x v="0"/>
    <x v="0"/>
    <s v="Yes"/>
    <x v="0"/>
    <x v="0"/>
    <x v="7"/>
    <s v="No"/>
    <s v="No"/>
    <x v="0"/>
    <s v="Software Development"/>
    <n v="5"/>
    <x v="7"/>
    <s v="Relationship"/>
    <x v="1"/>
    <s v="Family"/>
    <x v="0"/>
    <n v="2.1"/>
    <s v="No"/>
    <n v="3.37"/>
    <n v="86"/>
    <n v="85000"/>
    <x v="0"/>
    <x v="0"/>
    <n v="61"/>
  </r>
  <r>
    <x v="3"/>
    <x v="1"/>
    <n v="20"/>
    <n v="2022"/>
    <x v="0"/>
    <n v="3"/>
    <x v="1"/>
    <s v="No"/>
    <x v="2"/>
    <n v="1"/>
    <x v="1"/>
    <x v="0"/>
    <s v="No"/>
    <x v="1"/>
    <x v="0"/>
    <x v="23"/>
    <s v="No"/>
    <s v="No"/>
    <x v="1"/>
    <s v="Artificial Intelligence"/>
    <n v="1"/>
    <x v="6"/>
    <s v="Married"/>
    <x v="1"/>
    <s v="Family"/>
    <x v="0"/>
    <n v="2.1"/>
    <s v="No"/>
    <n v="3.28"/>
    <n v="77"/>
    <n v="85000"/>
    <x v="0"/>
    <x v="0"/>
    <n v="33"/>
  </r>
  <r>
    <x v="1"/>
    <x v="1"/>
    <n v="20"/>
    <n v="2020"/>
    <x v="0"/>
    <n v="10"/>
    <x v="1"/>
    <s v="No"/>
    <x v="2"/>
    <n v="2"/>
    <x v="1"/>
    <x v="0"/>
    <s v="Yes"/>
    <x v="2"/>
    <x v="0"/>
    <x v="5"/>
    <s v="Yes"/>
    <s v="No"/>
    <x v="0"/>
    <s v="Artificial Intelligence"/>
    <n v="4"/>
    <x v="0"/>
    <s v="Married"/>
    <x v="1"/>
    <s v="Family"/>
    <x v="0"/>
    <n v="1.54"/>
    <s v="No"/>
    <n v="2.64"/>
    <n v="137"/>
    <n v="86000"/>
    <x v="0"/>
    <x v="0"/>
    <n v="58"/>
  </r>
  <r>
    <x v="4"/>
    <x v="0"/>
    <n v="24"/>
    <n v="2019"/>
    <x v="0"/>
    <n v="10"/>
    <x v="1"/>
    <s v="No"/>
    <x v="1"/>
    <n v="3"/>
    <x v="0"/>
    <x v="0"/>
    <s v="Yes"/>
    <x v="2"/>
    <x v="1"/>
    <x v="2"/>
    <s v="Yes"/>
    <s v="Yes"/>
    <x v="0"/>
    <s v="Software Development"/>
    <n v="1"/>
    <x v="2"/>
    <s v="Relationship"/>
    <x v="0"/>
    <s v="Family"/>
    <x v="1"/>
    <n v="2.39"/>
    <s v="No"/>
    <n v="3.43"/>
    <n v="45"/>
    <n v="87000"/>
    <x v="0"/>
    <x v="0"/>
    <n v="38"/>
  </r>
  <r>
    <x v="2"/>
    <x v="1"/>
    <n v="21"/>
    <n v="2020"/>
    <x v="0"/>
    <n v="8"/>
    <x v="1"/>
    <s v="No"/>
    <x v="5"/>
    <n v="3"/>
    <x v="1"/>
    <x v="0"/>
    <s v="Yes"/>
    <x v="2"/>
    <x v="2"/>
    <x v="2"/>
    <s v="No"/>
    <s v="No"/>
    <x v="1"/>
    <s v="Cyber security"/>
    <n v="3"/>
    <x v="7"/>
    <s v="Married"/>
    <x v="1"/>
    <s v="Family"/>
    <x v="0"/>
    <n v="2.5099999999999998"/>
    <s v="No"/>
    <n v="3.87"/>
    <n v="103"/>
    <n v="87000"/>
    <x v="1"/>
    <x v="0"/>
    <n v="53"/>
  </r>
  <r>
    <x v="2"/>
    <x v="0"/>
    <n v="21"/>
    <n v="2020"/>
    <x v="0"/>
    <n v="11"/>
    <x v="0"/>
    <s v="No"/>
    <x v="2"/>
    <n v="2"/>
    <x v="0"/>
    <x v="0"/>
    <s v="Yes"/>
    <x v="3"/>
    <x v="1"/>
    <x v="45"/>
    <s v="No"/>
    <s v="No"/>
    <x v="1"/>
    <s v="Machine Learning"/>
    <n v="2"/>
    <x v="0"/>
    <s v="Single"/>
    <x v="0"/>
    <s v="Bachelor"/>
    <x v="0"/>
    <n v="2.81"/>
    <s v="No"/>
    <n v="3.89"/>
    <n v="143"/>
    <n v="87000"/>
    <x v="1"/>
    <x v="0"/>
    <n v="43.6"/>
  </r>
  <r>
    <x v="1"/>
    <x v="1"/>
    <n v="20"/>
    <n v="2020"/>
    <x v="0"/>
    <n v="9"/>
    <x v="1"/>
    <s v="No"/>
    <x v="2"/>
    <n v="1"/>
    <x v="0"/>
    <x v="0"/>
    <s v="Yes"/>
    <x v="2"/>
    <x v="2"/>
    <x v="3"/>
    <s v="No"/>
    <s v="No"/>
    <x v="0"/>
    <s v="Software Development"/>
    <n v="1"/>
    <x v="7"/>
    <s v="Single"/>
    <x v="1"/>
    <s v="Bachelor"/>
    <x v="0"/>
    <n v="2.4500000000000002"/>
    <s v="No"/>
    <n v="3.54"/>
    <n v="117"/>
    <n v="88000"/>
    <x v="1"/>
    <x v="0"/>
    <n v="44.2"/>
  </r>
  <r>
    <x v="1"/>
    <x v="0"/>
    <n v="20"/>
    <n v="2021"/>
    <x v="0"/>
    <n v="8"/>
    <x v="1"/>
    <s v="No"/>
    <x v="0"/>
    <n v="1"/>
    <x v="0"/>
    <x v="0"/>
    <s v="Yes"/>
    <x v="1"/>
    <x v="0"/>
    <x v="5"/>
    <s v="Yes"/>
    <s v="No"/>
    <x v="1"/>
    <s v="Artificial Intelligence"/>
    <n v="2"/>
    <x v="0"/>
    <s v="Single"/>
    <x v="0"/>
    <s v="Family"/>
    <x v="1"/>
    <n v="2.66"/>
    <s v="No"/>
    <n v="3.72"/>
    <n v="98"/>
    <n v="88000"/>
    <x v="1"/>
    <x v="0"/>
    <n v="55"/>
  </r>
  <r>
    <x v="2"/>
    <x v="1"/>
    <n v="21"/>
    <n v="2019"/>
    <x v="0"/>
    <n v="9"/>
    <x v="0"/>
    <s v="No"/>
    <x v="4"/>
    <n v="1"/>
    <x v="0"/>
    <x v="1"/>
    <s v="Yes"/>
    <x v="4"/>
    <x v="0"/>
    <x v="2"/>
    <s v="No"/>
    <s v="No"/>
    <x v="0"/>
    <s v="Software Development"/>
    <n v="1"/>
    <x v="7"/>
    <s v="Relationship"/>
    <x v="0"/>
    <s v="Family"/>
    <x v="1"/>
    <n v="2.04"/>
    <s v="No"/>
    <n v="3.23"/>
    <n v="100"/>
    <n v="89000"/>
    <x v="0"/>
    <x v="0"/>
    <n v="53"/>
  </r>
  <r>
    <x v="1"/>
    <x v="0"/>
    <n v="21"/>
    <n v="2020"/>
    <x v="0"/>
    <n v="8"/>
    <x v="1"/>
    <s v="No"/>
    <x v="5"/>
    <n v="2"/>
    <x v="1"/>
    <x v="0"/>
    <s v="Yes"/>
    <x v="5"/>
    <x v="2"/>
    <x v="5"/>
    <s v="No"/>
    <s v="Yes"/>
    <x v="1"/>
    <s v="Software Development"/>
    <n v="2"/>
    <x v="2"/>
    <s v="Single"/>
    <x v="0"/>
    <s v="Bachelor"/>
    <x v="0"/>
    <n v="2.29"/>
    <s v="No"/>
    <n v="3.56"/>
    <n v="100"/>
    <n v="89000"/>
    <x v="1"/>
    <x v="0"/>
    <n v="58"/>
  </r>
  <r>
    <x v="1"/>
    <x v="0"/>
    <n v="20"/>
    <n v="2020"/>
    <x v="0"/>
    <n v="8"/>
    <x v="1"/>
    <s v="No"/>
    <x v="5"/>
    <n v="2"/>
    <x v="0"/>
    <x v="0"/>
    <s v="Yes"/>
    <x v="6"/>
    <x v="2"/>
    <x v="3"/>
    <s v="No"/>
    <s v="No"/>
    <x v="0"/>
    <s v="Machine Learning"/>
    <n v="3"/>
    <x v="2"/>
    <s v="Single"/>
    <x v="1"/>
    <s v="Family"/>
    <x v="0"/>
    <n v="2.5499999999999998"/>
    <s v="No"/>
    <n v="3.77"/>
    <n v="137"/>
    <n v="89000"/>
    <x v="1"/>
    <x v="0"/>
    <n v="56.2"/>
  </r>
  <r>
    <x v="0"/>
    <x v="0"/>
    <n v="22"/>
    <n v="2017"/>
    <x v="0"/>
    <n v="11"/>
    <x v="0"/>
    <s v="No"/>
    <x v="5"/>
    <n v="2"/>
    <x v="0"/>
    <x v="0"/>
    <s v="Yes"/>
    <x v="2"/>
    <x v="2"/>
    <x v="5"/>
    <s v="No"/>
    <s v="No"/>
    <x v="0"/>
    <s v="Software Development"/>
    <n v="3"/>
    <x v="7"/>
    <s v="Single"/>
    <x v="0"/>
    <s v="Bachelor"/>
    <x v="1"/>
    <n v="2.9"/>
    <s v="No"/>
    <n v="3.89"/>
    <n v="135"/>
    <n v="90000"/>
    <x v="1"/>
    <x v="0"/>
    <n v="61"/>
  </r>
  <r>
    <x v="4"/>
    <x v="0"/>
    <n v="25"/>
    <n v="2018"/>
    <x v="0"/>
    <n v="11"/>
    <x v="1"/>
    <s v="No"/>
    <x v="0"/>
    <n v="2"/>
    <x v="0"/>
    <x v="0"/>
    <s v="Yes"/>
    <x v="1"/>
    <x v="0"/>
    <x v="5"/>
    <s v="No"/>
    <s v="No"/>
    <x v="1"/>
    <s v="Software Development"/>
    <n v="2"/>
    <x v="2"/>
    <s v="Relationship"/>
    <x v="0"/>
    <s v="Bachelor"/>
    <x v="0"/>
    <n v="2.34"/>
    <s v="No"/>
    <n v="3.42"/>
    <n v="143"/>
    <n v="90000"/>
    <x v="0"/>
    <x v="0"/>
    <n v="55"/>
  </r>
  <r>
    <x v="2"/>
    <x v="0"/>
    <n v="21"/>
    <n v="2019"/>
    <x v="0"/>
    <n v="10"/>
    <x v="1"/>
    <s v="No"/>
    <x v="0"/>
    <n v="2"/>
    <x v="1"/>
    <x v="0"/>
    <s v="Yes"/>
    <x v="4"/>
    <x v="2"/>
    <x v="5"/>
    <s v="No"/>
    <s v="No"/>
    <x v="0"/>
    <s v="Cyber security"/>
    <n v="2"/>
    <x v="0"/>
    <s v="Married"/>
    <x v="1"/>
    <s v="Family"/>
    <x v="0"/>
    <n v="2.08"/>
    <s v="No"/>
    <n v="3.11"/>
    <n v="138"/>
    <n v="90000"/>
    <x v="0"/>
    <x v="0"/>
    <n v="55"/>
  </r>
  <r>
    <x v="1"/>
    <x v="1"/>
    <n v="20"/>
    <n v="2020"/>
    <x v="0"/>
    <n v="9"/>
    <x v="1"/>
    <s v="No"/>
    <x v="0"/>
    <n v="1"/>
    <x v="1"/>
    <x v="0"/>
    <s v="Yes"/>
    <x v="9"/>
    <x v="2"/>
    <x v="5"/>
    <s v="No"/>
    <s v="No"/>
    <x v="0"/>
    <s v="Networking"/>
    <n v="3"/>
    <x v="6"/>
    <s v="Married"/>
    <x v="1"/>
    <s v="Family"/>
    <x v="0"/>
    <n v="2.5099999999999998"/>
    <s v="No"/>
    <n v="3.5"/>
    <n v="130"/>
    <n v="90000"/>
    <x v="1"/>
    <x v="0"/>
    <n v="58"/>
  </r>
  <r>
    <x v="3"/>
    <x v="1"/>
    <n v="21"/>
    <n v="2021"/>
    <x v="0"/>
    <n v="5"/>
    <x v="1"/>
    <s v="No"/>
    <x v="5"/>
    <n v="1"/>
    <x v="1"/>
    <x v="0"/>
    <s v="Yes"/>
    <x v="7"/>
    <x v="0"/>
    <x v="5"/>
    <s v="No"/>
    <s v="No"/>
    <x v="1"/>
    <s v="Machine Learning"/>
    <n v="3"/>
    <x v="2"/>
    <s v="Single"/>
    <x v="1"/>
    <s v="Family"/>
    <x v="0"/>
    <n v="2.13"/>
    <s v="No"/>
    <n v="3.33"/>
    <n v="107"/>
    <n v="90000"/>
    <x v="0"/>
    <x v="0"/>
    <n v="61"/>
  </r>
  <r>
    <x v="4"/>
    <x v="0"/>
    <n v="25"/>
    <n v="2018"/>
    <x v="0"/>
    <n v="11"/>
    <x v="1"/>
    <s v="No"/>
    <x v="2"/>
    <n v="1"/>
    <x v="0"/>
    <x v="0"/>
    <s v="Yes"/>
    <x v="2"/>
    <x v="0"/>
    <x v="46"/>
    <s v="No"/>
    <s v="Yes"/>
    <x v="1"/>
    <s v="Cyber security"/>
    <n v="1"/>
    <x v="0"/>
    <s v="Single"/>
    <x v="1"/>
    <s v="Bachelor"/>
    <x v="0"/>
    <n v="1.43"/>
    <s v="No"/>
    <n v="2.56"/>
    <n v="143"/>
    <n v="91000"/>
    <x v="0"/>
    <x v="0"/>
    <n v="23"/>
  </r>
  <r>
    <x v="3"/>
    <x v="1"/>
    <n v="20"/>
    <n v="2020"/>
    <x v="0"/>
    <n v="4"/>
    <x v="1"/>
    <s v="No"/>
    <x v="2"/>
    <n v="3"/>
    <x v="0"/>
    <x v="0"/>
    <s v="Yes"/>
    <x v="1"/>
    <x v="0"/>
    <x v="5"/>
    <s v="Yes"/>
    <s v="No"/>
    <x v="1"/>
    <s v="Software Development"/>
    <n v="1"/>
    <x v="7"/>
    <s v="Married"/>
    <x v="0"/>
    <s v="Family"/>
    <x v="0"/>
    <n v="1.26"/>
    <s v="No"/>
    <n v="2.33"/>
    <n v="59"/>
    <n v="93000"/>
    <x v="2"/>
    <x v="0"/>
    <n v="49"/>
  </r>
  <r>
    <x v="1"/>
    <x v="1"/>
    <n v="20"/>
    <n v="2020"/>
    <x v="0"/>
    <n v="9"/>
    <x v="1"/>
    <s v="No"/>
    <x v="2"/>
    <n v="3"/>
    <x v="0"/>
    <x v="0"/>
    <s v="Yes"/>
    <x v="1"/>
    <x v="2"/>
    <x v="41"/>
    <s v="Yes"/>
    <s v="No"/>
    <x v="0"/>
    <s v="Networking"/>
    <n v="4"/>
    <x v="6"/>
    <s v="Single"/>
    <x v="1"/>
    <s v="Bachelor"/>
    <x v="0"/>
    <n v="1.56"/>
    <s v="No"/>
    <n v="2.6"/>
    <n v="130"/>
    <n v="95000"/>
    <x v="0"/>
    <x v="0"/>
    <n v="40.400000000000006"/>
  </r>
  <r>
    <x v="2"/>
    <x v="0"/>
    <n v="23"/>
    <n v="2019"/>
    <x v="0"/>
    <n v="10"/>
    <x v="1"/>
    <s v="No"/>
    <x v="2"/>
    <n v="3"/>
    <x v="0"/>
    <x v="0"/>
    <s v="Yes"/>
    <x v="3"/>
    <x v="1"/>
    <x v="5"/>
    <s v="No"/>
    <s v="No"/>
    <x v="1"/>
    <s v="Software Development"/>
    <n v="4"/>
    <x v="7"/>
    <s v="Single"/>
    <x v="1"/>
    <s v="Bachelor"/>
    <x v="0"/>
    <n v="1.75"/>
    <s v="No"/>
    <n v="2.81"/>
    <n v="137"/>
    <n v="98000"/>
    <x v="0"/>
    <x v="0"/>
    <n v="58"/>
  </r>
  <r>
    <x v="4"/>
    <x v="0"/>
    <n v="25"/>
    <n v="2018"/>
    <x v="0"/>
    <n v="11"/>
    <x v="1"/>
    <s v="No"/>
    <x v="2"/>
    <n v="1"/>
    <x v="0"/>
    <x v="0"/>
    <s v="Yes"/>
    <x v="6"/>
    <x v="1"/>
    <x v="5"/>
    <s v="No"/>
    <s v="No"/>
    <x v="1"/>
    <s v="Software Development"/>
    <n v="3"/>
    <x v="2"/>
    <s v="Married"/>
    <x v="0"/>
    <s v="Family"/>
    <x v="0"/>
    <n v="1.76"/>
    <s v="No"/>
    <n v="2.87"/>
    <n v="144"/>
    <n v="100000"/>
    <x v="0"/>
    <x v="0"/>
    <n v="55"/>
  </r>
  <r>
    <x v="1"/>
    <x v="0"/>
    <n v="21"/>
    <n v="2019"/>
    <x v="0"/>
    <n v="5"/>
    <x v="1"/>
    <s v="No"/>
    <x v="4"/>
    <n v="2"/>
    <x v="1"/>
    <x v="0"/>
    <s v="Yes"/>
    <x v="4"/>
    <x v="0"/>
    <x v="5"/>
    <s v="Yes"/>
    <s v="No"/>
    <x v="0"/>
    <s v="Cyber security"/>
    <n v="2"/>
    <x v="0"/>
    <s v="Single"/>
    <x v="0"/>
    <s v="Bachelor"/>
    <x v="0"/>
    <n v="1.34"/>
    <s v="No"/>
    <n v="2.5299999999999998"/>
    <n v="96"/>
    <n v="100000"/>
    <x v="0"/>
    <x v="0"/>
    <n v="64"/>
  </r>
  <r>
    <x v="2"/>
    <x v="0"/>
    <n v="21"/>
    <n v="2019"/>
    <x v="0"/>
    <n v="8"/>
    <x v="1"/>
    <s v="No"/>
    <x v="3"/>
    <n v="3"/>
    <x v="0"/>
    <x v="0"/>
    <s v="Yes"/>
    <x v="4"/>
    <x v="2"/>
    <x v="5"/>
    <s v="No"/>
    <s v="No"/>
    <x v="0"/>
    <s v="Software Development"/>
    <n v="3"/>
    <x v="7"/>
    <s v="Single"/>
    <x v="1"/>
    <s v="Bachelor"/>
    <x v="0"/>
    <n v="2.91"/>
    <s v="No"/>
    <n v="3.95"/>
    <n v="119"/>
    <n v="100000"/>
    <x v="1"/>
    <x v="0"/>
    <n v="64"/>
  </r>
  <r>
    <x v="2"/>
    <x v="0"/>
    <n v="22"/>
    <n v="2019"/>
    <x v="0"/>
    <n v="10"/>
    <x v="1"/>
    <s v="No"/>
    <x v="2"/>
    <n v="3"/>
    <x v="1"/>
    <x v="0"/>
    <s v="Yes"/>
    <x v="2"/>
    <x v="0"/>
    <x v="37"/>
    <s v="Yes"/>
    <s v="No"/>
    <x v="1"/>
    <s v="Networking"/>
    <n v="4"/>
    <x v="6"/>
    <s v="Relationship"/>
    <x v="0"/>
    <s v="Family"/>
    <x v="1"/>
    <n v="2.46"/>
    <s v="No"/>
    <n v="3.52"/>
    <n v="140"/>
    <n v="100000"/>
    <x v="1"/>
    <x v="0"/>
    <n v="36"/>
  </r>
  <r>
    <x v="1"/>
    <x v="1"/>
    <n v="20"/>
    <n v="2020"/>
    <x v="0"/>
    <n v="5"/>
    <x v="1"/>
    <s v="No"/>
    <x v="0"/>
    <n v="1"/>
    <x v="0"/>
    <x v="0"/>
    <s v="Yes"/>
    <x v="6"/>
    <x v="0"/>
    <x v="7"/>
    <s v="No"/>
    <s v="No"/>
    <x v="1"/>
    <s v="Cyber security"/>
    <n v="3"/>
    <x v="2"/>
    <s v="Relationship"/>
    <x v="1"/>
    <s v="Bachelor"/>
    <x v="0"/>
    <n v="1.67"/>
    <s v="No"/>
    <n v="2.98"/>
    <n v="75"/>
    <n v="100000"/>
    <x v="0"/>
    <x v="0"/>
    <n v="46"/>
  </r>
  <r>
    <x v="10"/>
    <x v="1"/>
    <n v="20"/>
    <n v="2021"/>
    <x v="0"/>
    <n v="2"/>
    <x v="0"/>
    <s v="No"/>
    <x v="2"/>
    <n v="4"/>
    <x v="0"/>
    <x v="0"/>
    <s v="Yes"/>
    <x v="2"/>
    <x v="0"/>
    <x v="5"/>
    <s v="No"/>
    <s v="No"/>
    <x v="0"/>
    <s v="Software Development"/>
    <n v="3"/>
    <x v="6"/>
    <s v="Relationship"/>
    <x v="0"/>
    <s v="Family"/>
    <x v="1"/>
    <n v="2.66"/>
    <s v="Yes"/>
    <n v="2.66"/>
    <n v="12"/>
    <n v="100000"/>
    <x v="0"/>
    <x v="0"/>
    <n v="55"/>
  </r>
  <r>
    <x v="0"/>
    <x v="0"/>
    <n v="24"/>
    <n v="2018"/>
    <x v="0"/>
    <n v="10"/>
    <x v="1"/>
    <s v="No"/>
    <x v="1"/>
    <n v="3"/>
    <x v="1"/>
    <x v="0"/>
    <s v="Yes"/>
    <x v="1"/>
    <x v="2"/>
    <x v="21"/>
    <s v="Yes"/>
    <s v="No"/>
    <x v="1"/>
    <s v="Artificial Intelligence"/>
    <n v="2"/>
    <x v="0"/>
    <s v="Single"/>
    <x v="0"/>
    <s v="Family"/>
    <x v="0"/>
    <n v="2.65"/>
    <s v="No"/>
    <n v="3.68"/>
    <n v="140"/>
    <n v="110000"/>
    <x v="1"/>
    <x v="0"/>
    <n v="35"/>
  </r>
  <r>
    <x v="3"/>
    <x v="0"/>
    <n v="20"/>
    <n v="2020"/>
    <x v="0"/>
    <n v="6"/>
    <x v="1"/>
    <s v="No"/>
    <x v="2"/>
    <n v="1"/>
    <x v="0"/>
    <x v="0"/>
    <s v="Yes"/>
    <x v="0"/>
    <x v="0"/>
    <x v="5"/>
    <s v="No"/>
    <s v="No"/>
    <x v="1"/>
    <s v="Networking"/>
    <n v="4"/>
    <x v="6"/>
    <s v="Single"/>
    <x v="1"/>
    <s v="Family"/>
    <x v="0"/>
    <n v="2.8"/>
    <s v="No"/>
    <n v="3.91"/>
    <n v="77"/>
    <n v="110000"/>
    <x v="1"/>
    <x v="0"/>
    <n v="58"/>
  </r>
  <r>
    <x v="1"/>
    <x v="1"/>
    <n v="20"/>
    <n v="2020"/>
    <x v="0"/>
    <n v="8"/>
    <x v="1"/>
    <s v="No"/>
    <x v="3"/>
    <n v="3"/>
    <x v="0"/>
    <x v="0"/>
    <s v="Yes"/>
    <x v="5"/>
    <x v="0"/>
    <x v="5"/>
    <s v="No"/>
    <s v="No"/>
    <x v="1"/>
    <s v="Networking"/>
    <n v="1"/>
    <x v="6"/>
    <s v="Married"/>
    <x v="0"/>
    <s v="Family"/>
    <x v="0"/>
    <n v="1.46"/>
    <s v="No"/>
    <n v="2.67"/>
    <n v="101"/>
    <n v="110000"/>
    <x v="0"/>
    <x v="0"/>
    <n v="58"/>
  </r>
  <r>
    <x v="1"/>
    <x v="1"/>
    <n v="21"/>
    <n v="2020"/>
    <x v="0"/>
    <n v="10"/>
    <x v="1"/>
    <s v="No"/>
    <x v="2"/>
    <n v="3"/>
    <x v="0"/>
    <x v="0"/>
    <s v="Yes"/>
    <x v="2"/>
    <x v="0"/>
    <x v="44"/>
    <s v="Yes"/>
    <s v="No"/>
    <x v="1"/>
    <s v="Software Development"/>
    <n v="4"/>
    <x v="7"/>
    <s v="Single"/>
    <x v="1"/>
    <s v="Bachelor"/>
    <x v="0"/>
    <n v="1.67"/>
    <s v="No"/>
    <n v="2.73"/>
    <n v="134"/>
    <n v="110000"/>
    <x v="0"/>
    <x v="0"/>
    <n v="53.6"/>
  </r>
  <r>
    <x v="3"/>
    <x v="0"/>
    <n v="20"/>
    <n v="2021"/>
    <x v="0"/>
    <n v="6"/>
    <x v="1"/>
    <s v="No"/>
    <x v="0"/>
    <n v="3"/>
    <x v="0"/>
    <x v="0"/>
    <s v="Yes"/>
    <x v="1"/>
    <x v="2"/>
    <x v="32"/>
    <s v="Yes"/>
    <s v="No"/>
    <x v="1"/>
    <s v="Artificial Intelligence"/>
    <n v="1"/>
    <x v="0"/>
    <s v="Single"/>
    <x v="0"/>
    <s v="Bachelor"/>
    <x v="0"/>
    <n v="1.35"/>
    <s v="No"/>
    <n v="2.58"/>
    <n v="77"/>
    <n v="114000"/>
    <x v="0"/>
    <x v="0"/>
    <n v="36.799999999999997"/>
  </r>
  <r>
    <x v="1"/>
    <x v="0"/>
    <n v="21"/>
    <n v="2020"/>
    <x v="0"/>
    <n v="7"/>
    <x v="1"/>
    <s v="No"/>
    <x v="0"/>
    <n v="1"/>
    <x v="0"/>
    <x v="0"/>
    <s v="Yes"/>
    <x v="2"/>
    <x v="2"/>
    <x v="28"/>
    <s v="No"/>
    <s v="No"/>
    <x v="1"/>
    <s v="Software Development"/>
    <n v="2"/>
    <x v="2"/>
    <s v="Relationship"/>
    <x v="1"/>
    <s v="Family"/>
    <x v="0"/>
    <n v="2.56"/>
    <s v="No"/>
    <n v="3.66"/>
    <n v="88"/>
    <n v="115000"/>
    <x v="1"/>
    <x v="0"/>
    <n v="46.2"/>
  </r>
  <r>
    <x v="3"/>
    <x v="1"/>
    <n v="19"/>
    <n v="2022"/>
    <x v="0"/>
    <n v="3"/>
    <x v="1"/>
    <s v="No"/>
    <x v="1"/>
    <n v="1"/>
    <x v="1"/>
    <x v="0"/>
    <s v="Yes"/>
    <x v="0"/>
    <x v="2"/>
    <x v="5"/>
    <s v="No"/>
    <s v="No"/>
    <x v="1"/>
    <s v="Cyber security"/>
    <n v="3"/>
    <x v="7"/>
    <s v="Single"/>
    <x v="1"/>
    <s v="Family"/>
    <x v="0"/>
    <n v="2.67"/>
    <s v="No"/>
    <n v="3.78"/>
    <n v="32"/>
    <n v="115000"/>
    <x v="1"/>
    <x v="0"/>
    <n v="52"/>
  </r>
  <r>
    <x v="3"/>
    <x v="1"/>
    <n v="20"/>
    <n v="2020"/>
    <x v="0"/>
    <n v="5"/>
    <x v="1"/>
    <s v="No"/>
    <x v="2"/>
    <n v="2"/>
    <x v="0"/>
    <x v="0"/>
    <s v="Yes"/>
    <x v="3"/>
    <x v="2"/>
    <x v="47"/>
    <s v="No"/>
    <s v="No"/>
    <x v="0"/>
    <s v="Machine Learning"/>
    <n v="2"/>
    <x v="0"/>
    <s v="Single"/>
    <x v="0"/>
    <s v="Bachelor"/>
    <x v="0"/>
    <n v="2.56"/>
    <s v="No"/>
    <n v="3.61"/>
    <n v="68"/>
    <n v="116000"/>
    <x v="1"/>
    <x v="0"/>
    <n v="28.400000000000002"/>
  </r>
  <r>
    <x v="2"/>
    <x v="0"/>
    <n v="25"/>
    <n v="2019"/>
    <x v="0"/>
    <n v="10"/>
    <x v="1"/>
    <s v="No"/>
    <x v="2"/>
    <n v="3"/>
    <x v="0"/>
    <x v="0"/>
    <s v="Yes"/>
    <x v="2"/>
    <x v="0"/>
    <x v="31"/>
    <s v="Yes"/>
    <s v="No"/>
    <x v="1"/>
    <s v="Networking"/>
    <n v="2"/>
    <x v="6"/>
    <s v="Single"/>
    <x v="1"/>
    <s v="Bachelor"/>
    <x v="0"/>
    <n v="2.67"/>
    <s v="No"/>
    <n v="3.75"/>
    <n v="140"/>
    <n v="117000"/>
    <x v="1"/>
    <x v="0"/>
    <n v="46.4"/>
  </r>
  <r>
    <x v="3"/>
    <x v="0"/>
    <n v="20"/>
    <n v="2021"/>
    <x v="0"/>
    <n v="6"/>
    <x v="1"/>
    <s v="No"/>
    <x v="0"/>
    <n v="3"/>
    <x v="0"/>
    <x v="0"/>
    <s v="Yes"/>
    <x v="2"/>
    <x v="1"/>
    <x v="5"/>
    <s v="No"/>
    <s v="No"/>
    <x v="0"/>
    <s v="Software Development"/>
    <n v="1"/>
    <x v="2"/>
    <s v="Relationship"/>
    <x v="1"/>
    <s v="Bachelor"/>
    <x v="0"/>
    <n v="2.46"/>
    <s v="No"/>
    <n v="3.55"/>
    <n v="89"/>
    <n v="120000"/>
    <x v="1"/>
    <x v="0"/>
    <n v="52"/>
  </r>
  <r>
    <x v="2"/>
    <x v="0"/>
    <n v="24"/>
    <n v="2019"/>
    <x v="0"/>
    <n v="10"/>
    <x v="1"/>
    <s v="No"/>
    <x v="1"/>
    <n v="2"/>
    <x v="0"/>
    <x v="0"/>
    <s v="Yes"/>
    <x v="1"/>
    <x v="0"/>
    <x v="48"/>
    <s v="Yes"/>
    <s v="No"/>
    <x v="0"/>
    <s v="Networking"/>
    <n v="2"/>
    <x v="6"/>
    <s v="Married"/>
    <x v="0"/>
    <s v="Family"/>
    <x v="0"/>
    <n v="1.44"/>
    <s v="No"/>
    <n v="2.65"/>
    <n v="136"/>
    <n v="123000"/>
    <x v="0"/>
    <x v="0"/>
    <n v="42.2"/>
  </r>
  <r>
    <x v="2"/>
    <x v="1"/>
    <n v="24"/>
    <n v="2019"/>
    <x v="0"/>
    <n v="11"/>
    <x v="1"/>
    <s v="No"/>
    <x v="0"/>
    <n v="2"/>
    <x v="0"/>
    <x v="0"/>
    <s v="Yes"/>
    <x v="3"/>
    <x v="1"/>
    <x v="5"/>
    <s v="No"/>
    <s v="No"/>
    <x v="1"/>
    <s v="Software Development"/>
    <n v="4"/>
    <x v="2"/>
    <s v="Relationship"/>
    <x v="0"/>
    <s v="Bachelor"/>
    <x v="0"/>
    <n v="2.5299999999999998"/>
    <s v="No"/>
    <n v="3.62"/>
    <n v="143"/>
    <n v="128000"/>
    <x v="1"/>
    <x v="0"/>
    <n v="61"/>
  </r>
  <r>
    <x v="4"/>
    <x v="1"/>
    <n v="25"/>
    <n v="2019"/>
    <x v="0"/>
    <n v="11"/>
    <x v="1"/>
    <s v="No"/>
    <x v="2"/>
    <n v="2"/>
    <x v="0"/>
    <x v="0"/>
    <s v="Yes"/>
    <x v="0"/>
    <x v="1"/>
    <x v="5"/>
    <s v="No"/>
    <s v="No"/>
    <x v="1"/>
    <s v="Software Development"/>
    <n v="3"/>
    <x v="2"/>
    <s v="Single"/>
    <x v="0"/>
    <s v="Family"/>
    <x v="0"/>
    <n v="2.79"/>
    <s v="No"/>
    <n v="3.88"/>
    <n v="141"/>
    <n v="130000"/>
    <x v="1"/>
    <x v="0"/>
    <n v="55"/>
  </r>
  <r>
    <x v="1"/>
    <x v="1"/>
    <n v="20"/>
    <n v="2020"/>
    <x v="0"/>
    <n v="9"/>
    <x v="0"/>
    <s v="No"/>
    <x v="0"/>
    <n v="1"/>
    <x v="0"/>
    <x v="0"/>
    <s v="Yes"/>
    <x v="1"/>
    <x v="0"/>
    <x v="5"/>
    <s v="Yes"/>
    <s v="No"/>
    <x v="0"/>
    <s v="Software Development"/>
    <n v="4"/>
    <x v="2"/>
    <s v="Single"/>
    <x v="0"/>
    <s v="Family"/>
    <x v="0"/>
    <n v="2.75"/>
    <s v="No"/>
    <n v="3.82"/>
    <n v="103"/>
    <n v="130000"/>
    <x v="1"/>
    <x v="0"/>
    <n v="61"/>
  </r>
  <r>
    <x v="3"/>
    <x v="0"/>
    <n v="21"/>
    <n v="2021"/>
    <x v="0"/>
    <n v="6"/>
    <x v="1"/>
    <s v="No"/>
    <x v="1"/>
    <n v="3"/>
    <x v="0"/>
    <x v="0"/>
    <s v="Yes"/>
    <x v="2"/>
    <x v="2"/>
    <x v="5"/>
    <s v="Yes"/>
    <s v="No"/>
    <x v="1"/>
    <s v="Software Development"/>
    <n v="4"/>
    <x v="7"/>
    <s v="Married"/>
    <x v="0"/>
    <s v="Family"/>
    <x v="1"/>
    <n v="1.68"/>
    <s v="No"/>
    <n v="2.73"/>
    <n v="88"/>
    <n v="130000"/>
    <x v="0"/>
    <x v="0"/>
    <n v="55"/>
  </r>
  <r>
    <x v="3"/>
    <x v="1"/>
    <n v="20"/>
    <n v="2021"/>
    <x v="0"/>
    <n v="5"/>
    <x v="1"/>
    <s v="No"/>
    <x v="5"/>
    <n v="1"/>
    <x v="1"/>
    <x v="0"/>
    <s v="Yes"/>
    <x v="2"/>
    <x v="0"/>
    <x v="22"/>
    <s v="Yes"/>
    <s v="No"/>
    <x v="0"/>
    <s v="Software Development"/>
    <n v="4"/>
    <x v="2"/>
    <s v="Married"/>
    <x v="1"/>
    <s v="Family"/>
    <x v="0"/>
    <n v="1.67"/>
    <s v="No"/>
    <n v="2.77"/>
    <n v="58"/>
    <n v="130000"/>
    <x v="0"/>
    <x v="0"/>
    <n v="54.8"/>
  </r>
  <r>
    <x v="2"/>
    <x v="0"/>
    <n v="20"/>
    <n v="2020"/>
    <x v="0"/>
    <n v="10"/>
    <x v="0"/>
    <s v="No"/>
    <x v="2"/>
    <n v="2"/>
    <x v="0"/>
    <x v="0"/>
    <s v="Yes"/>
    <x v="1"/>
    <x v="2"/>
    <x v="49"/>
    <s v="No"/>
    <s v="No"/>
    <x v="0"/>
    <s v="Software Development"/>
    <n v="4"/>
    <x v="2"/>
    <s v="Relationship"/>
    <x v="1"/>
    <s v="Bachelor"/>
    <x v="0"/>
    <n v="1.76"/>
    <s v="No"/>
    <n v="2.8"/>
    <n v="122"/>
    <n v="134000"/>
    <x v="0"/>
    <x v="0"/>
    <n v="51.6"/>
  </r>
  <r>
    <x v="1"/>
    <x v="1"/>
    <n v="25"/>
    <n v="2019"/>
    <x v="0"/>
    <n v="10"/>
    <x v="1"/>
    <s v="No"/>
    <x v="5"/>
    <n v="2"/>
    <x v="1"/>
    <x v="0"/>
    <s v="Yes"/>
    <x v="4"/>
    <x v="2"/>
    <x v="5"/>
    <s v="No"/>
    <s v="No"/>
    <x v="0"/>
    <s v="Networking"/>
    <n v="2"/>
    <x v="6"/>
    <s v="Relationship"/>
    <x v="1"/>
    <s v="Bachelor"/>
    <x v="0"/>
    <n v="2.88"/>
    <s v="No"/>
    <n v="3.9"/>
    <n v="139"/>
    <n v="135000"/>
    <x v="1"/>
    <x v="0"/>
    <n v="58"/>
  </r>
  <r>
    <x v="2"/>
    <x v="0"/>
    <n v="20"/>
    <n v="2020"/>
    <x v="0"/>
    <n v="11"/>
    <x v="1"/>
    <s v="No"/>
    <x v="2"/>
    <n v="1"/>
    <x v="0"/>
    <x v="0"/>
    <s v="Yes"/>
    <x v="1"/>
    <x v="1"/>
    <x v="5"/>
    <s v="Yes"/>
    <s v="No"/>
    <x v="1"/>
    <s v="Networking"/>
    <n v="2"/>
    <x v="6"/>
    <s v="Single"/>
    <x v="1"/>
    <s v="Bachelor"/>
    <x v="0"/>
    <n v="2.54"/>
    <s v="No"/>
    <n v="3.61"/>
    <n v="143"/>
    <n v="135000"/>
    <x v="1"/>
    <x v="0"/>
    <n v="52"/>
  </r>
  <r>
    <x v="1"/>
    <x v="1"/>
    <n v="22"/>
    <n v="2020"/>
    <x v="0"/>
    <n v="9"/>
    <x v="1"/>
    <s v="No"/>
    <x v="5"/>
    <n v="2"/>
    <x v="0"/>
    <x v="0"/>
    <s v="Yes"/>
    <x v="3"/>
    <x v="2"/>
    <x v="5"/>
    <s v="Yes"/>
    <s v="Yes"/>
    <x v="1"/>
    <s v="Cyber security"/>
    <n v="2"/>
    <x v="0"/>
    <s v="Married"/>
    <x v="0"/>
    <s v="Family"/>
    <x v="0"/>
    <n v="1.76"/>
    <s v="No"/>
    <n v="2.82"/>
    <n v="121"/>
    <n v="135000"/>
    <x v="0"/>
    <x v="0"/>
    <n v="58"/>
  </r>
  <r>
    <x v="2"/>
    <x v="0"/>
    <n v="21"/>
    <n v="2020"/>
    <x v="0"/>
    <n v="8"/>
    <x v="1"/>
    <s v="No"/>
    <x v="0"/>
    <n v="2"/>
    <x v="0"/>
    <x v="0"/>
    <s v="Yes"/>
    <x v="2"/>
    <x v="0"/>
    <x v="5"/>
    <s v="No"/>
    <s v="No"/>
    <x v="1"/>
    <s v="Artificial Intelligence"/>
    <n v="2"/>
    <x v="0"/>
    <s v="Single"/>
    <x v="0"/>
    <s v="Family"/>
    <x v="1"/>
    <n v="2.54"/>
    <s v="No"/>
    <n v="3.64"/>
    <n v="97"/>
    <n v="135000"/>
    <x v="1"/>
    <x v="0"/>
    <n v="55"/>
  </r>
  <r>
    <x v="4"/>
    <x v="0"/>
    <n v="25"/>
    <n v="2018"/>
    <x v="0"/>
    <n v="11"/>
    <x v="1"/>
    <s v="No"/>
    <x v="0"/>
    <n v="2"/>
    <x v="0"/>
    <x v="0"/>
    <s v="Yes"/>
    <x v="2"/>
    <x v="0"/>
    <x v="5"/>
    <s v="No"/>
    <s v="No"/>
    <x v="0"/>
    <s v="Networking"/>
    <n v="1"/>
    <x v="6"/>
    <s v="Single"/>
    <x v="0"/>
    <s v="Family"/>
    <x v="0"/>
    <n v="1.54"/>
    <s v="No"/>
    <n v="2.68"/>
    <n v="143"/>
    <n v="144000"/>
    <x v="0"/>
    <x v="0"/>
    <n v="52"/>
  </r>
  <r>
    <x v="1"/>
    <x v="1"/>
    <n v="21"/>
    <n v="2020"/>
    <x v="0"/>
    <n v="9"/>
    <x v="1"/>
    <s v="No"/>
    <x v="2"/>
    <n v="1"/>
    <x v="0"/>
    <x v="0"/>
    <s v="Yes"/>
    <x v="2"/>
    <x v="0"/>
    <x v="46"/>
    <s v="No"/>
    <s v="No"/>
    <x v="1"/>
    <s v="Machine Learning"/>
    <n v="2"/>
    <x v="0"/>
    <s v="Relationship"/>
    <x v="0"/>
    <s v="Bachelor"/>
    <x v="1"/>
    <n v="1.46"/>
    <s v="No"/>
    <n v="2.5"/>
    <n v="119"/>
    <n v="144000"/>
    <x v="0"/>
    <x v="0"/>
    <n v="26"/>
  </r>
  <r>
    <x v="4"/>
    <x v="0"/>
    <n v="22"/>
    <n v="2019"/>
    <x v="0"/>
    <n v="11"/>
    <x v="0"/>
    <s v="No"/>
    <x v="4"/>
    <n v="3"/>
    <x v="0"/>
    <x v="0"/>
    <s v="Yes"/>
    <x v="6"/>
    <x v="2"/>
    <x v="5"/>
    <s v="No"/>
    <s v="No"/>
    <x v="1"/>
    <s v="Cyber security"/>
    <n v="4"/>
    <x v="0"/>
    <s v="Single"/>
    <x v="1"/>
    <s v="Family"/>
    <x v="0"/>
    <n v="2.91"/>
    <s v="No"/>
    <n v="3.97"/>
    <n v="141"/>
    <n v="150000"/>
    <x v="1"/>
    <x v="0"/>
    <n v="70"/>
  </r>
  <r>
    <x v="1"/>
    <x v="1"/>
    <n v="20"/>
    <n v="2020"/>
    <x v="0"/>
    <n v="9"/>
    <x v="1"/>
    <s v="No"/>
    <x v="0"/>
    <n v="3"/>
    <x v="1"/>
    <x v="0"/>
    <s v="Yes"/>
    <x v="1"/>
    <x v="2"/>
    <x v="5"/>
    <s v="No"/>
    <s v="No"/>
    <x v="1"/>
    <s v="Networking"/>
    <n v="2"/>
    <x v="6"/>
    <s v="Relationship"/>
    <x v="0"/>
    <s v="Bachelor"/>
    <x v="0"/>
    <n v="1.8"/>
    <s v="No"/>
    <n v="2.89"/>
    <n v="116"/>
    <n v="155000"/>
    <x v="0"/>
    <x v="0"/>
    <n v="55"/>
  </r>
  <r>
    <x v="1"/>
    <x v="1"/>
    <n v="20"/>
    <n v="2020"/>
    <x v="0"/>
    <n v="8"/>
    <x v="0"/>
    <s v="No"/>
    <x v="3"/>
    <n v="2"/>
    <x v="0"/>
    <x v="0"/>
    <s v="Yes"/>
    <x v="1"/>
    <x v="0"/>
    <x v="5"/>
    <s v="No"/>
    <s v="No"/>
    <x v="1"/>
    <s v="Software Development"/>
    <n v="4"/>
    <x v="2"/>
    <s v="Relationship"/>
    <x v="0"/>
    <s v="Bachelor"/>
    <x v="0"/>
    <n v="2.78"/>
    <s v="No"/>
    <n v="3.8"/>
    <n v="89"/>
    <n v="158000"/>
    <x v="1"/>
    <x v="0"/>
    <n v="67"/>
  </r>
  <r>
    <x v="1"/>
    <x v="1"/>
    <n v="21"/>
    <n v="2021"/>
    <x v="0"/>
    <n v="5"/>
    <x v="0"/>
    <s v="No"/>
    <x v="0"/>
    <n v="2"/>
    <x v="0"/>
    <x v="0"/>
    <s v="Yes"/>
    <x v="7"/>
    <x v="2"/>
    <x v="50"/>
    <s v="No"/>
    <s v="No"/>
    <x v="0"/>
    <s v="Software Development"/>
    <n v="2"/>
    <x v="2"/>
    <s v="Single"/>
    <x v="0"/>
    <s v="Family"/>
    <x v="0"/>
    <n v="1.65"/>
    <s v="No"/>
    <n v="2.56"/>
    <n v="64"/>
    <n v="165000"/>
    <x v="0"/>
    <x v="0"/>
    <n v="41.8"/>
  </r>
  <r>
    <x v="2"/>
    <x v="1"/>
    <n v="22"/>
    <n v="2019"/>
    <x v="0"/>
    <n v="8"/>
    <x v="0"/>
    <s v="No"/>
    <x v="2"/>
    <n v="1"/>
    <x v="0"/>
    <x v="0"/>
    <s v="Yes"/>
    <x v="4"/>
    <x v="2"/>
    <x v="5"/>
    <s v="No"/>
    <s v="No"/>
    <x v="1"/>
    <s v="Software Development"/>
    <n v="2"/>
    <x v="7"/>
    <s v="Single"/>
    <x v="0"/>
    <s v="Family"/>
    <x v="0"/>
    <n v="2.3199999999999998"/>
    <s v="No"/>
    <n v="3.87"/>
    <n v="113"/>
    <n v="170000"/>
    <x v="1"/>
    <x v="0"/>
    <n v="52"/>
  </r>
  <r>
    <x v="2"/>
    <x v="1"/>
    <n v="25"/>
    <n v="2019"/>
    <x v="0"/>
    <n v="11"/>
    <x v="1"/>
    <s v="No"/>
    <x v="0"/>
    <n v="3"/>
    <x v="1"/>
    <x v="0"/>
    <s v="Yes"/>
    <x v="3"/>
    <x v="2"/>
    <x v="46"/>
    <s v="No"/>
    <s v="No"/>
    <x v="1"/>
    <s v="Networking"/>
    <n v="2"/>
    <x v="6"/>
    <s v="Relationship"/>
    <x v="1"/>
    <s v="Bachelor"/>
    <x v="0"/>
    <n v="1.57"/>
    <s v="No"/>
    <n v="2.63"/>
    <n v="143"/>
    <n v="170000"/>
    <x v="0"/>
    <x v="0"/>
    <n v="29"/>
  </r>
  <r>
    <x v="1"/>
    <x v="1"/>
    <n v="20"/>
    <n v="2020"/>
    <x v="0"/>
    <n v="8"/>
    <x v="0"/>
    <s v="No"/>
    <x v="0"/>
    <n v="3"/>
    <x v="0"/>
    <x v="0"/>
    <s v="Yes"/>
    <x v="1"/>
    <x v="0"/>
    <x v="5"/>
    <s v="Yes"/>
    <s v="No"/>
    <x v="1"/>
    <s v="Artificial Intelligence"/>
    <n v="4"/>
    <x v="0"/>
    <s v="Single"/>
    <x v="0"/>
    <s v="Family"/>
    <x v="0"/>
    <n v="2.85"/>
    <s v="No"/>
    <n v="3.93"/>
    <n v="100"/>
    <n v="190000"/>
    <x v="1"/>
    <x v="0"/>
    <n v="61"/>
  </r>
  <r>
    <x v="2"/>
    <x v="0"/>
    <n v="21"/>
    <n v="2020"/>
    <x v="0"/>
    <n v="10"/>
    <x v="1"/>
    <s v="No"/>
    <x v="0"/>
    <n v="2"/>
    <x v="0"/>
    <x v="0"/>
    <s v="Yes"/>
    <x v="3"/>
    <x v="0"/>
    <x v="36"/>
    <s v="No"/>
    <s v="No"/>
    <x v="1"/>
    <s v="Networking"/>
    <n v="4"/>
    <x v="6"/>
    <s v="Married"/>
    <x v="1"/>
    <s v="Family"/>
    <x v="0"/>
    <n v="2.74"/>
    <s v="No"/>
    <n v="3.84"/>
    <n v="137"/>
    <n v="190000"/>
    <x v="1"/>
    <x v="0"/>
    <n v="48.2"/>
  </r>
  <r>
    <x v="2"/>
    <x v="1"/>
    <n v="22"/>
    <n v="2020"/>
    <x v="0"/>
    <n v="7"/>
    <x v="1"/>
    <s v="No"/>
    <x v="0"/>
    <n v="2"/>
    <x v="0"/>
    <x v="0"/>
    <s v="Yes"/>
    <x v="6"/>
    <x v="0"/>
    <x v="5"/>
    <s v="No"/>
    <s v="Yes"/>
    <x v="1"/>
    <s v="Software Development"/>
    <n v="3"/>
    <x v="7"/>
    <s v="Single"/>
    <x v="0"/>
    <s v="Bachelor"/>
    <x v="0"/>
    <n v="2.13"/>
    <s v="No"/>
    <n v="3.03"/>
    <n v="107"/>
    <n v="235000"/>
    <x v="0"/>
    <x v="0"/>
    <n v="58"/>
  </r>
  <r>
    <x v="1"/>
    <x v="1"/>
    <n v="20"/>
    <n v="2021"/>
    <x v="0"/>
    <n v="5"/>
    <x v="0"/>
    <s v="No"/>
    <x v="4"/>
    <n v="2"/>
    <x v="0"/>
    <x v="0"/>
    <s v="Yes"/>
    <x v="3"/>
    <x v="2"/>
    <x v="5"/>
    <s v="No"/>
    <s v="No"/>
    <x v="1"/>
    <s v="Software Development"/>
    <n v="4"/>
    <x v="7"/>
    <s v="Single"/>
    <x v="0"/>
    <s v="Family"/>
    <x v="0"/>
    <n v="2.91"/>
    <s v="No"/>
    <n v="3.91"/>
    <n v="81"/>
    <n v="250000"/>
    <x v="1"/>
    <x v="0"/>
    <n v="70"/>
  </r>
  <r>
    <x v="4"/>
    <x v="1"/>
    <n v="25"/>
    <n v="2018"/>
    <x v="0"/>
    <n v="11"/>
    <x v="1"/>
    <s v="No"/>
    <x v="0"/>
    <n v="3"/>
    <x v="0"/>
    <x v="0"/>
    <s v="Yes"/>
    <x v="2"/>
    <x v="0"/>
    <x v="5"/>
    <s v="Yes"/>
    <s v="No"/>
    <x v="1"/>
    <s v="Cyber security"/>
    <n v="1"/>
    <x v="0"/>
    <s v="Single"/>
    <x v="1"/>
    <s v="Bachelor"/>
    <x v="0"/>
    <n v="1.43"/>
    <s v="No"/>
    <n v="2.4900000000000002"/>
    <n v="143"/>
    <n v="255000"/>
    <x v="2"/>
    <x v="0"/>
    <n v="52"/>
  </r>
  <r>
    <x v="4"/>
    <x v="0"/>
    <n v="25"/>
    <n v="2017"/>
    <x v="0"/>
    <n v="11"/>
    <x v="1"/>
    <s v="No"/>
    <x v="2"/>
    <n v="1"/>
    <x v="0"/>
    <x v="0"/>
    <s v="No"/>
    <x v="0"/>
    <x v="1"/>
    <x v="31"/>
    <s v="No"/>
    <s v="No"/>
    <x v="1"/>
    <s v="Networking"/>
    <n v="3"/>
    <x v="0"/>
    <s v="Relationship"/>
    <x v="1"/>
    <s v="Family"/>
    <x v="0"/>
    <n v="1.98"/>
    <s v="No"/>
    <n v="2.89"/>
    <n v="145"/>
    <n v="300000"/>
    <x v="0"/>
    <x v="0"/>
    <n v="49.4"/>
  </r>
  <r>
    <x v="2"/>
    <x v="0"/>
    <n v="23"/>
    <n v="2019"/>
    <x v="0"/>
    <n v="9"/>
    <x v="0"/>
    <s v="No"/>
    <x v="1"/>
    <n v="2"/>
    <x v="0"/>
    <x v="0"/>
    <s v="Yes"/>
    <x v="0"/>
    <x v="1"/>
    <x v="5"/>
    <s v="No"/>
    <s v="No"/>
    <x v="0"/>
    <s v="Software Development"/>
    <n v="1"/>
    <x v="0"/>
    <s v="Relationship"/>
    <x v="1"/>
    <s v="Family"/>
    <x v="0"/>
    <n v="2.91"/>
    <s v="No"/>
    <n v="3.89"/>
    <n v="103"/>
    <n v="10000"/>
    <x v="1"/>
    <x v="0"/>
    <n v="46"/>
  </r>
  <r>
    <x v="2"/>
    <x v="1"/>
    <n v="22"/>
    <n v="2019"/>
    <x v="0"/>
    <n v="11"/>
    <x v="0"/>
    <s v="No"/>
    <x v="2"/>
    <n v="1"/>
    <x v="0"/>
    <x v="0"/>
    <s v="Yes"/>
    <x v="1"/>
    <x v="0"/>
    <x v="4"/>
    <s v="No"/>
    <s v="No"/>
    <x v="0"/>
    <s v="Software Development"/>
    <n v="1"/>
    <x v="0"/>
    <s v="Single"/>
    <x v="1"/>
    <s v="Family"/>
    <x v="0"/>
    <n v="2.5"/>
    <s v="No"/>
    <n v="3.48"/>
    <n v="128"/>
    <n v="25000"/>
    <x v="0"/>
    <x v="0"/>
    <n v="47"/>
  </r>
  <r>
    <x v="10"/>
    <x v="1"/>
    <n v="21"/>
    <n v="2022"/>
    <x v="0"/>
    <n v="2"/>
    <x v="1"/>
    <s v="No"/>
    <x v="3"/>
    <n v="5"/>
    <x v="0"/>
    <x v="0"/>
    <s v="Yes"/>
    <x v="0"/>
    <x v="0"/>
    <x v="5"/>
    <s v="No"/>
    <s v="No"/>
    <x v="1"/>
    <s v="Software Development"/>
    <n v="3"/>
    <x v="2"/>
    <s v="Single"/>
    <x v="0"/>
    <s v="Family"/>
    <x v="0"/>
    <n v="2.85"/>
    <s v="No"/>
    <n v="3.65"/>
    <n v="28"/>
    <n v="25000"/>
    <x v="1"/>
    <x v="0"/>
    <n v="64"/>
  </r>
  <r>
    <x v="2"/>
    <x v="1"/>
    <n v="24"/>
    <n v="2019"/>
    <x v="0"/>
    <n v="9"/>
    <x v="1"/>
    <s v="No"/>
    <x v="3"/>
    <n v="1"/>
    <x v="0"/>
    <x v="0"/>
    <s v="Yes"/>
    <x v="5"/>
    <x v="1"/>
    <x v="0"/>
    <s v="No"/>
    <s v="No"/>
    <x v="1"/>
    <s v="Networking"/>
    <n v="2"/>
    <x v="6"/>
    <s v="Single"/>
    <x v="0"/>
    <s v="Family"/>
    <x v="1"/>
    <n v="2.2000000000000002"/>
    <s v="Yes"/>
    <n v="3.5"/>
    <n v="60"/>
    <n v="28000"/>
    <x v="1"/>
    <x v="0"/>
    <n v="57"/>
  </r>
  <r>
    <x v="2"/>
    <x v="0"/>
    <n v="25"/>
    <n v="2019"/>
    <x v="0"/>
    <n v="10"/>
    <x v="0"/>
    <s v="No"/>
    <x v="0"/>
    <n v="1"/>
    <x v="1"/>
    <x v="0"/>
    <s v="Yes"/>
    <x v="0"/>
    <x v="2"/>
    <x v="10"/>
    <s v="No"/>
    <s v="No"/>
    <x v="0"/>
    <s v="Networking"/>
    <n v="3"/>
    <x v="2"/>
    <s v="Relationship"/>
    <x v="0"/>
    <s v="Bachelor"/>
    <x v="0"/>
    <n v="2.48"/>
    <s v="No"/>
    <n v="3.48"/>
    <n v="105"/>
    <n v="30000"/>
    <x v="0"/>
    <x v="0"/>
    <n v="57.6"/>
  </r>
  <r>
    <x v="2"/>
    <x v="1"/>
    <n v="23"/>
    <n v="2019"/>
    <x v="0"/>
    <n v="10"/>
    <x v="1"/>
    <s v="No"/>
    <x v="5"/>
    <n v="1"/>
    <x v="0"/>
    <x v="0"/>
    <s v="Yes"/>
    <x v="1"/>
    <x v="0"/>
    <x v="8"/>
    <s v="No"/>
    <s v="No"/>
    <x v="1"/>
    <s v="Networking"/>
    <n v="2"/>
    <x v="6"/>
    <s v="Single"/>
    <x v="1"/>
    <s v="Bachelor"/>
    <x v="0"/>
    <n v="2.87"/>
    <s v="No"/>
    <n v="3.93"/>
    <n v="138"/>
    <n v="30000"/>
    <x v="1"/>
    <x v="0"/>
    <n v="57.2"/>
  </r>
  <r>
    <x v="3"/>
    <x v="0"/>
    <n v="22"/>
    <n v="2020"/>
    <x v="0"/>
    <n v="5"/>
    <x v="0"/>
    <s v="No"/>
    <x v="2"/>
    <n v="2"/>
    <x v="0"/>
    <x v="0"/>
    <s v="No"/>
    <x v="4"/>
    <x v="0"/>
    <x v="10"/>
    <s v="No"/>
    <s v="No"/>
    <x v="0"/>
    <s v="Software Development"/>
    <n v="2"/>
    <x v="6"/>
    <s v="Single"/>
    <x v="1"/>
    <s v="Family"/>
    <x v="0"/>
    <n v="2.56"/>
    <s v="No"/>
    <n v="3.35"/>
    <n v="54"/>
    <n v="30000"/>
    <x v="0"/>
    <x v="0"/>
    <n v="51.6"/>
  </r>
  <r>
    <x v="1"/>
    <x v="1"/>
    <n v="20"/>
    <n v="2020"/>
    <x v="0"/>
    <n v="7"/>
    <x v="1"/>
    <s v="No"/>
    <x v="5"/>
    <n v="2"/>
    <x v="0"/>
    <x v="0"/>
    <s v="Yes"/>
    <x v="6"/>
    <x v="0"/>
    <x v="5"/>
    <s v="No"/>
    <s v="No"/>
    <x v="0"/>
    <s v="Artificial Intelligence"/>
    <n v="1"/>
    <x v="6"/>
    <s v="Relationship"/>
    <x v="1"/>
    <s v="Family"/>
    <x v="0"/>
    <n v="2.31"/>
    <s v="No"/>
    <n v="3.45"/>
    <n v="109"/>
    <n v="30000"/>
    <x v="0"/>
    <x v="0"/>
    <n v="55"/>
  </r>
  <r>
    <x v="0"/>
    <x v="0"/>
    <n v="25"/>
    <n v="2018"/>
    <x v="0"/>
    <n v="11"/>
    <x v="1"/>
    <s v="No"/>
    <x v="0"/>
    <n v="1"/>
    <x v="0"/>
    <x v="0"/>
    <s v="Yes"/>
    <x v="1"/>
    <x v="1"/>
    <x v="5"/>
    <s v="No"/>
    <s v="Yes"/>
    <x v="0"/>
    <s v="Cyber security"/>
    <n v="2"/>
    <x v="0"/>
    <s v="Married"/>
    <x v="1"/>
    <s v="Family"/>
    <x v="0"/>
    <n v="2.4500000000000002"/>
    <s v="No"/>
    <n v="3.56"/>
    <n v="143"/>
    <n v="32000"/>
    <x v="1"/>
    <x v="0"/>
    <n v="55"/>
  </r>
  <r>
    <x v="3"/>
    <x v="1"/>
    <n v="19"/>
    <n v="2021"/>
    <x v="0"/>
    <n v="7"/>
    <x v="1"/>
    <s v="No"/>
    <x v="5"/>
    <n v="2"/>
    <x v="1"/>
    <x v="0"/>
    <s v="Yes"/>
    <x v="0"/>
    <x v="0"/>
    <x v="0"/>
    <s v="No"/>
    <s v="No"/>
    <x v="0"/>
    <s v="Artificial Intelligence"/>
    <n v="2"/>
    <x v="6"/>
    <s v="Relationship"/>
    <x v="0"/>
    <s v="Family"/>
    <x v="1"/>
    <n v="2.09"/>
    <s v="No"/>
    <n v="3.34"/>
    <n v="100"/>
    <n v="34000"/>
    <x v="0"/>
    <x v="0"/>
    <n v="54"/>
  </r>
  <r>
    <x v="4"/>
    <x v="0"/>
    <n v="24"/>
    <n v="2018"/>
    <x v="0"/>
    <n v="11"/>
    <x v="1"/>
    <s v="No"/>
    <x v="0"/>
    <n v="2"/>
    <x v="0"/>
    <x v="0"/>
    <s v="Yes"/>
    <x v="1"/>
    <x v="0"/>
    <x v="21"/>
    <s v="Yes"/>
    <s v="No"/>
    <x v="1"/>
    <s v="Cyber security"/>
    <n v="2"/>
    <x v="0"/>
    <s v="Single"/>
    <x v="0"/>
    <s v="Family"/>
    <x v="1"/>
    <n v="2.4500000000000002"/>
    <s v="No"/>
    <n v="3.55"/>
    <n v="144"/>
    <n v="37000"/>
    <x v="1"/>
    <x v="0"/>
    <n v="41"/>
  </r>
  <r>
    <x v="2"/>
    <x v="1"/>
    <n v="20"/>
    <n v="2020"/>
    <x v="0"/>
    <n v="11"/>
    <x v="1"/>
    <s v="No"/>
    <x v="2"/>
    <n v="2"/>
    <x v="1"/>
    <x v="0"/>
    <s v="Yes"/>
    <x v="1"/>
    <x v="0"/>
    <x v="51"/>
    <s v="No"/>
    <s v="No"/>
    <x v="1"/>
    <s v="Cyber security"/>
    <n v="4"/>
    <x v="0"/>
    <s v="Married"/>
    <x v="1"/>
    <s v="Family"/>
    <x v="0"/>
    <n v="2.67"/>
    <s v="No"/>
    <n v="3.77"/>
    <n v="143"/>
    <n v="37000"/>
    <x v="1"/>
    <x v="0"/>
    <n v="46.8"/>
  </r>
  <r>
    <x v="3"/>
    <x v="0"/>
    <n v="21"/>
    <n v="2021"/>
    <x v="0"/>
    <n v="6"/>
    <x v="1"/>
    <s v="No"/>
    <x v="2"/>
    <n v="2"/>
    <x v="0"/>
    <x v="0"/>
    <s v="Yes"/>
    <x v="1"/>
    <x v="2"/>
    <x v="52"/>
    <s v="No"/>
    <s v="No"/>
    <x v="0"/>
    <s v="Cyber security"/>
    <n v="3"/>
    <x v="0"/>
    <s v="Single"/>
    <x v="1"/>
    <s v="Bachelor"/>
    <x v="1"/>
    <n v="1.89"/>
    <s v="No"/>
    <n v="2.97"/>
    <n v="97"/>
    <n v="37000"/>
    <x v="0"/>
    <x v="0"/>
    <n v="31.8"/>
  </r>
  <r>
    <x v="1"/>
    <x v="1"/>
    <n v="20"/>
    <n v="2020"/>
    <x v="0"/>
    <n v="8"/>
    <x v="1"/>
    <s v="No"/>
    <x v="2"/>
    <n v="2"/>
    <x v="1"/>
    <x v="0"/>
    <s v="No"/>
    <x v="1"/>
    <x v="1"/>
    <x v="36"/>
    <s v="No"/>
    <s v="No"/>
    <x v="1"/>
    <s v="Software Development"/>
    <n v="4"/>
    <x v="2"/>
    <s v="Married"/>
    <x v="0"/>
    <s v="Family"/>
    <x v="0"/>
    <n v="2.67"/>
    <s v="No"/>
    <n v="3.74"/>
    <n v="90"/>
    <n v="38000"/>
    <x v="1"/>
    <x v="0"/>
    <n v="45.2"/>
  </r>
  <r>
    <x v="3"/>
    <x v="1"/>
    <n v="22"/>
    <n v="2021"/>
    <x v="0"/>
    <n v="5"/>
    <x v="0"/>
    <s v="No"/>
    <x v="2"/>
    <n v="2"/>
    <x v="0"/>
    <x v="0"/>
    <s v="Yes"/>
    <x v="2"/>
    <x v="0"/>
    <x v="53"/>
    <s v="Yes"/>
    <s v="No"/>
    <x v="1"/>
    <s v="Cyber security"/>
    <n v="2"/>
    <x v="0"/>
    <s v="Single"/>
    <x v="1"/>
    <s v="Bachelor"/>
    <x v="0"/>
    <n v="2.74"/>
    <s v="No"/>
    <n v="3.8"/>
    <n v="68"/>
    <n v="39000"/>
    <x v="1"/>
    <x v="0"/>
    <n v="30.8"/>
  </r>
  <r>
    <x v="0"/>
    <x v="1"/>
    <n v="22"/>
    <n v="2017"/>
    <x v="0"/>
    <n v="10"/>
    <x v="1"/>
    <s v="No"/>
    <x v="0"/>
    <n v="2"/>
    <x v="1"/>
    <x v="0"/>
    <s v="Yes"/>
    <x v="7"/>
    <x v="2"/>
    <x v="0"/>
    <s v="Yes"/>
    <s v="No"/>
    <x v="0"/>
    <s v="Software Development"/>
    <n v="2"/>
    <x v="7"/>
    <s v="Single"/>
    <x v="1"/>
    <s v="Family"/>
    <x v="0"/>
    <n v="1.61"/>
    <s v="No"/>
    <n v="2.88"/>
    <n v="123"/>
    <n v="40000"/>
    <x v="0"/>
    <x v="0"/>
    <n v="51"/>
  </r>
  <r>
    <x v="0"/>
    <x v="1"/>
    <n v="24"/>
    <n v="2018"/>
    <x v="0"/>
    <n v="11"/>
    <x v="1"/>
    <s v="No"/>
    <x v="5"/>
    <n v="2"/>
    <x v="0"/>
    <x v="0"/>
    <s v="Yes"/>
    <x v="2"/>
    <x v="0"/>
    <x v="31"/>
    <s v="Yes"/>
    <s v="Yes"/>
    <x v="1"/>
    <s v="Cyber security"/>
    <n v="4"/>
    <x v="0"/>
    <s v="Relationship"/>
    <x v="1"/>
    <s v="Bachelor"/>
    <x v="0"/>
    <n v="2.54"/>
    <s v="No"/>
    <n v="3.63"/>
    <n v="144"/>
    <n v="40000"/>
    <x v="1"/>
    <x v="0"/>
    <n v="58.4"/>
  </r>
  <r>
    <x v="2"/>
    <x v="0"/>
    <n v="21"/>
    <n v="2020"/>
    <x v="0"/>
    <n v="10"/>
    <x v="1"/>
    <s v="No"/>
    <x v="2"/>
    <n v="3"/>
    <x v="0"/>
    <x v="0"/>
    <s v="Yes"/>
    <x v="1"/>
    <x v="0"/>
    <x v="45"/>
    <s v="Yes"/>
    <s v="No"/>
    <x v="0"/>
    <s v="Cyber security"/>
    <n v="2"/>
    <x v="0"/>
    <s v="Relationship"/>
    <x v="1"/>
    <s v="Bachelor"/>
    <x v="0"/>
    <n v="1.46"/>
    <s v="No"/>
    <n v="2.5499999999999998"/>
    <n v="139"/>
    <n v="40000"/>
    <x v="0"/>
    <x v="0"/>
    <n v="43.6"/>
  </r>
  <r>
    <x v="2"/>
    <x v="0"/>
    <n v="20"/>
    <n v="2020"/>
    <x v="0"/>
    <n v="10"/>
    <x v="0"/>
    <s v="No"/>
    <x v="2"/>
    <n v="2"/>
    <x v="0"/>
    <x v="0"/>
    <s v="Yes"/>
    <x v="2"/>
    <x v="0"/>
    <x v="5"/>
    <s v="No"/>
    <s v="No"/>
    <x v="1"/>
    <s v="Networking"/>
    <n v="4"/>
    <x v="6"/>
    <s v="Relationship"/>
    <x v="1"/>
    <s v="Bachelor"/>
    <x v="0"/>
    <n v="2.65"/>
    <s v="No"/>
    <n v="3.79"/>
    <n v="138"/>
    <n v="40000"/>
    <x v="1"/>
    <x v="0"/>
    <n v="58"/>
  </r>
  <r>
    <x v="1"/>
    <x v="1"/>
    <n v="21"/>
    <n v="2020"/>
    <x v="0"/>
    <n v="9"/>
    <x v="1"/>
    <s v="No"/>
    <x v="0"/>
    <n v="2"/>
    <x v="1"/>
    <x v="0"/>
    <s v="Yes"/>
    <x v="1"/>
    <x v="2"/>
    <x v="38"/>
    <s v="No"/>
    <s v="No"/>
    <x v="1"/>
    <s v="Artificial Intelligence"/>
    <n v="2"/>
    <x v="0"/>
    <s v="Single"/>
    <x v="0"/>
    <s v="Bachelor"/>
    <x v="0"/>
    <n v="1.88"/>
    <s v="No"/>
    <n v="2.92"/>
    <n v="124"/>
    <n v="42000"/>
    <x v="0"/>
    <x v="0"/>
    <n v="33.400000000000006"/>
  </r>
  <r>
    <x v="3"/>
    <x v="1"/>
    <n v="21"/>
    <n v="2021"/>
    <x v="0"/>
    <n v="6"/>
    <x v="0"/>
    <s v="No"/>
    <x v="2"/>
    <n v="1"/>
    <x v="0"/>
    <x v="0"/>
    <s v="Yes"/>
    <x v="1"/>
    <x v="2"/>
    <x v="28"/>
    <s v="Yes"/>
    <s v="No"/>
    <x v="0"/>
    <s v="Software Development"/>
    <n v="1"/>
    <x v="7"/>
    <s v="Married"/>
    <x v="0"/>
    <s v="Family"/>
    <x v="0"/>
    <n v="2.77"/>
    <s v="No"/>
    <n v="3.8"/>
    <n v="77"/>
    <n v="42000"/>
    <x v="1"/>
    <x v="0"/>
    <n v="40.200000000000003"/>
  </r>
  <r>
    <x v="2"/>
    <x v="0"/>
    <n v="20"/>
    <n v="2020"/>
    <x v="0"/>
    <n v="5"/>
    <x v="1"/>
    <s v="No"/>
    <x v="5"/>
    <n v="2"/>
    <x v="1"/>
    <x v="0"/>
    <s v="Yes"/>
    <x v="5"/>
    <x v="0"/>
    <x v="0"/>
    <s v="No"/>
    <s v="No"/>
    <x v="1"/>
    <s v="Machine Learning"/>
    <n v="2"/>
    <x v="2"/>
    <s v="Single"/>
    <x v="1"/>
    <s v="Bachelor"/>
    <x v="0"/>
    <n v="1.98"/>
    <s v="No"/>
    <n v="2.97"/>
    <n v="66"/>
    <n v="45000"/>
    <x v="0"/>
    <x v="0"/>
    <n v="54"/>
  </r>
  <r>
    <x v="3"/>
    <x v="0"/>
    <n v="22"/>
    <n v="2021"/>
    <x v="0"/>
    <n v="5"/>
    <x v="1"/>
    <s v="No"/>
    <x v="2"/>
    <n v="1"/>
    <x v="1"/>
    <x v="0"/>
    <s v="Yes"/>
    <x v="1"/>
    <x v="1"/>
    <x v="54"/>
    <s v="No"/>
    <s v="No"/>
    <x v="0"/>
    <s v="Networking"/>
    <n v="4"/>
    <x v="6"/>
    <s v="Relationship"/>
    <x v="1"/>
    <s v="Bachelor"/>
    <x v="0"/>
    <n v="1.81"/>
    <s v="No"/>
    <n v="2.88"/>
    <n v="72"/>
    <n v="45000"/>
    <x v="0"/>
    <x v="0"/>
    <n v="27.200000000000003"/>
  </r>
  <r>
    <x v="1"/>
    <x v="1"/>
    <n v="20"/>
    <n v="2020"/>
    <x v="0"/>
    <n v="9"/>
    <x v="1"/>
    <s v="No"/>
    <x v="2"/>
    <n v="3"/>
    <x v="0"/>
    <x v="0"/>
    <s v="Yes"/>
    <x v="1"/>
    <x v="2"/>
    <x v="55"/>
    <s v="No"/>
    <s v="No"/>
    <x v="0"/>
    <s v="Networking"/>
    <n v="1"/>
    <x v="6"/>
    <s v="Relationship"/>
    <x v="1"/>
    <s v="Bachelor"/>
    <x v="0"/>
    <n v="2.87"/>
    <s v="No"/>
    <n v="3.9"/>
    <n v="125"/>
    <n v="46000"/>
    <x v="1"/>
    <x v="0"/>
    <n v="31"/>
  </r>
  <r>
    <x v="3"/>
    <x v="0"/>
    <n v="20"/>
    <n v="2021"/>
    <x v="0"/>
    <n v="4"/>
    <x v="1"/>
    <s v="No"/>
    <x v="2"/>
    <n v="2"/>
    <x v="0"/>
    <x v="0"/>
    <s v="Yes"/>
    <x v="4"/>
    <x v="0"/>
    <x v="5"/>
    <s v="No"/>
    <s v="No"/>
    <x v="0"/>
    <s v="Networking"/>
    <n v="8"/>
    <x v="2"/>
    <s v="Single"/>
    <x v="1"/>
    <s v="Family"/>
    <x v="0"/>
    <n v="1.76"/>
    <s v="No"/>
    <n v="2.67"/>
    <n v="27"/>
    <n v="46000"/>
    <x v="0"/>
    <x v="0"/>
    <n v="70"/>
  </r>
  <r>
    <x v="3"/>
    <x v="1"/>
    <n v="21"/>
    <n v="2021"/>
    <x v="0"/>
    <n v="7"/>
    <x v="1"/>
    <s v="No"/>
    <x v="0"/>
    <n v="2"/>
    <x v="0"/>
    <x v="0"/>
    <s v="Yes"/>
    <x v="2"/>
    <x v="0"/>
    <x v="56"/>
    <s v="No"/>
    <s v="No"/>
    <x v="1"/>
    <s v="Artificial Intelligence"/>
    <n v="2"/>
    <x v="0"/>
    <s v="Single"/>
    <x v="0"/>
    <s v="Bachelor"/>
    <x v="0"/>
    <n v="2.34"/>
    <s v="No"/>
    <n v="3.4"/>
    <n v="109"/>
    <n v="47000"/>
    <x v="0"/>
    <x v="0"/>
    <n v="27.8"/>
  </r>
  <r>
    <x v="1"/>
    <x v="1"/>
    <n v="20"/>
    <n v="2019"/>
    <x v="0"/>
    <n v="9"/>
    <x v="1"/>
    <s v="No"/>
    <x v="3"/>
    <n v="2"/>
    <x v="0"/>
    <x v="0"/>
    <s v="Yes"/>
    <x v="0"/>
    <x v="0"/>
    <x v="5"/>
    <s v="No"/>
    <s v="No"/>
    <x v="0"/>
    <s v="Artificial Intelligence"/>
    <n v="1"/>
    <x v="6"/>
    <s v="Single"/>
    <x v="1"/>
    <s v="Bachelor"/>
    <x v="0"/>
    <n v="2.0699999999999998"/>
    <s v="No"/>
    <n v="3.28"/>
    <n v="132"/>
    <n v="48000"/>
    <x v="0"/>
    <x v="0"/>
    <n v="58"/>
  </r>
  <r>
    <x v="2"/>
    <x v="0"/>
    <n v="23"/>
    <n v="2019"/>
    <x v="0"/>
    <n v="10"/>
    <x v="1"/>
    <s v="No"/>
    <x v="2"/>
    <n v="3"/>
    <x v="1"/>
    <x v="0"/>
    <s v="Yes"/>
    <x v="2"/>
    <x v="0"/>
    <x v="44"/>
    <s v="No"/>
    <s v="No"/>
    <x v="1"/>
    <s v="Networking"/>
    <n v="4"/>
    <x v="6"/>
    <s v="Relationship"/>
    <x v="1"/>
    <s v="Family"/>
    <x v="1"/>
    <n v="2.4500000000000002"/>
    <s v="No"/>
    <n v="3.51"/>
    <n v="132"/>
    <n v="48000"/>
    <x v="1"/>
    <x v="0"/>
    <n v="53.6"/>
  </r>
  <r>
    <x v="2"/>
    <x v="0"/>
    <n v="20"/>
    <n v="2020"/>
    <x v="0"/>
    <n v="11"/>
    <x v="1"/>
    <s v="Yes"/>
    <x v="3"/>
    <n v="1"/>
    <x v="0"/>
    <x v="0"/>
    <s v="Yes"/>
    <x v="1"/>
    <x v="0"/>
    <x v="36"/>
    <s v="Yes"/>
    <s v="No"/>
    <x v="0"/>
    <s v="Networking"/>
    <n v="2"/>
    <x v="6"/>
    <s v="Single"/>
    <x v="1"/>
    <s v="Bachelor"/>
    <x v="0"/>
    <n v="2.66"/>
    <s v="No"/>
    <n v="3.79"/>
    <n v="135"/>
    <n v="48000"/>
    <x v="1"/>
    <x v="0"/>
    <n v="48.2"/>
  </r>
  <r>
    <x v="2"/>
    <x v="1"/>
    <n v="23"/>
    <n v="2019"/>
    <x v="0"/>
    <n v="11"/>
    <x v="0"/>
    <s v="No"/>
    <x v="4"/>
    <n v="3"/>
    <x v="0"/>
    <x v="0"/>
    <s v="Yes"/>
    <x v="2"/>
    <x v="0"/>
    <x v="5"/>
    <s v="No"/>
    <s v="No"/>
    <x v="1"/>
    <s v="Cyber security"/>
    <n v="4"/>
    <x v="0"/>
    <s v="Relationship"/>
    <x v="1"/>
    <s v="Family"/>
    <x v="0"/>
    <n v="2.77"/>
    <s v="No"/>
    <n v="3.85"/>
    <n v="144"/>
    <n v="49000"/>
    <x v="1"/>
    <x v="0"/>
    <n v="70"/>
  </r>
  <r>
    <x v="3"/>
    <x v="1"/>
    <n v="21"/>
    <n v="2021"/>
    <x v="0"/>
    <n v="6"/>
    <x v="1"/>
    <s v="No"/>
    <x v="3"/>
    <n v="3"/>
    <x v="1"/>
    <x v="0"/>
    <s v="Yes"/>
    <x v="1"/>
    <x v="1"/>
    <x v="5"/>
    <s v="Yes"/>
    <s v="No"/>
    <x v="1"/>
    <s v="Networking"/>
    <n v="2"/>
    <x v="6"/>
    <s v="Single"/>
    <x v="1"/>
    <s v="Family"/>
    <x v="0"/>
    <n v="2.63"/>
    <s v="No"/>
    <n v="3.7"/>
    <n v="75"/>
    <n v="49000"/>
    <x v="1"/>
    <x v="0"/>
    <n v="61"/>
  </r>
  <r>
    <x v="2"/>
    <x v="0"/>
    <n v="23"/>
    <n v="2018"/>
    <x v="0"/>
    <n v="8"/>
    <x v="0"/>
    <s v="No"/>
    <x v="0"/>
    <n v="3"/>
    <x v="1"/>
    <x v="0"/>
    <s v="Yes"/>
    <x v="2"/>
    <x v="2"/>
    <x v="2"/>
    <s v="No"/>
    <s v="No"/>
    <x v="1"/>
    <s v="Cyber security"/>
    <n v="2"/>
    <x v="7"/>
    <s v="Relationship"/>
    <x v="0"/>
    <s v="Family"/>
    <x v="0"/>
    <n v="2.81"/>
    <s v="No"/>
    <n v="3.79"/>
    <n v="135"/>
    <n v="50000"/>
    <x v="1"/>
    <x v="0"/>
    <n v="47"/>
  </r>
  <r>
    <x v="1"/>
    <x v="1"/>
    <n v="21"/>
    <n v="2019"/>
    <x v="0"/>
    <n v="6"/>
    <x v="1"/>
    <s v="No"/>
    <x v="2"/>
    <n v="1"/>
    <x v="0"/>
    <x v="0"/>
    <s v="Yes"/>
    <x v="1"/>
    <x v="0"/>
    <x v="5"/>
    <s v="No"/>
    <s v="No"/>
    <x v="0"/>
    <s v="Software Development"/>
    <n v="1"/>
    <x v="0"/>
    <s v="Single"/>
    <x v="1"/>
    <s v="Family"/>
    <x v="0"/>
    <n v="2.44"/>
    <s v="No"/>
    <n v="3.44"/>
    <n v="56"/>
    <n v="50000"/>
    <x v="0"/>
    <x v="0"/>
    <n v="49"/>
  </r>
  <r>
    <x v="1"/>
    <x v="0"/>
    <n v="23"/>
    <n v="2019"/>
    <x v="0"/>
    <n v="7"/>
    <x v="1"/>
    <s v="No"/>
    <x v="1"/>
    <n v="1"/>
    <x v="1"/>
    <x v="0"/>
    <s v="Yes"/>
    <x v="0"/>
    <x v="2"/>
    <x v="7"/>
    <s v="No"/>
    <s v="No"/>
    <x v="0"/>
    <s v="Cyber security"/>
    <n v="5"/>
    <x v="6"/>
    <s v="Single"/>
    <x v="0"/>
    <s v="Family"/>
    <x v="0"/>
    <n v="2.5"/>
    <s v="No"/>
    <n v="3.22"/>
    <n v="66"/>
    <n v="50000"/>
    <x v="0"/>
    <x v="0"/>
    <n v="46"/>
  </r>
  <r>
    <x v="1"/>
    <x v="1"/>
    <n v="21"/>
    <n v="2020"/>
    <x v="0"/>
    <n v="7"/>
    <x v="1"/>
    <s v="No"/>
    <x v="2"/>
    <n v="3"/>
    <x v="0"/>
    <x v="0"/>
    <s v="Yes"/>
    <x v="5"/>
    <x v="2"/>
    <x v="5"/>
    <s v="No"/>
    <s v="No"/>
    <x v="0"/>
    <s v="Software Development"/>
    <n v="1"/>
    <x v="7"/>
    <s v="Relationship"/>
    <x v="0"/>
    <s v="Family"/>
    <x v="0"/>
    <n v="2.5499999999999998"/>
    <s v="No"/>
    <n v="3.8"/>
    <n v="112"/>
    <n v="50000"/>
    <x v="1"/>
    <x v="0"/>
    <n v="49"/>
  </r>
  <r>
    <x v="3"/>
    <x v="1"/>
    <n v="20"/>
    <n v="2021"/>
    <x v="0"/>
    <n v="5"/>
    <x v="1"/>
    <s v="No"/>
    <x v="0"/>
    <n v="2"/>
    <x v="0"/>
    <x v="0"/>
    <s v="Yes"/>
    <x v="0"/>
    <x v="1"/>
    <x v="5"/>
    <s v="No"/>
    <s v="No"/>
    <x v="0"/>
    <s v="Software Development"/>
    <n v="2"/>
    <x v="7"/>
    <s v="Single"/>
    <x v="1"/>
    <s v="Family"/>
    <x v="0"/>
    <n v="2.2200000000000002"/>
    <s v="No"/>
    <n v="3.35"/>
    <n v="79"/>
    <n v="50000"/>
    <x v="0"/>
    <x v="0"/>
    <n v="55"/>
  </r>
  <r>
    <x v="1"/>
    <x v="1"/>
    <n v="20"/>
    <n v="2020"/>
    <x v="0"/>
    <n v="9"/>
    <x v="1"/>
    <s v="No"/>
    <x v="0"/>
    <n v="3"/>
    <x v="0"/>
    <x v="0"/>
    <s v="Yes"/>
    <x v="1"/>
    <x v="1"/>
    <x v="5"/>
    <s v="No"/>
    <s v="No"/>
    <x v="0"/>
    <s v="Software Development"/>
    <n v="2"/>
    <x v="2"/>
    <s v="Single"/>
    <x v="0"/>
    <s v="Family"/>
    <x v="0"/>
    <n v="2.56"/>
    <s v="No"/>
    <n v="3.64"/>
    <n v="108"/>
    <n v="53000"/>
    <x v="1"/>
    <x v="0"/>
    <n v="55"/>
  </r>
  <r>
    <x v="2"/>
    <x v="1"/>
    <n v="23"/>
    <n v="2019"/>
    <x v="0"/>
    <n v="8"/>
    <x v="1"/>
    <s v="No"/>
    <x v="0"/>
    <n v="2"/>
    <x v="0"/>
    <x v="0"/>
    <s v="Yes"/>
    <x v="6"/>
    <x v="0"/>
    <x v="5"/>
    <s v="No"/>
    <s v="No"/>
    <x v="1"/>
    <s v="Software Development"/>
    <n v="2"/>
    <x v="2"/>
    <s v="Single"/>
    <x v="1"/>
    <s v="Family"/>
    <x v="0"/>
    <n v="1.99"/>
    <s v="No"/>
    <n v="3"/>
    <n v="121"/>
    <n v="55000"/>
    <x v="0"/>
    <x v="0"/>
    <n v="55"/>
  </r>
  <r>
    <x v="2"/>
    <x v="1"/>
    <n v="24"/>
    <n v="2019"/>
    <x v="0"/>
    <n v="11"/>
    <x v="1"/>
    <s v="No"/>
    <x v="0"/>
    <n v="2"/>
    <x v="0"/>
    <x v="0"/>
    <s v="Yes"/>
    <x v="2"/>
    <x v="0"/>
    <x v="40"/>
    <s v="No"/>
    <s v="No"/>
    <x v="0"/>
    <s v="Networking"/>
    <n v="1"/>
    <x v="6"/>
    <s v="Married"/>
    <x v="1"/>
    <s v="Family"/>
    <x v="0"/>
    <n v="1.56"/>
    <s v="No"/>
    <n v="2.62"/>
    <n v="143"/>
    <n v="55000"/>
    <x v="0"/>
    <x v="0"/>
    <n v="25.6"/>
  </r>
  <r>
    <x v="2"/>
    <x v="1"/>
    <n v="21"/>
    <n v="2019"/>
    <x v="0"/>
    <n v="11"/>
    <x v="1"/>
    <s v="No"/>
    <x v="5"/>
    <n v="3"/>
    <x v="0"/>
    <x v="0"/>
    <s v="Yes"/>
    <x v="2"/>
    <x v="2"/>
    <x v="45"/>
    <s v="No"/>
    <s v="No"/>
    <x v="0"/>
    <s v="Artificial Intelligence"/>
    <n v="2"/>
    <x v="0"/>
    <s v="Relationship"/>
    <x v="1"/>
    <s v="Bachelor"/>
    <x v="0"/>
    <n v="2.67"/>
    <s v="No"/>
    <n v="3.77"/>
    <n v="143"/>
    <n v="55000"/>
    <x v="1"/>
    <x v="0"/>
    <n v="49.6"/>
  </r>
  <r>
    <x v="2"/>
    <x v="1"/>
    <n v="20"/>
    <n v="2020"/>
    <x v="0"/>
    <n v="9"/>
    <x v="1"/>
    <s v="No"/>
    <x v="5"/>
    <n v="2"/>
    <x v="0"/>
    <x v="0"/>
    <s v="No"/>
    <x v="5"/>
    <x v="2"/>
    <x v="5"/>
    <s v="No"/>
    <s v="No"/>
    <x v="1"/>
    <s v="Artificial Intelligence"/>
    <n v="2"/>
    <x v="2"/>
    <s v="Single"/>
    <x v="0"/>
    <s v="Family"/>
    <x v="0"/>
    <n v="2.31"/>
    <s v="No"/>
    <n v="3.44"/>
    <n v="138"/>
    <n v="55000"/>
    <x v="0"/>
    <x v="0"/>
    <n v="58"/>
  </r>
  <r>
    <x v="2"/>
    <x v="0"/>
    <n v="24"/>
    <n v="2019"/>
    <x v="0"/>
    <n v="11"/>
    <x v="1"/>
    <s v="No"/>
    <x v="2"/>
    <n v="2"/>
    <x v="0"/>
    <x v="0"/>
    <s v="Yes"/>
    <x v="1"/>
    <x v="0"/>
    <x v="42"/>
    <s v="Yes"/>
    <s v="No"/>
    <x v="0"/>
    <s v="Networking"/>
    <n v="4"/>
    <x v="6"/>
    <s v="Married"/>
    <x v="0"/>
    <s v="Family"/>
    <x v="0"/>
    <n v="1.26"/>
    <s v="No"/>
    <n v="2.37"/>
    <n v="143"/>
    <n v="56000"/>
    <x v="2"/>
    <x v="0"/>
    <n v="48.400000000000006"/>
  </r>
  <r>
    <x v="4"/>
    <x v="1"/>
    <n v="25"/>
    <n v="2018"/>
    <x v="0"/>
    <n v="11"/>
    <x v="1"/>
    <s v="No"/>
    <x v="1"/>
    <n v="2"/>
    <x v="1"/>
    <x v="0"/>
    <s v="Yes"/>
    <x v="4"/>
    <x v="1"/>
    <x v="57"/>
    <s v="No"/>
    <s v="No"/>
    <x v="0"/>
    <s v="Networking"/>
    <n v="4"/>
    <x v="6"/>
    <s v="Single"/>
    <x v="0"/>
    <s v="Family"/>
    <x v="0"/>
    <n v="1.55"/>
    <s v="No"/>
    <n v="2.78"/>
    <n v="143"/>
    <n v="57000"/>
    <x v="0"/>
    <x v="0"/>
    <n v="41.400000000000006"/>
  </r>
  <r>
    <x v="1"/>
    <x v="1"/>
    <n v="20"/>
    <n v="2020"/>
    <x v="0"/>
    <n v="9"/>
    <x v="1"/>
    <s v="No"/>
    <x v="2"/>
    <n v="3"/>
    <x v="0"/>
    <x v="0"/>
    <s v="Yes"/>
    <x v="2"/>
    <x v="2"/>
    <x v="5"/>
    <s v="Yes"/>
    <s v="No"/>
    <x v="1"/>
    <s v="Software Development"/>
    <n v="4"/>
    <x v="7"/>
    <s v="Relationship"/>
    <x v="0"/>
    <s v="Bachelor"/>
    <x v="0"/>
    <n v="2.64"/>
    <s v="No"/>
    <n v="3.71"/>
    <n v="129"/>
    <n v="59000"/>
    <x v="1"/>
    <x v="0"/>
    <n v="58"/>
  </r>
  <r>
    <x v="1"/>
    <x v="0"/>
    <n v="20"/>
    <n v="2020"/>
    <x v="0"/>
    <n v="10"/>
    <x v="1"/>
    <s v="No"/>
    <x v="1"/>
    <n v="2"/>
    <x v="0"/>
    <x v="0"/>
    <s v="Yes"/>
    <x v="2"/>
    <x v="2"/>
    <x v="5"/>
    <s v="Yes"/>
    <s v="No"/>
    <x v="1"/>
    <s v="Software Development"/>
    <n v="2"/>
    <x v="7"/>
    <s v="Relationship"/>
    <x v="0"/>
    <s v="Bachelor"/>
    <x v="0"/>
    <n v="2.76"/>
    <s v="No"/>
    <n v="3.81"/>
    <n v="134"/>
    <n v="59000"/>
    <x v="1"/>
    <x v="0"/>
    <n v="49"/>
  </r>
  <r>
    <x v="2"/>
    <x v="0"/>
    <n v="25"/>
    <n v="2018"/>
    <x v="0"/>
    <n v="8"/>
    <x v="1"/>
    <s v="No"/>
    <x v="5"/>
    <n v="2"/>
    <x v="0"/>
    <x v="0"/>
    <s v="Yes"/>
    <x v="6"/>
    <x v="1"/>
    <x v="3"/>
    <s v="No"/>
    <s v="No"/>
    <x v="1"/>
    <s v="Cyber security"/>
    <n v="1"/>
    <x v="0"/>
    <s v="Single"/>
    <x v="0"/>
    <s v="Bachelor"/>
    <x v="0"/>
    <n v="1.62"/>
    <s v="No"/>
    <n v="2.4500000000000002"/>
    <n v="99"/>
    <n v="60000"/>
    <x v="2"/>
    <x v="0"/>
    <n v="50.2"/>
  </r>
  <r>
    <x v="2"/>
    <x v="1"/>
    <n v="23"/>
    <n v="2019"/>
    <x v="0"/>
    <n v="11"/>
    <x v="0"/>
    <s v="No"/>
    <x v="2"/>
    <n v="2"/>
    <x v="1"/>
    <x v="0"/>
    <s v="Yes"/>
    <x v="4"/>
    <x v="1"/>
    <x v="2"/>
    <s v="No"/>
    <s v="No"/>
    <x v="1"/>
    <s v="Networking"/>
    <n v="2"/>
    <x v="2"/>
    <s v="Single"/>
    <x v="0"/>
    <s v="Family"/>
    <x v="0"/>
    <n v="2.88"/>
    <s v="No"/>
    <n v="3.6"/>
    <n v="109"/>
    <n v="60000"/>
    <x v="1"/>
    <x v="0"/>
    <n v="44"/>
  </r>
  <r>
    <x v="1"/>
    <x v="1"/>
    <n v="23"/>
    <n v="2019"/>
    <x v="0"/>
    <n v="5"/>
    <x v="1"/>
    <s v="No"/>
    <x v="0"/>
    <n v="2"/>
    <x v="0"/>
    <x v="0"/>
    <s v="Yes"/>
    <x v="5"/>
    <x v="0"/>
    <x v="0"/>
    <s v="Yes"/>
    <s v="No"/>
    <x v="0"/>
    <s v="Software Development"/>
    <n v="4"/>
    <x v="2"/>
    <s v="Relationship"/>
    <x v="0"/>
    <s v="Family"/>
    <x v="0"/>
    <n v="2.61"/>
    <s v="No"/>
    <n v="3.57"/>
    <n v="130"/>
    <n v="60000"/>
    <x v="1"/>
    <x v="0"/>
    <n v="57"/>
  </r>
  <r>
    <x v="1"/>
    <x v="1"/>
    <n v="23"/>
    <n v="2019"/>
    <x v="0"/>
    <n v="7"/>
    <x v="0"/>
    <s v="No"/>
    <x v="1"/>
    <n v="2"/>
    <x v="0"/>
    <x v="0"/>
    <s v="Yes"/>
    <x v="2"/>
    <x v="0"/>
    <x v="5"/>
    <s v="No"/>
    <s v="No"/>
    <x v="0"/>
    <s v="Networking"/>
    <n v="2"/>
    <x v="3"/>
    <s v="Single"/>
    <x v="0"/>
    <s v="Family"/>
    <x v="0"/>
    <n v="2.85"/>
    <s v="No"/>
    <n v="3.79"/>
    <n v="66"/>
    <n v="60000"/>
    <x v="1"/>
    <x v="0"/>
    <n v="49"/>
  </r>
  <r>
    <x v="4"/>
    <x v="0"/>
    <n v="23"/>
    <n v="2019"/>
    <x v="0"/>
    <n v="12"/>
    <x v="1"/>
    <s v="No"/>
    <x v="3"/>
    <n v="2"/>
    <x v="0"/>
    <x v="0"/>
    <s v="No"/>
    <x v="9"/>
    <x v="2"/>
    <x v="5"/>
    <s v="No"/>
    <s v="No"/>
    <x v="1"/>
    <s v="Networking"/>
    <n v="1"/>
    <x v="4"/>
    <s v="Single"/>
    <x v="1"/>
    <s v="Family"/>
    <x v="0"/>
    <n v="2.19"/>
    <s v="No"/>
    <n v="3.7"/>
    <n v="111"/>
    <n v="60000"/>
    <x v="1"/>
    <x v="0"/>
    <n v="58"/>
  </r>
  <r>
    <x v="1"/>
    <x v="1"/>
    <n v="22"/>
    <n v="2019"/>
    <x v="0"/>
    <n v="7"/>
    <x v="1"/>
    <s v="No"/>
    <x v="2"/>
    <n v="2"/>
    <x v="0"/>
    <x v="0"/>
    <s v="Yes"/>
    <x v="4"/>
    <x v="0"/>
    <x v="23"/>
    <s v="Yes"/>
    <s v="No"/>
    <x v="0"/>
    <s v="Networking"/>
    <n v="2"/>
    <x v="2"/>
    <s v="Single"/>
    <x v="0"/>
    <s v="Bachelor"/>
    <x v="0"/>
    <n v="1.9"/>
    <s v="No"/>
    <n v="2.81"/>
    <n v="97"/>
    <n v="60000"/>
    <x v="0"/>
    <x v="0"/>
    <n v="36"/>
  </r>
  <r>
    <x v="2"/>
    <x v="1"/>
    <n v="21"/>
    <n v="2019"/>
    <x v="0"/>
    <n v="8"/>
    <x v="1"/>
    <s v="No"/>
    <x v="3"/>
    <n v="2"/>
    <x v="1"/>
    <x v="0"/>
    <s v="Yes"/>
    <x v="6"/>
    <x v="2"/>
    <x v="11"/>
    <s v="No"/>
    <s v="No"/>
    <x v="1"/>
    <s v="Networking"/>
    <n v="3"/>
    <x v="6"/>
    <s v="Single"/>
    <x v="0"/>
    <s v="Bachelor"/>
    <x v="1"/>
    <n v="1.89"/>
    <s v="No"/>
    <n v="3.08"/>
    <n v="117"/>
    <n v="60000"/>
    <x v="0"/>
    <x v="0"/>
    <n v="54"/>
  </r>
  <r>
    <x v="1"/>
    <x v="1"/>
    <n v="21"/>
    <n v="2019"/>
    <x v="0"/>
    <n v="10"/>
    <x v="1"/>
    <s v="No"/>
    <x v="1"/>
    <n v="3"/>
    <x v="0"/>
    <x v="0"/>
    <s v="Yes"/>
    <x v="9"/>
    <x v="2"/>
    <x v="5"/>
    <s v="No"/>
    <s v="No"/>
    <x v="0"/>
    <s v="Software Development"/>
    <n v="1"/>
    <x v="2"/>
    <s v="Relationship"/>
    <x v="1"/>
    <s v="Bachelor"/>
    <x v="0"/>
    <n v="2.77"/>
    <s v="No"/>
    <n v="3.81"/>
    <n v="136"/>
    <n v="60000"/>
    <x v="1"/>
    <x v="0"/>
    <n v="46"/>
  </r>
  <r>
    <x v="1"/>
    <x v="0"/>
    <n v="22"/>
    <n v="2020"/>
    <x v="0"/>
    <n v="6"/>
    <x v="1"/>
    <s v="No"/>
    <x v="2"/>
    <n v="1"/>
    <x v="0"/>
    <x v="0"/>
    <s v="Yes"/>
    <x v="7"/>
    <x v="0"/>
    <x v="4"/>
    <s v="No"/>
    <s v="No"/>
    <x v="1"/>
    <s v="Software Development"/>
    <n v="1"/>
    <x v="0"/>
    <s v="Single"/>
    <x v="0"/>
    <s v="Family"/>
    <x v="1"/>
    <n v="1.4"/>
    <s v="No"/>
    <n v="2.95"/>
    <n v="61"/>
    <n v="60000"/>
    <x v="0"/>
    <x v="0"/>
    <n v="47"/>
  </r>
  <r>
    <x v="1"/>
    <x v="1"/>
    <n v="20"/>
    <n v="2020"/>
    <x v="0"/>
    <n v="6"/>
    <x v="0"/>
    <s v="No"/>
    <x v="3"/>
    <n v="3"/>
    <x v="0"/>
    <x v="0"/>
    <s v="Yes"/>
    <x v="4"/>
    <x v="2"/>
    <x v="14"/>
    <s v="No"/>
    <s v="No"/>
    <x v="1"/>
    <s v="Machine Learning"/>
    <n v="1"/>
    <x v="7"/>
    <s v="Single"/>
    <x v="1"/>
    <s v="Bachelor"/>
    <x v="0"/>
    <n v="1.76"/>
    <s v="No"/>
    <n v="2.87"/>
    <n v="68"/>
    <n v="60000"/>
    <x v="0"/>
    <x v="0"/>
    <n v="38"/>
  </r>
  <r>
    <x v="1"/>
    <x v="1"/>
    <n v="20"/>
    <n v="2021"/>
    <x v="0"/>
    <n v="7"/>
    <x v="0"/>
    <s v="No"/>
    <x v="3"/>
    <n v="3"/>
    <x v="0"/>
    <x v="0"/>
    <s v="Yes"/>
    <x v="2"/>
    <x v="2"/>
    <x v="5"/>
    <s v="No"/>
    <s v="No"/>
    <x v="0"/>
    <s v="Networking"/>
    <n v="1"/>
    <x v="6"/>
    <s v="Married"/>
    <x v="1"/>
    <s v="Family"/>
    <x v="0"/>
    <n v="2.66"/>
    <s v="No"/>
    <n v="3.83"/>
    <n v="102"/>
    <n v="60000"/>
    <x v="1"/>
    <x v="0"/>
    <n v="58"/>
  </r>
  <r>
    <x v="1"/>
    <x v="0"/>
    <n v="20"/>
    <n v="2020"/>
    <x v="0"/>
    <n v="9"/>
    <x v="1"/>
    <s v="No"/>
    <x v="2"/>
    <n v="2"/>
    <x v="0"/>
    <x v="0"/>
    <s v="Yes"/>
    <x v="2"/>
    <x v="0"/>
    <x v="46"/>
    <s v="Yes"/>
    <s v="No"/>
    <x v="0"/>
    <s v="Software Development"/>
    <n v="1"/>
    <x v="7"/>
    <s v="Single"/>
    <x v="1"/>
    <s v="Family"/>
    <x v="0"/>
    <n v="1.56"/>
    <s v="No"/>
    <n v="2.62"/>
    <n v="107"/>
    <n v="62000"/>
    <x v="0"/>
    <x v="0"/>
    <n v="23"/>
  </r>
  <r>
    <x v="3"/>
    <x v="1"/>
    <n v="20"/>
    <n v="2021"/>
    <x v="0"/>
    <n v="5"/>
    <x v="1"/>
    <s v="No"/>
    <x v="0"/>
    <n v="2"/>
    <x v="0"/>
    <x v="0"/>
    <s v="Yes"/>
    <x v="1"/>
    <x v="0"/>
    <x v="5"/>
    <s v="No"/>
    <s v="No"/>
    <x v="0"/>
    <s v="Networking"/>
    <n v="4"/>
    <x v="6"/>
    <s v="Married"/>
    <x v="1"/>
    <s v="Family"/>
    <x v="0"/>
    <n v="2.87"/>
    <s v="No"/>
    <n v="3.91"/>
    <n v="61"/>
    <n v="62000"/>
    <x v="1"/>
    <x v="0"/>
    <n v="61"/>
  </r>
  <r>
    <x v="4"/>
    <x v="0"/>
    <n v="24"/>
    <n v="2019"/>
    <x v="0"/>
    <n v="10"/>
    <x v="0"/>
    <s v="No"/>
    <x v="5"/>
    <n v="1"/>
    <x v="0"/>
    <x v="0"/>
    <s v="Yes"/>
    <x v="6"/>
    <x v="0"/>
    <x v="17"/>
    <s v="Yes"/>
    <s v="No"/>
    <x v="1"/>
    <s v="Cyber security"/>
    <n v="3"/>
    <x v="0"/>
    <s v="Single"/>
    <x v="1"/>
    <s v="Bachelor"/>
    <x v="0"/>
    <n v="2.09"/>
    <s v="No"/>
    <n v="3.23"/>
    <n v="129"/>
    <n v="64000"/>
    <x v="0"/>
    <x v="0"/>
    <n v="55.800000000000004"/>
  </r>
  <r>
    <x v="1"/>
    <x v="1"/>
    <n v="20"/>
    <n v="2020"/>
    <x v="0"/>
    <n v="9"/>
    <x v="1"/>
    <s v="No"/>
    <x v="3"/>
    <n v="2"/>
    <x v="1"/>
    <x v="0"/>
    <s v="Yes"/>
    <x v="2"/>
    <x v="2"/>
    <x v="31"/>
    <s v="No"/>
    <s v="No"/>
    <x v="0"/>
    <s v="Artificial Intelligence"/>
    <n v="2"/>
    <x v="0"/>
    <s v="Single"/>
    <x v="0"/>
    <s v="Bachelor"/>
    <x v="0"/>
    <n v="1.56"/>
    <s v="No"/>
    <n v="2.66"/>
    <n v="120"/>
    <n v="64000"/>
    <x v="0"/>
    <x v="0"/>
    <n v="55.4"/>
  </r>
  <r>
    <x v="2"/>
    <x v="1"/>
    <n v="21"/>
    <n v="2020"/>
    <x v="0"/>
    <n v="10"/>
    <x v="0"/>
    <s v="No"/>
    <x v="7"/>
    <n v="3"/>
    <x v="0"/>
    <x v="0"/>
    <s v="Yes"/>
    <x v="1"/>
    <x v="0"/>
    <x v="5"/>
    <s v="No"/>
    <s v="No"/>
    <x v="1"/>
    <s v="Networking"/>
    <n v="2"/>
    <x v="6"/>
    <s v="Married"/>
    <x v="1"/>
    <s v="Family"/>
    <x v="1"/>
    <n v="2.78"/>
    <s v="No"/>
    <n v="3.89"/>
    <n v="138"/>
    <n v="65000"/>
    <x v="1"/>
    <x v="0"/>
    <n v="67"/>
  </r>
  <r>
    <x v="1"/>
    <x v="0"/>
    <n v="20"/>
    <n v="2020"/>
    <x v="0"/>
    <n v="9"/>
    <x v="1"/>
    <s v="No"/>
    <x v="1"/>
    <n v="1"/>
    <x v="0"/>
    <x v="0"/>
    <s v="Yes"/>
    <x v="2"/>
    <x v="0"/>
    <x v="50"/>
    <s v="No"/>
    <s v="No"/>
    <x v="0"/>
    <s v="Cyber security"/>
    <n v="2"/>
    <x v="0"/>
    <s v="Married"/>
    <x v="0"/>
    <s v="Family"/>
    <x v="0"/>
    <n v="2.4500000000000002"/>
    <s v="No"/>
    <n v="3.51"/>
    <n v="103"/>
    <n v="65000"/>
    <x v="1"/>
    <x v="0"/>
    <n v="35.799999999999997"/>
  </r>
  <r>
    <x v="3"/>
    <x v="1"/>
    <n v="19"/>
    <n v="2022"/>
    <x v="0"/>
    <n v="3"/>
    <x v="1"/>
    <s v="No"/>
    <x v="0"/>
    <n v="1"/>
    <x v="0"/>
    <x v="0"/>
    <s v="Yes"/>
    <x v="1"/>
    <x v="2"/>
    <x v="4"/>
    <s v="No"/>
    <s v="No"/>
    <x v="1"/>
    <s v="Machine Learning"/>
    <n v="1"/>
    <x v="6"/>
    <s v="Single"/>
    <x v="1"/>
    <s v="Bachelor"/>
    <x v="0"/>
    <n v="2.78"/>
    <s v="No"/>
    <n v="3.89"/>
    <n v="35"/>
    <n v="65000"/>
    <x v="1"/>
    <x v="0"/>
    <n v="50"/>
  </r>
  <r>
    <x v="4"/>
    <x v="0"/>
    <n v="24"/>
    <n v="2018"/>
    <x v="0"/>
    <n v="11"/>
    <x v="1"/>
    <s v="No"/>
    <x v="3"/>
    <n v="2"/>
    <x v="0"/>
    <x v="0"/>
    <s v="Yes"/>
    <x v="1"/>
    <x v="0"/>
    <x v="5"/>
    <s v="No"/>
    <s v="No"/>
    <x v="0"/>
    <s v="Software Development"/>
    <n v="2"/>
    <x v="2"/>
    <s v="Relationship"/>
    <x v="1"/>
    <s v="Bachelor"/>
    <x v="1"/>
    <n v="1.67"/>
    <s v="No"/>
    <n v="2.73"/>
    <n v="143"/>
    <n v="66000"/>
    <x v="0"/>
    <x v="0"/>
    <n v="61"/>
  </r>
  <r>
    <x v="2"/>
    <x v="0"/>
    <n v="22"/>
    <n v="2019"/>
    <x v="0"/>
    <n v="10"/>
    <x v="1"/>
    <s v="No"/>
    <x v="2"/>
    <n v="2"/>
    <x v="0"/>
    <x v="0"/>
    <s v="No"/>
    <x v="15"/>
    <x v="2"/>
    <x v="5"/>
    <s v="No"/>
    <s v="No"/>
    <x v="1"/>
    <s v="Software Development"/>
    <n v="4"/>
    <x v="2"/>
    <s v="Relationship"/>
    <x v="0"/>
    <s v="Bachelor"/>
    <x v="0"/>
    <n v="1.55"/>
    <s v="No"/>
    <n v="2.68"/>
    <n v="134"/>
    <n v="66000"/>
    <x v="0"/>
    <x v="0"/>
    <n v="58"/>
  </r>
  <r>
    <x v="10"/>
    <x v="1"/>
    <n v="19"/>
    <n v="2021"/>
    <x v="0"/>
    <n v="2"/>
    <x v="1"/>
    <s v="No"/>
    <x v="2"/>
    <n v="2"/>
    <x v="1"/>
    <x v="0"/>
    <s v="Yes"/>
    <x v="9"/>
    <x v="2"/>
    <x v="22"/>
    <s v="No"/>
    <s v="No"/>
    <x v="1"/>
    <s v="Machine Learning"/>
    <n v="2"/>
    <x v="2"/>
    <s v="Relationship"/>
    <x v="1"/>
    <s v="Family"/>
    <x v="0"/>
    <n v="1.87"/>
    <s v="No"/>
    <n v="2.88"/>
    <n v="35"/>
    <n v="66000"/>
    <x v="0"/>
    <x v="0"/>
    <n v="42.8"/>
  </r>
  <r>
    <x v="3"/>
    <x v="0"/>
    <n v="21"/>
    <n v="2021"/>
    <x v="0"/>
    <n v="5"/>
    <x v="1"/>
    <s v="No"/>
    <x v="5"/>
    <n v="2"/>
    <x v="0"/>
    <x v="0"/>
    <s v="Yes"/>
    <x v="2"/>
    <x v="2"/>
    <x v="9"/>
    <s v="No"/>
    <s v="No"/>
    <x v="1"/>
    <s v="Software Development"/>
    <n v="4"/>
    <x v="2"/>
    <s v="Relationship"/>
    <x v="0"/>
    <s v="Bachelor"/>
    <x v="0"/>
    <n v="1.56"/>
    <s v="No"/>
    <n v="2.63"/>
    <n v="65"/>
    <n v="66000"/>
    <x v="0"/>
    <x v="0"/>
    <n v="58"/>
  </r>
  <r>
    <x v="1"/>
    <x v="1"/>
    <n v="23"/>
    <n v="2019"/>
    <x v="0"/>
    <n v="7"/>
    <x v="1"/>
    <s v="No"/>
    <x v="2"/>
    <n v="2"/>
    <x v="1"/>
    <x v="0"/>
    <s v="Yes"/>
    <x v="5"/>
    <x v="0"/>
    <x v="5"/>
    <s v="No"/>
    <s v="No"/>
    <x v="0"/>
    <s v="Software Development"/>
    <n v="1"/>
    <x v="6"/>
    <s v="Relationship"/>
    <x v="1"/>
    <s v="Family"/>
    <x v="0"/>
    <n v="2.7"/>
    <s v="No"/>
    <n v="3.5"/>
    <n v="66"/>
    <n v="67000"/>
    <x v="1"/>
    <x v="0"/>
    <n v="49"/>
  </r>
  <r>
    <x v="1"/>
    <x v="1"/>
    <n v="20"/>
    <n v="2020"/>
    <x v="0"/>
    <n v="9"/>
    <x v="1"/>
    <s v="No"/>
    <x v="2"/>
    <n v="2"/>
    <x v="0"/>
    <x v="0"/>
    <s v="No"/>
    <x v="2"/>
    <x v="0"/>
    <x v="44"/>
    <s v="Yes"/>
    <s v="No"/>
    <x v="0"/>
    <s v="Networking"/>
    <n v="4"/>
    <x v="6"/>
    <s v="Single"/>
    <x v="1"/>
    <s v="Family"/>
    <x v="0"/>
    <n v="2.76"/>
    <s v="No"/>
    <n v="3.8"/>
    <n v="113"/>
    <n v="67000"/>
    <x v="1"/>
    <x v="0"/>
    <n v="53.6"/>
  </r>
  <r>
    <x v="1"/>
    <x v="0"/>
    <n v="22"/>
    <n v="2021"/>
    <x v="0"/>
    <n v="8"/>
    <x v="1"/>
    <s v="No"/>
    <x v="2"/>
    <n v="2"/>
    <x v="0"/>
    <x v="0"/>
    <s v="Yes"/>
    <x v="1"/>
    <x v="0"/>
    <x v="36"/>
    <s v="Yes"/>
    <s v="No"/>
    <x v="1"/>
    <s v="Cyber security"/>
    <n v="4"/>
    <x v="0"/>
    <s v="Single"/>
    <x v="0"/>
    <s v="Bachelor"/>
    <x v="0"/>
    <n v="1.45"/>
    <s v="No"/>
    <n v="2.56"/>
    <n v="88"/>
    <n v="67000"/>
    <x v="0"/>
    <x v="0"/>
    <n v="45.2"/>
  </r>
  <r>
    <x v="2"/>
    <x v="0"/>
    <n v="20"/>
    <n v="2020"/>
    <x v="0"/>
    <n v="8"/>
    <x v="1"/>
    <s v="No"/>
    <x v="3"/>
    <n v="3"/>
    <x v="1"/>
    <x v="0"/>
    <s v="Yes"/>
    <x v="5"/>
    <x v="2"/>
    <x v="0"/>
    <s v="No"/>
    <s v="No"/>
    <x v="1"/>
    <s v="Software Development"/>
    <n v="2"/>
    <x v="7"/>
    <s v="Married"/>
    <x v="0"/>
    <s v="Family"/>
    <x v="0"/>
    <n v="1.55"/>
    <s v="No"/>
    <n v="2.76"/>
    <n v="77"/>
    <n v="68000"/>
    <x v="0"/>
    <x v="0"/>
    <n v="57"/>
  </r>
  <r>
    <x v="1"/>
    <x v="0"/>
    <n v="20"/>
    <n v="2020"/>
    <x v="0"/>
    <n v="9"/>
    <x v="1"/>
    <s v="No"/>
    <x v="2"/>
    <n v="3"/>
    <x v="0"/>
    <x v="0"/>
    <s v="Yes"/>
    <x v="2"/>
    <x v="0"/>
    <x v="17"/>
    <s v="No"/>
    <s v="No"/>
    <x v="1"/>
    <s v="Networking"/>
    <n v="4"/>
    <x v="6"/>
    <s v="Single"/>
    <x v="1"/>
    <s v="Bachelor"/>
    <x v="0"/>
    <n v="2.67"/>
    <s v="No"/>
    <n v="3.73"/>
    <n v="101"/>
    <n v="68000"/>
    <x v="1"/>
    <x v="0"/>
    <n v="52.800000000000004"/>
  </r>
  <r>
    <x v="1"/>
    <x v="1"/>
    <n v="21"/>
    <n v="2020"/>
    <x v="0"/>
    <n v="9"/>
    <x v="1"/>
    <s v="No"/>
    <x v="2"/>
    <n v="2"/>
    <x v="0"/>
    <x v="0"/>
    <s v="Yes"/>
    <x v="1"/>
    <x v="2"/>
    <x v="31"/>
    <s v="No"/>
    <s v="No"/>
    <x v="0"/>
    <s v="Artificial Intelligence"/>
    <n v="1"/>
    <x v="0"/>
    <s v="Single"/>
    <x v="0"/>
    <s v="Bachelor"/>
    <x v="1"/>
    <n v="2.86"/>
    <s v="No"/>
    <n v="3.9"/>
    <n v="119"/>
    <n v="68000"/>
    <x v="1"/>
    <x v="0"/>
    <n v="43.4"/>
  </r>
  <r>
    <x v="2"/>
    <x v="1"/>
    <n v="22"/>
    <n v="2018"/>
    <x v="0"/>
    <n v="6"/>
    <x v="1"/>
    <s v="No"/>
    <x v="5"/>
    <n v="3"/>
    <x v="0"/>
    <x v="0"/>
    <s v="Yes"/>
    <x v="2"/>
    <x v="0"/>
    <x v="2"/>
    <s v="No"/>
    <s v="No"/>
    <x v="1"/>
    <s v="Cyber security"/>
    <n v="3"/>
    <x v="7"/>
    <s v="Single"/>
    <x v="1"/>
    <s v="Family"/>
    <x v="1"/>
    <n v="2.0299999999999998"/>
    <s v="No"/>
    <n v="3.25"/>
    <n v="59"/>
    <n v="70000"/>
    <x v="0"/>
    <x v="0"/>
    <n v="53"/>
  </r>
  <r>
    <x v="4"/>
    <x v="1"/>
    <n v="22"/>
    <n v="2018"/>
    <x v="0"/>
    <n v="10"/>
    <x v="1"/>
    <s v="No"/>
    <x v="5"/>
    <n v="2"/>
    <x v="0"/>
    <x v="0"/>
    <s v="Yes"/>
    <x v="6"/>
    <x v="2"/>
    <x v="4"/>
    <s v="No"/>
    <s v="No"/>
    <x v="1"/>
    <s v="Networking"/>
    <n v="2"/>
    <x v="2"/>
    <s v="Relationship"/>
    <x v="1"/>
    <s v="Family"/>
    <x v="0"/>
    <n v="2.31"/>
    <s v="No"/>
    <n v="3.65"/>
    <n v="140"/>
    <n v="70000"/>
    <x v="1"/>
    <x v="0"/>
    <n v="56"/>
  </r>
  <r>
    <x v="1"/>
    <x v="1"/>
    <n v="22"/>
    <n v="2019"/>
    <x v="0"/>
    <n v="8"/>
    <x v="0"/>
    <s v="No"/>
    <x v="5"/>
    <n v="3"/>
    <x v="0"/>
    <x v="0"/>
    <s v="No"/>
    <x v="1"/>
    <x v="2"/>
    <x v="5"/>
    <s v="No"/>
    <s v="No"/>
    <x v="1"/>
    <s v="Networking"/>
    <n v="3"/>
    <x v="6"/>
    <s v="Single"/>
    <x v="0"/>
    <s v="Bachelor"/>
    <x v="0"/>
    <n v="2.66"/>
    <s v="No"/>
    <n v="3.78"/>
    <n v="109"/>
    <n v="70000"/>
    <x v="1"/>
    <x v="0"/>
    <n v="61"/>
  </r>
  <r>
    <x v="3"/>
    <x v="1"/>
    <n v="20"/>
    <n v="2021"/>
    <x v="0"/>
    <n v="5"/>
    <x v="1"/>
    <s v="No"/>
    <x v="4"/>
    <n v="2"/>
    <x v="1"/>
    <x v="0"/>
    <s v="Yes"/>
    <x v="1"/>
    <x v="0"/>
    <x v="5"/>
    <s v="No"/>
    <s v="No"/>
    <x v="1"/>
    <s v="Software Development"/>
    <n v="2"/>
    <x v="2"/>
    <s v="Relationship"/>
    <x v="1"/>
    <s v="Family"/>
    <x v="0"/>
    <n v="2.11"/>
    <s v="No"/>
    <n v="3.26"/>
    <n v="87"/>
    <n v="70000"/>
    <x v="0"/>
    <x v="0"/>
    <n v="64"/>
  </r>
  <r>
    <x v="3"/>
    <x v="0"/>
    <n v="19"/>
    <n v="2021"/>
    <x v="0"/>
    <n v="5"/>
    <x v="1"/>
    <s v="No"/>
    <x v="0"/>
    <n v="3"/>
    <x v="0"/>
    <x v="0"/>
    <s v="Yes"/>
    <x v="1"/>
    <x v="0"/>
    <x v="5"/>
    <s v="No"/>
    <s v="No"/>
    <x v="1"/>
    <s v="Networking"/>
    <n v="4"/>
    <x v="6"/>
    <s v="Single"/>
    <x v="1"/>
    <s v="Family"/>
    <x v="0"/>
    <n v="1.67"/>
    <s v="No"/>
    <n v="2.7"/>
    <n v="77"/>
    <n v="70000"/>
    <x v="0"/>
    <x v="0"/>
    <n v="61"/>
  </r>
  <r>
    <x v="4"/>
    <x v="0"/>
    <n v="23"/>
    <n v="2019"/>
    <x v="0"/>
    <n v="11"/>
    <x v="0"/>
    <s v="No"/>
    <x v="0"/>
    <n v="2"/>
    <x v="0"/>
    <x v="0"/>
    <s v="Yes"/>
    <x v="0"/>
    <x v="2"/>
    <x v="6"/>
    <s v="No"/>
    <s v="No"/>
    <x v="0"/>
    <s v="Software Development"/>
    <n v="3"/>
    <x v="7"/>
    <s v="Single"/>
    <x v="0"/>
    <s v="Bachelor"/>
    <x v="0"/>
    <n v="2.4"/>
    <s v="No"/>
    <n v="3.44"/>
    <n v="139"/>
    <n v="71000"/>
    <x v="0"/>
    <x v="0"/>
    <n v="56.800000000000004"/>
  </r>
  <r>
    <x v="1"/>
    <x v="1"/>
    <n v="21"/>
    <n v="2020"/>
    <x v="0"/>
    <n v="3"/>
    <x v="1"/>
    <s v="No"/>
    <x v="0"/>
    <n v="2"/>
    <x v="1"/>
    <x v="0"/>
    <s v="Yes"/>
    <x v="9"/>
    <x v="1"/>
    <x v="58"/>
    <s v="Yes"/>
    <s v="No"/>
    <x v="1"/>
    <s v="Machine Learning"/>
    <n v="1"/>
    <x v="6"/>
    <s v="Single"/>
    <x v="1"/>
    <s v="Family"/>
    <x v="0"/>
    <n v="1.55"/>
    <s v="No"/>
    <n v="2.81"/>
    <n v="34"/>
    <n v="73000"/>
    <x v="0"/>
    <x v="0"/>
    <n v="24"/>
  </r>
  <r>
    <x v="3"/>
    <x v="1"/>
    <n v="20"/>
    <n v="2020"/>
    <x v="0"/>
    <n v="5"/>
    <x v="0"/>
    <s v="No"/>
    <x v="3"/>
    <n v="2"/>
    <x v="1"/>
    <x v="0"/>
    <s v="Yes"/>
    <x v="15"/>
    <x v="0"/>
    <x v="0"/>
    <s v="No"/>
    <s v="No"/>
    <x v="0"/>
    <s v="Cyber security"/>
    <n v="1"/>
    <x v="0"/>
    <s v="Single"/>
    <x v="0"/>
    <s v="Bachelor"/>
    <x v="0"/>
    <n v="2.5499999999999998"/>
    <s v="No"/>
    <n v="3.59"/>
    <n v="72"/>
    <n v="73000"/>
    <x v="1"/>
    <x v="0"/>
    <n v="54"/>
  </r>
  <r>
    <x v="1"/>
    <x v="0"/>
    <n v="20"/>
    <n v="2021"/>
    <x v="0"/>
    <n v="9"/>
    <x v="1"/>
    <s v="No"/>
    <x v="1"/>
    <n v="4"/>
    <x v="0"/>
    <x v="0"/>
    <s v="Yes"/>
    <x v="1"/>
    <x v="0"/>
    <x v="17"/>
    <s v="Yes"/>
    <s v="No"/>
    <x v="0"/>
    <s v="Software Development"/>
    <n v="4"/>
    <x v="2"/>
    <s v="Relationship"/>
    <x v="0"/>
    <s v="Family"/>
    <x v="0"/>
    <n v="2.4500000000000002"/>
    <s v="No"/>
    <n v="3.56"/>
    <n v="123"/>
    <n v="74000"/>
    <x v="1"/>
    <x v="0"/>
    <n v="49.800000000000004"/>
  </r>
  <r>
    <x v="4"/>
    <x v="0"/>
    <n v="21"/>
    <n v="2019"/>
    <x v="0"/>
    <n v="11"/>
    <x v="0"/>
    <s v="No"/>
    <x v="4"/>
    <n v="4"/>
    <x v="0"/>
    <x v="0"/>
    <s v="Yes"/>
    <x v="2"/>
    <x v="2"/>
    <x v="5"/>
    <s v="No"/>
    <s v="No"/>
    <x v="0"/>
    <s v="Software Development"/>
    <n v="3"/>
    <x v="7"/>
    <s v="Single"/>
    <x v="1"/>
    <s v="Bachelor"/>
    <x v="0"/>
    <n v="2.77"/>
    <s v="No"/>
    <n v="3.87"/>
    <n v="139"/>
    <n v="75000"/>
    <x v="1"/>
    <x v="0"/>
    <n v="67"/>
  </r>
  <r>
    <x v="1"/>
    <x v="1"/>
    <n v="20"/>
    <n v="2020"/>
    <x v="0"/>
    <n v="8"/>
    <x v="1"/>
    <s v="No"/>
    <x v="0"/>
    <n v="1"/>
    <x v="0"/>
    <x v="0"/>
    <s v="Yes"/>
    <x v="1"/>
    <x v="0"/>
    <x v="5"/>
    <s v="No"/>
    <s v="No"/>
    <x v="1"/>
    <s v="Software Development"/>
    <n v="2"/>
    <x v="7"/>
    <s v="Single"/>
    <x v="0"/>
    <s v="Bachelor"/>
    <x v="0"/>
    <n v="2.5299999999999998"/>
    <s v="No"/>
    <n v="3.6"/>
    <n v="95"/>
    <n v="75000"/>
    <x v="1"/>
    <x v="0"/>
    <n v="55"/>
  </r>
  <r>
    <x v="3"/>
    <x v="1"/>
    <n v="19"/>
    <n v="2021"/>
    <x v="0"/>
    <n v="6"/>
    <x v="1"/>
    <s v="No"/>
    <x v="0"/>
    <n v="1"/>
    <x v="1"/>
    <x v="0"/>
    <s v="Yes"/>
    <x v="1"/>
    <x v="0"/>
    <x v="59"/>
    <s v="Yes"/>
    <s v="No"/>
    <x v="0"/>
    <s v="Machine Learning"/>
    <n v="2"/>
    <x v="0"/>
    <s v="Relationship"/>
    <x v="0"/>
    <s v="Bachelor"/>
    <x v="1"/>
    <n v="1.65"/>
    <s v="No"/>
    <n v="2.71"/>
    <n v="73"/>
    <n v="75000"/>
    <x v="0"/>
    <x v="0"/>
    <n v="32.200000000000003"/>
  </r>
  <r>
    <x v="1"/>
    <x v="1"/>
    <n v="19"/>
    <n v="2020"/>
    <x v="0"/>
    <n v="4"/>
    <x v="1"/>
    <s v="No"/>
    <x v="0"/>
    <n v="1"/>
    <x v="1"/>
    <x v="0"/>
    <s v="Yes"/>
    <x v="15"/>
    <x v="1"/>
    <x v="7"/>
    <s v="No"/>
    <s v="No"/>
    <x v="1"/>
    <s v="Artificial Intelligence"/>
    <n v="3"/>
    <x v="6"/>
    <s v="Relationship"/>
    <x v="1"/>
    <s v="Bachelor"/>
    <x v="1"/>
    <n v="2.3199999999999998"/>
    <s v="No"/>
    <n v="3.68"/>
    <n v="46"/>
    <n v="77000"/>
    <x v="1"/>
    <x v="0"/>
    <n v="46"/>
  </r>
  <r>
    <x v="2"/>
    <x v="1"/>
    <n v="20"/>
    <n v="2020"/>
    <x v="0"/>
    <n v="11"/>
    <x v="1"/>
    <s v="No"/>
    <x v="1"/>
    <n v="3"/>
    <x v="0"/>
    <x v="0"/>
    <s v="Yes"/>
    <x v="2"/>
    <x v="0"/>
    <x v="42"/>
    <s v="No"/>
    <s v="No"/>
    <x v="1"/>
    <s v="Software Development"/>
    <n v="2"/>
    <x v="7"/>
    <s v="Married"/>
    <x v="0"/>
    <s v="Family"/>
    <x v="0"/>
    <n v="2.61"/>
    <s v="No"/>
    <n v="3.7"/>
    <n v="144"/>
    <n v="77000"/>
    <x v="1"/>
    <x v="0"/>
    <n v="39.400000000000006"/>
  </r>
  <r>
    <x v="2"/>
    <x v="0"/>
    <n v="20"/>
    <n v="2020"/>
    <x v="0"/>
    <n v="11"/>
    <x v="1"/>
    <s v="No"/>
    <x v="2"/>
    <n v="1"/>
    <x v="1"/>
    <x v="0"/>
    <s v="Yes"/>
    <x v="1"/>
    <x v="0"/>
    <x v="35"/>
    <s v="Yes"/>
    <s v="No"/>
    <x v="1"/>
    <s v="Software Development"/>
    <n v="4"/>
    <x v="7"/>
    <s v="Single"/>
    <x v="0"/>
    <s v="Family"/>
    <x v="0"/>
    <n v="1.55"/>
    <s v="No"/>
    <n v="2.61"/>
    <n v="143"/>
    <n v="77000"/>
    <x v="0"/>
    <x v="0"/>
    <n v="39.6"/>
  </r>
  <r>
    <x v="1"/>
    <x v="0"/>
    <n v="19"/>
    <n v="2021"/>
    <x v="0"/>
    <n v="4"/>
    <x v="1"/>
    <s v="No"/>
    <x v="5"/>
    <n v="2"/>
    <x v="1"/>
    <x v="0"/>
    <s v="Yes"/>
    <x v="7"/>
    <x v="0"/>
    <x v="5"/>
    <s v="No"/>
    <s v="No"/>
    <x v="0"/>
    <s v="Machine Learning"/>
    <n v="2"/>
    <x v="0"/>
    <s v="Single"/>
    <x v="0"/>
    <s v="Family"/>
    <x v="0"/>
    <n v="2.23"/>
    <s v="No"/>
    <n v="3.67"/>
    <n v="45"/>
    <n v="77000"/>
    <x v="1"/>
    <x v="0"/>
    <n v="58"/>
  </r>
  <r>
    <x v="0"/>
    <x v="0"/>
    <n v="25"/>
    <n v="2017"/>
    <x v="0"/>
    <n v="12"/>
    <x v="1"/>
    <s v="No"/>
    <x v="1"/>
    <n v="3"/>
    <x v="1"/>
    <x v="0"/>
    <s v="Yes"/>
    <x v="1"/>
    <x v="2"/>
    <x v="23"/>
    <s v="Yes"/>
    <s v="No"/>
    <x v="0"/>
    <s v="Software Development"/>
    <n v="3"/>
    <x v="2"/>
    <s v="Relationship"/>
    <x v="0"/>
    <s v="Bachelor"/>
    <x v="0"/>
    <n v="2.4500000000000002"/>
    <s v="No"/>
    <n v="3.34"/>
    <n v="122"/>
    <n v="78000"/>
    <x v="0"/>
    <x v="0"/>
    <n v="36"/>
  </r>
  <r>
    <x v="2"/>
    <x v="1"/>
    <n v="22"/>
    <n v="2017"/>
    <x v="0"/>
    <n v="11"/>
    <x v="1"/>
    <s v="No"/>
    <x v="1"/>
    <n v="1"/>
    <x v="1"/>
    <x v="0"/>
    <s v="Yes"/>
    <x v="1"/>
    <x v="0"/>
    <x v="0"/>
    <s v="No"/>
    <s v="No"/>
    <x v="1"/>
    <s v="Networking"/>
    <n v="1"/>
    <x v="3"/>
    <s v="Married"/>
    <x v="1"/>
    <s v="Family"/>
    <x v="1"/>
    <n v="2.11"/>
    <s v="No"/>
    <n v="3.56"/>
    <n v="132"/>
    <n v="78000"/>
    <x v="1"/>
    <x v="0"/>
    <n v="42"/>
  </r>
  <r>
    <x v="2"/>
    <x v="0"/>
    <n v="24"/>
    <n v="2019"/>
    <x v="0"/>
    <n v="10"/>
    <x v="1"/>
    <s v="No"/>
    <x v="0"/>
    <n v="2"/>
    <x v="0"/>
    <x v="0"/>
    <s v="Yes"/>
    <x v="0"/>
    <x v="0"/>
    <x v="22"/>
    <s v="No"/>
    <s v="No"/>
    <x v="1"/>
    <s v="Artificial Intelligence"/>
    <n v="1"/>
    <x v="0"/>
    <s v="Single"/>
    <x v="1"/>
    <s v="Bachelor"/>
    <x v="0"/>
    <n v="1.59"/>
    <s v="No"/>
    <n v="2.62"/>
    <n v="132"/>
    <n v="78000"/>
    <x v="0"/>
    <x v="0"/>
    <n v="42.8"/>
  </r>
  <r>
    <x v="4"/>
    <x v="0"/>
    <n v="25"/>
    <n v="2019"/>
    <x v="0"/>
    <n v="11"/>
    <x v="1"/>
    <s v="No"/>
    <x v="3"/>
    <n v="1"/>
    <x v="0"/>
    <x v="0"/>
    <s v="Yes"/>
    <x v="1"/>
    <x v="2"/>
    <x v="5"/>
    <s v="Yes"/>
    <s v="No"/>
    <x v="1"/>
    <s v="Software Development"/>
    <n v="4"/>
    <x v="2"/>
    <s v="Relationship"/>
    <x v="0"/>
    <s v="Family"/>
    <x v="0"/>
    <n v="2.56"/>
    <s v="No"/>
    <n v="3.67"/>
    <n v="143"/>
    <n v="78000"/>
    <x v="1"/>
    <x v="0"/>
    <n v="67"/>
  </r>
  <r>
    <x v="1"/>
    <x v="0"/>
    <n v="20"/>
    <n v="2020"/>
    <x v="0"/>
    <n v="6"/>
    <x v="1"/>
    <s v="No"/>
    <x v="4"/>
    <n v="3"/>
    <x v="1"/>
    <x v="0"/>
    <s v="No"/>
    <x v="1"/>
    <x v="2"/>
    <x v="5"/>
    <s v="No"/>
    <s v="No"/>
    <x v="1"/>
    <s v="Networking"/>
    <n v="1"/>
    <x v="0"/>
    <s v="Single"/>
    <x v="0"/>
    <s v="Bachelor"/>
    <x v="0"/>
    <n v="2.76"/>
    <s v="No"/>
    <n v="3.77"/>
    <n v="97"/>
    <n v="78000"/>
    <x v="1"/>
    <x v="0"/>
    <n v="61"/>
  </r>
  <r>
    <x v="1"/>
    <x v="0"/>
    <n v="21"/>
    <n v="2020"/>
    <x v="0"/>
    <n v="9"/>
    <x v="1"/>
    <s v="No"/>
    <x v="2"/>
    <n v="3"/>
    <x v="0"/>
    <x v="0"/>
    <s v="Yes"/>
    <x v="1"/>
    <x v="0"/>
    <x v="5"/>
    <s v="No"/>
    <s v="No"/>
    <x v="0"/>
    <s v="Software Development"/>
    <n v="4"/>
    <x v="2"/>
    <s v="Single"/>
    <x v="0"/>
    <s v="Bachelor"/>
    <x v="0"/>
    <n v="2.76"/>
    <s v="No"/>
    <n v="3.8"/>
    <n v="124"/>
    <n v="78000"/>
    <x v="1"/>
    <x v="0"/>
    <n v="58"/>
  </r>
  <r>
    <x v="1"/>
    <x v="0"/>
    <n v="20"/>
    <n v="2020"/>
    <x v="0"/>
    <n v="8"/>
    <x v="1"/>
    <s v="No"/>
    <x v="0"/>
    <n v="3"/>
    <x v="0"/>
    <x v="0"/>
    <s v="No"/>
    <x v="2"/>
    <x v="0"/>
    <x v="5"/>
    <s v="No"/>
    <s v="No"/>
    <x v="1"/>
    <s v="Cyber security"/>
    <n v="4"/>
    <x v="0"/>
    <s v="Single"/>
    <x v="1"/>
    <s v="Bachelor"/>
    <x v="0"/>
    <n v="2.61"/>
    <s v="No"/>
    <n v="3.7"/>
    <n v="98"/>
    <n v="79000"/>
    <x v="1"/>
    <x v="0"/>
    <n v="61"/>
  </r>
  <r>
    <x v="2"/>
    <x v="1"/>
    <n v="20"/>
    <n v="2020"/>
    <x v="0"/>
    <n v="11"/>
    <x v="0"/>
    <s v="No"/>
    <x v="1"/>
    <n v="3"/>
    <x v="0"/>
    <x v="0"/>
    <s v="Yes"/>
    <x v="1"/>
    <x v="1"/>
    <x v="5"/>
    <s v="No"/>
    <s v="No"/>
    <x v="1"/>
    <s v="Software Development"/>
    <n v="4"/>
    <x v="7"/>
    <s v="Relationship"/>
    <x v="1"/>
    <s v="Family"/>
    <x v="0"/>
    <n v="2.75"/>
    <s v="No"/>
    <n v="3.86"/>
    <n v="143"/>
    <n v="79000"/>
    <x v="1"/>
    <x v="0"/>
    <n v="55"/>
  </r>
  <r>
    <x v="2"/>
    <x v="0"/>
    <n v="21"/>
    <n v="2019"/>
    <x v="0"/>
    <n v="10"/>
    <x v="0"/>
    <s v="No"/>
    <x v="2"/>
    <n v="3"/>
    <x v="0"/>
    <x v="0"/>
    <s v="Yes"/>
    <x v="1"/>
    <x v="1"/>
    <x v="0"/>
    <s v="No"/>
    <s v="Yes"/>
    <x v="1"/>
    <s v="Software Development"/>
    <n v="3"/>
    <x v="0"/>
    <s v="Relationship"/>
    <x v="0"/>
    <s v="Family"/>
    <x v="0"/>
    <n v="1.98"/>
    <s v="No"/>
    <n v="3.11"/>
    <n v="125"/>
    <n v="80000"/>
    <x v="0"/>
    <x v="0"/>
    <n v="51"/>
  </r>
  <r>
    <x v="2"/>
    <x v="0"/>
    <n v="20"/>
    <n v="2019"/>
    <x v="0"/>
    <n v="9"/>
    <x v="0"/>
    <s v="No"/>
    <x v="4"/>
    <n v="4"/>
    <x v="0"/>
    <x v="0"/>
    <s v="Yes"/>
    <x v="1"/>
    <x v="2"/>
    <x v="5"/>
    <s v="No"/>
    <s v="No"/>
    <x v="1"/>
    <s v="Software Development"/>
    <n v="3"/>
    <x v="7"/>
    <s v="Single"/>
    <x v="1"/>
    <s v="Family"/>
    <x v="0"/>
    <n v="2.77"/>
    <s v="No"/>
    <n v="3.87"/>
    <n v="125"/>
    <n v="80000"/>
    <x v="1"/>
    <x v="0"/>
    <n v="67"/>
  </r>
  <r>
    <x v="3"/>
    <x v="0"/>
    <n v="21"/>
    <n v="2021"/>
    <x v="0"/>
    <n v="5"/>
    <x v="1"/>
    <s v="No"/>
    <x v="2"/>
    <n v="2"/>
    <x v="0"/>
    <x v="0"/>
    <s v="Yes"/>
    <x v="0"/>
    <x v="0"/>
    <x v="28"/>
    <s v="No"/>
    <s v="No"/>
    <x v="0"/>
    <s v="Artificial Intelligence"/>
    <n v="2"/>
    <x v="6"/>
    <s v="Single"/>
    <x v="0"/>
    <s v="Family"/>
    <x v="0"/>
    <n v="1.79"/>
    <s v="No"/>
    <n v="2.82"/>
    <n v="71"/>
    <n v="80000"/>
    <x v="0"/>
    <x v="0"/>
    <n v="43.2"/>
  </r>
  <r>
    <x v="3"/>
    <x v="1"/>
    <n v="21"/>
    <n v="2021"/>
    <x v="0"/>
    <n v="6"/>
    <x v="1"/>
    <s v="No"/>
    <x v="0"/>
    <n v="2"/>
    <x v="1"/>
    <x v="0"/>
    <s v="Yes"/>
    <x v="2"/>
    <x v="0"/>
    <x v="5"/>
    <s v="Yes"/>
    <s v="No"/>
    <x v="1"/>
    <s v="Artificial Intelligence"/>
    <n v="2"/>
    <x v="2"/>
    <s v="Single"/>
    <x v="1"/>
    <s v="Bachelor"/>
    <x v="0"/>
    <n v="1.88"/>
    <s v="No"/>
    <n v="2.91"/>
    <n v="74"/>
    <n v="80000"/>
    <x v="0"/>
    <x v="0"/>
    <n v="55"/>
  </r>
  <r>
    <x v="2"/>
    <x v="0"/>
    <n v="21"/>
    <n v="2020"/>
    <x v="0"/>
    <n v="8"/>
    <x v="1"/>
    <s v="No"/>
    <x v="0"/>
    <n v="1"/>
    <x v="1"/>
    <x v="0"/>
    <s v="Yes"/>
    <x v="6"/>
    <x v="0"/>
    <x v="60"/>
    <s v="No"/>
    <s v="No"/>
    <x v="1"/>
    <s v="Machine Learning"/>
    <n v="1"/>
    <x v="2"/>
    <s v="Relationship"/>
    <x v="0"/>
    <s v="Bachelor"/>
    <x v="1"/>
    <n v="2.38"/>
    <s v="No"/>
    <n v="3.49"/>
    <n v="109"/>
    <n v="81000"/>
    <x v="0"/>
    <x v="0"/>
    <n v="40.400000000000006"/>
  </r>
  <r>
    <x v="1"/>
    <x v="0"/>
    <n v="20"/>
    <n v="2020"/>
    <x v="0"/>
    <n v="9"/>
    <x v="1"/>
    <s v="No"/>
    <x v="5"/>
    <n v="2"/>
    <x v="1"/>
    <x v="0"/>
    <s v="Yes"/>
    <x v="0"/>
    <x v="0"/>
    <x v="5"/>
    <s v="No"/>
    <s v="No"/>
    <x v="0"/>
    <s v="Software Development"/>
    <n v="1"/>
    <x v="2"/>
    <s v="Relationship"/>
    <x v="1"/>
    <s v="Bachelor"/>
    <x v="0"/>
    <n v="2.08"/>
    <s v="No"/>
    <n v="3.21"/>
    <n v="113"/>
    <n v="83000"/>
    <x v="0"/>
    <x v="0"/>
    <n v="55"/>
  </r>
  <r>
    <x v="3"/>
    <x v="1"/>
    <n v="21"/>
    <n v="2021"/>
    <x v="0"/>
    <n v="4"/>
    <x v="1"/>
    <s v="No"/>
    <x v="3"/>
    <n v="2"/>
    <x v="1"/>
    <x v="0"/>
    <s v="Yes"/>
    <x v="6"/>
    <x v="0"/>
    <x v="7"/>
    <s v="No"/>
    <s v="No"/>
    <x v="1"/>
    <s v="Software Development"/>
    <n v="1"/>
    <x v="6"/>
    <s v="Relationship"/>
    <x v="1"/>
    <s v="Family"/>
    <x v="0"/>
    <n v="1.89"/>
    <s v="No"/>
    <n v="3.4"/>
    <n v="56"/>
    <n v="86000"/>
    <x v="0"/>
    <x v="0"/>
    <n v="46"/>
  </r>
  <r>
    <x v="1"/>
    <x v="0"/>
    <n v="20"/>
    <n v="2019"/>
    <x v="0"/>
    <n v="6"/>
    <x v="1"/>
    <s v="No"/>
    <x v="2"/>
    <n v="1"/>
    <x v="1"/>
    <x v="0"/>
    <s v="Yes"/>
    <x v="0"/>
    <x v="2"/>
    <x v="61"/>
    <s v="Yes"/>
    <s v="Yes"/>
    <x v="0"/>
    <s v="Software Development"/>
    <n v="1"/>
    <x v="2"/>
    <s v="Married"/>
    <x v="0"/>
    <s v="Family"/>
    <x v="0"/>
    <n v="1.21"/>
    <s v="No"/>
    <n v="2.4700000000000002"/>
    <n v="139"/>
    <n v="87000"/>
    <x v="2"/>
    <x v="0"/>
    <n v="21.4"/>
  </r>
  <r>
    <x v="2"/>
    <x v="0"/>
    <n v="20"/>
    <n v="2019"/>
    <x v="0"/>
    <n v="8"/>
    <x v="1"/>
    <s v="No"/>
    <x v="0"/>
    <n v="2"/>
    <x v="0"/>
    <x v="0"/>
    <s v="Yes"/>
    <x v="5"/>
    <x v="0"/>
    <x v="23"/>
    <s v="No"/>
    <s v="No"/>
    <x v="0"/>
    <s v="Machine Learning"/>
    <n v="2"/>
    <x v="2"/>
    <s v="Single"/>
    <x v="0"/>
    <s v="Bachelor"/>
    <x v="0"/>
    <n v="1.81"/>
    <s v="No"/>
    <n v="2.86"/>
    <n v="117"/>
    <n v="87000"/>
    <x v="0"/>
    <x v="0"/>
    <n v="39"/>
  </r>
  <r>
    <x v="3"/>
    <x v="0"/>
    <n v="20"/>
    <n v="2021"/>
    <x v="0"/>
    <n v="8"/>
    <x v="1"/>
    <s v="No"/>
    <x v="3"/>
    <n v="3"/>
    <x v="0"/>
    <x v="0"/>
    <s v="Yes"/>
    <x v="7"/>
    <x v="2"/>
    <x v="5"/>
    <s v="No"/>
    <s v="No"/>
    <x v="0"/>
    <s v="Software Development"/>
    <n v="3"/>
    <x v="7"/>
    <s v="Single"/>
    <x v="0"/>
    <s v="Bachelor"/>
    <x v="1"/>
    <n v="2.4500000000000002"/>
    <s v="No"/>
    <n v="3.68"/>
    <n v="124"/>
    <n v="87000"/>
    <x v="1"/>
    <x v="0"/>
    <n v="64"/>
  </r>
  <r>
    <x v="0"/>
    <x v="0"/>
    <n v="25"/>
    <n v="2018"/>
    <x v="0"/>
    <n v="11"/>
    <x v="1"/>
    <s v="No"/>
    <x v="2"/>
    <n v="2"/>
    <x v="0"/>
    <x v="0"/>
    <s v="Yes"/>
    <x v="2"/>
    <x v="0"/>
    <x v="5"/>
    <s v="No"/>
    <s v="No"/>
    <x v="0"/>
    <s v="Software Development"/>
    <n v="2"/>
    <x v="2"/>
    <s v="Married"/>
    <x v="0"/>
    <s v="Family"/>
    <x v="0"/>
    <n v="1.56"/>
    <s v="No"/>
    <n v="2.66"/>
    <n v="143"/>
    <n v="88000"/>
    <x v="0"/>
    <x v="0"/>
    <n v="52"/>
  </r>
  <r>
    <x v="2"/>
    <x v="1"/>
    <n v="25"/>
    <n v="2019"/>
    <x v="0"/>
    <n v="11"/>
    <x v="1"/>
    <s v="No"/>
    <x v="0"/>
    <n v="1"/>
    <x v="0"/>
    <x v="0"/>
    <s v="Yes"/>
    <x v="1"/>
    <x v="2"/>
    <x v="5"/>
    <s v="Yes"/>
    <s v="No"/>
    <x v="1"/>
    <s v="Software Development"/>
    <n v="2"/>
    <x v="2"/>
    <s v="Single"/>
    <x v="0"/>
    <s v="Bachelor"/>
    <x v="0"/>
    <n v="1.6"/>
    <s v="No"/>
    <n v="2.68"/>
    <n v="143"/>
    <n v="88000"/>
    <x v="0"/>
    <x v="0"/>
    <n v="55"/>
  </r>
  <r>
    <x v="2"/>
    <x v="1"/>
    <n v="20"/>
    <n v="2020"/>
    <x v="0"/>
    <n v="11"/>
    <x v="1"/>
    <s v="No"/>
    <x v="2"/>
    <n v="2"/>
    <x v="1"/>
    <x v="0"/>
    <s v="Yes"/>
    <x v="1"/>
    <x v="2"/>
    <x v="41"/>
    <s v="Yes"/>
    <s v="No"/>
    <x v="1"/>
    <s v="Software Development"/>
    <n v="2"/>
    <x v="7"/>
    <s v="Relationship"/>
    <x v="1"/>
    <s v="Bachelor"/>
    <x v="0"/>
    <n v="1.81"/>
    <s v="No"/>
    <n v="2.89"/>
    <n v="144"/>
    <n v="88000"/>
    <x v="0"/>
    <x v="0"/>
    <n v="34.400000000000006"/>
  </r>
  <r>
    <x v="1"/>
    <x v="1"/>
    <n v="20"/>
    <n v="2021"/>
    <x v="0"/>
    <n v="7"/>
    <x v="1"/>
    <s v="No"/>
    <x v="0"/>
    <n v="3"/>
    <x v="0"/>
    <x v="0"/>
    <s v="Yes"/>
    <x v="2"/>
    <x v="0"/>
    <x v="5"/>
    <s v="Yes"/>
    <s v="No"/>
    <x v="0"/>
    <s v="Artificial Intelligence"/>
    <n v="5"/>
    <x v="2"/>
    <s v="Married"/>
    <x v="1"/>
    <s v="Family"/>
    <x v="0"/>
    <n v="1.76"/>
    <s v="No"/>
    <n v="2.81"/>
    <n v="96"/>
    <n v="88000"/>
    <x v="0"/>
    <x v="0"/>
    <n v="64"/>
  </r>
  <r>
    <x v="2"/>
    <x v="1"/>
    <n v="21"/>
    <n v="2020"/>
    <x v="0"/>
    <n v="10"/>
    <x v="1"/>
    <s v="No"/>
    <x v="2"/>
    <n v="1"/>
    <x v="0"/>
    <x v="0"/>
    <s v="Yes"/>
    <x v="2"/>
    <x v="1"/>
    <x v="31"/>
    <s v="Yes"/>
    <s v="No"/>
    <x v="0"/>
    <s v="Artificial Intelligence"/>
    <n v="4"/>
    <x v="0"/>
    <s v="Single"/>
    <x v="1"/>
    <s v="Bachelor"/>
    <x v="0"/>
    <n v="1.57"/>
    <s v="No"/>
    <n v="2.65"/>
    <n v="135"/>
    <n v="89000"/>
    <x v="0"/>
    <x v="0"/>
    <n v="52.4"/>
  </r>
  <r>
    <x v="2"/>
    <x v="0"/>
    <n v="24"/>
    <n v="2019"/>
    <x v="0"/>
    <n v="10"/>
    <x v="1"/>
    <s v="No"/>
    <x v="0"/>
    <n v="2"/>
    <x v="0"/>
    <x v="0"/>
    <s v="Yes"/>
    <x v="0"/>
    <x v="2"/>
    <x v="5"/>
    <s v="No"/>
    <s v="No"/>
    <x v="1"/>
    <s v="Networking"/>
    <n v="2"/>
    <x v="6"/>
    <s v="Single"/>
    <x v="0"/>
    <s v="Bachelor"/>
    <x v="0"/>
    <n v="2.0499999999999998"/>
    <s v="No"/>
    <n v="3.45"/>
    <n v="85"/>
    <n v="90000"/>
    <x v="0"/>
    <x v="0"/>
    <n v="55"/>
  </r>
  <r>
    <x v="1"/>
    <x v="0"/>
    <n v="20"/>
    <n v="2020"/>
    <x v="0"/>
    <n v="9"/>
    <x v="1"/>
    <s v="No"/>
    <x v="0"/>
    <n v="2"/>
    <x v="0"/>
    <x v="0"/>
    <s v="Yes"/>
    <x v="3"/>
    <x v="2"/>
    <x v="50"/>
    <s v="Yes"/>
    <s v="No"/>
    <x v="1"/>
    <s v="Software Development"/>
    <n v="2"/>
    <x v="7"/>
    <s v="Single"/>
    <x v="1"/>
    <s v="Family"/>
    <x v="0"/>
    <n v="2.38"/>
    <s v="No"/>
    <n v="3.47"/>
    <n v="130"/>
    <n v="90000"/>
    <x v="0"/>
    <x v="0"/>
    <n v="41.8"/>
  </r>
  <r>
    <x v="1"/>
    <x v="1"/>
    <n v="20"/>
    <n v="2020"/>
    <x v="0"/>
    <n v="8"/>
    <x v="1"/>
    <s v="No"/>
    <x v="2"/>
    <n v="2"/>
    <x v="0"/>
    <x v="0"/>
    <s v="No"/>
    <x v="2"/>
    <x v="2"/>
    <x v="5"/>
    <s v="Yes"/>
    <s v="No"/>
    <x v="1"/>
    <s v="Software Development"/>
    <n v="1"/>
    <x v="7"/>
    <s v="Relationship"/>
    <x v="0"/>
    <s v="Family"/>
    <x v="0"/>
    <n v="2.67"/>
    <s v="No"/>
    <n v="3.73"/>
    <n v="93"/>
    <n v="90000"/>
    <x v="1"/>
    <x v="0"/>
    <n v="49"/>
  </r>
  <r>
    <x v="3"/>
    <x v="0"/>
    <n v="22"/>
    <n v="2021"/>
    <x v="0"/>
    <n v="6"/>
    <x v="1"/>
    <s v="No"/>
    <x v="0"/>
    <n v="1"/>
    <x v="0"/>
    <x v="0"/>
    <s v="Yes"/>
    <x v="2"/>
    <x v="0"/>
    <x v="5"/>
    <s v="No"/>
    <s v="No"/>
    <x v="0"/>
    <s v="Software Development"/>
    <n v="2"/>
    <x v="2"/>
    <s v="Single"/>
    <x v="1"/>
    <s v="Bachelor"/>
    <x v="0"/>
    <n v="1.56"/>
    <s v="No"/>
    <n v="2.67"/>
    <n v="71"/>
    <n v="90000"/>
    <x v="0"/>
    <x v="0"/>
    <n v="55"/>
  </r>
  <r>
    <x v="1"/>
    <x v="0"/>
    <n v="20"/>
    <n v="2020"/>
    <x v="0"/>
    <n v="9"/>
    <x v="1"/>
    <s v="No"/>
    <x v="2"/>
    <n v="2"/>
    <x v="0"/>
    <x v="0"/>
    <s v="Yes"/>
    <x v="1"/>
    <x v="2"/>
    <x v="5"/>
    <s v="Yes"/>
    <s v="No"/>
    <x v="0"/>
    <s v="Networking"/>
    <n v="1"/>
    <x v="6"/>
    <s v="Relationship"/>
    <x v="0"/>
    <s v="Family"/>
    <x v="0"/>
    <n v="1.91"/>
    <s v="No"/>
    <n v="2.96"/>
    <n v="109"/>
    <n v="94000"/>
    <x v="0"/>
    <x v="0"/>
    <n v="49"/>
  </r>
  <r>
    <x v="2"/>
    <x v="0"/>
    <n v="24"/>
    <n v="2017"/>
    <x v="0"/>
    <n v="9"/>
    <x v="1"/>
    <s v="No"/>
    <x v="0"/>
    <n v="2"/>
    <x v="1"/>
    <x v="0"/>
    <s v="Yes"/>
    <x v="2"/>
    <x v="0"/>
    <x v="7"/>
    <s v="Yes"/>
    <s v="No"/>
    <x v="1"/>
    <s v="Networking"/>
    <n v="2"/>
    <x v="7"/>
    <s v="Relationship"/>
    <x v="0"/>
    <s v="Family"/>
    <x v="1"/>
    <n v="1.89"/>
    <s v="No"/>
    <n v="3.18"/>
    <n v="113"/>
    <n v="95000"/>
    <x v="0"/>
    <x v="0"/>
    <n v="43"/>
  </r>
  <r>
    <x v="1"/>
    <x v="1"/>
    <n v="20"/>
    <n v="2019"/>
    <x v="0"/>
    <n v="7"/>
    <x v="1"/>
    <s v="No"/>
    <x v="5"/>
    <n v="2"/>
    <x v="0"/>
    <x v="0"/>
    <s v="Yes"/>
    <x v="5"/>
    <x v="2"/>
    <x v="5"/>
    <s v="No"/>
    <s v="No"/>
    <x v="1"/>
    <s v="Software Development"/>
    <n v="1"/>
    <x v="7"/>
    <s v="Single"/>
    <x v="1"/>
    <s v="Family"/>
    <x v="0"/>
    <n v="2.76"/>
    <s v="No"/>
    <n v="3.88"/>
    <n v="109"/>
    <n v="95000"/>
    <x v="1"/>
    <x v="0"/>
    <n v="55"/>
  </r>
  <r>
    <x v="2"/>
    <x v="1"/>
    <n v="23"/>
    <n v="2019"/>
    <x v="0"/>
    <n v="11"/>
    <x v="1"/>
    <s v="No"/>
    <x v="0"/>
    <n v="1"/>
    <x v="0"/>
    <x v="0"/>
    <s v="Yes"/>
    <x v="1"/>
    <x v="0"/>
    <x v="5"/>
    <s v="Yes"/>
    <s v="No"/>
    <x v="1"/>
    <s v="Software Development"/>
    <n v="2"/>
    <x v="2"/>
    <s v="Relationship"/>
    <x v="0"/>
    <s v="Bachelor"/>
    <x v="0"/>
    <n v="2.76"/>
    <s v="No"/>
    <n v="3.84"/>
    <n v="144"/>
    <n v="96000"/>
    <x v="1"/>
    <x v="0"/>
    <n v="55"/>
  </r>
  <r>
    <x v="3"/>
    <x v="0"/>
    <n v="20"/>
    <n v="2021"/>
    <x v="0"/>
    <n v="6"/>
    <x v="0"/>
    <s v="No"/>
    <x v="3"/>
    <n v="3"/>
    <x v="0"/>
    <x v="0"/>
    <s v="Yes"/>
    <x v="2"/>
    <x v="2"/>
    <x v="42"/>
    <s v="Yes"/>
    <s v="No"/>
    <x v="1"/>
    <s v="Software Development"/>
    <n v="1"/>
    <x v="7"/>
    <s v="Relationship"/>
    <x v="0"/>
    <s v="Bachelor"/>
    <x v="0"/>
    <n v="2.7"/>
    <s v="No"/>
    <n v="3.87"/>
    <n v="78"/>
    <n v="97000"/>
    <x v="1"/>
    <x v="0"/>
    <n v="48.400000000000006"/>
  </r>
  <r>
    <x v="4"/>
    <x v="0"/>
    <n v="22"/>
    <n v="2019"/>
    <x v="0"/>
    <n v="11"/>
    <x v="1"/>
    <s v="Yes"/>
    <x v="2"/>
    <n v="1"/>
    <x v="0"/>
    <x v="0"/>
    <s v="Yes"/>
    <x v="1"/>
    <x v="0"/>
    <x v="5"/>
    <s v="No"/>
    <s v="No"/>
    <x v="1"/>
    <s v="Software Development"/>
    <n v="2"/>
    <x v="7"/>
    <s v="Single"/>
    <x v="1"/>
    <s v="Family"/>
    <x v="0"/>
    <n v="2.56"/>
    <s v="No"/>
    <n v="3.64"/>
    <n v="143"/>
    <n v="98000"/>
    <x v="1"/>
    <x v="0"/>
    <n v="52"/>
  </r>
  <r>
    <x v="3"/>
    <x v="0"/>
    <n v="20"/>
    <n v="2020"/>
    <x v="0"/>
    <n v="5"/>
    <x v="1"/>
    <s v="No"/>
    <x v="1"/>
    <n v="1"/>
    <x v="1"/>
    <x v="0"/>
    <s v="Yes"/>
    <x v="2"/>
    <x v="0"/>
    <x v="28"/>
    <s v="Yes"/>
    <s v="No"/>
    <x v="0"/>
    <s v="Networking"/>
    <n v="1"/>
    <x v="6"/>
    <s v="Relationship"/>
    <x v="1"/>
    <s v="Family"/>
    <x v="0"/>
    <n v="1.81"/>
    <s v="No"/>
    <n v="2.84"/>
    <n v="71"/>
    <n v="98000"/>
    <x v="0"/>
    <x v="0"/>
    <n v="37.200000000000003"/>
  </r>
  <r>
    <x v="2"/>
    <x v="0"/>
    <n v="24"/>
    <n v="2018"/>
    <x v="0"/>
    <n v="8"/>
    <x v="1"/>
    <s v="No"/>
    <x v="2"/>
    <n v="2"/>
    <x v="0"/>
    <x v="0"/>
    <s v="Yes"/>
    <x v="7"/>
    <x v="1"/>
    <x v="8"/>
    <s v="No"/>
    <s v="No"/>
    <x v="1"/>
    <s v="Networking"/>
    <n v="3"/>
    <x v="6"/>
    <s v="Single"/>
    <x v="1"/>
    <s v="Family"/>
    <x v="1"/>
    <n v="2.5299999999999998"/>
    <s v="No"/>
    <n v="3.36"/>
    <n v="76"/>
    <n v="100000"/>
    <x v="0"/>
    <x v="0"/>
    <n v="54.2"/>
  </r>
  <r>
    <x v="4"/>
    <x v="1"/>
    <n v="23"/>
    <n v="2019"/>
    <x v="0"/>
    <n v="5"/>
    <x v="1"/>
    <s v="No"/>
    <x v="2"/>
    <n v="1"/>
    <x v="0"/>
    <x v="0"/>
    <s v="Yes"/>
    <x v="6"/>
    <x v="1"/>
    <x v="0"/>
    <s v="Yes"/>
    <s v="No"/>
    <x v="0"/>
    <s v="Networking"/>
    <n v="2"/>
    <x v="6"/>
    <s v="Single"/>
    <x v="0"/>
    <s v="Bachelor"/>
    <x v="0"/>
    <n v="2.54"/>
    <s v="No"/>
    <n v="3.57"/>
    <n v="84"/>
    <n v="100000"/>
    <x v="1"/>
    <x v="0"/>
    <n v="48"/>
  </r>
  <r>
    <x v="4"/>
    <x v="1"/>
    <n v="22"/>
    <n v="2019"/>
    <x v="0"/>
    <n v="6"/>
    <x v="1"/>
    <s v="No"/>
    <x v="5"/>
    <n v="2"/>
    <x v="0"/>
    <x v="0"/>
    <s v="Yes"/>
    <x v="4"/>
    <x v="0"/>
    <x v="2"/>
    <s v="No"/>
    <s v="No"/>
    <x v="0"/>
    <s v="Software Development"/>
    <n v="1"/>
    <x v="2"/>
    <s v="Single"/>
    <x v="0"/>
    <s v="Family"/>
    <x v="0"/>
    <n v="2.4500000000000002"/>
    <s v="No"/>
    <n v="3.5"/>
    <n v="16"/>
    <n v="100000"/>
    <x v="1"/>
    <x v="0"/>
    <n v="47"/>
  </r>
  <r>
    <x v="2"/>
    <x v="1"/>
    <n v="21"/>
    <n v="2020"/>
    <x v="0"/>
    <n v="8"/>
    <x v="0"/>
    <s v="Yes"/>
    <x v="6"/>
    <n v="3"/>
    <x v="0"/>
    <x v="0"/>
    <s v="Yes"/>
    <x v="2"/>
    <x v="2"/>
    <x v="5"/>
    <s v="No"/>
    <s v="No"/>
    <x v="1"/>
    <s v="Networking"/>
    <n v="4"/>
    <x v="7"/>
    <s v="Single"/>
    <x v="1"/>
    <s v="Family"/>
    <x v="0"/>
    <n v="2.91"/>
    <s v="No"/>
    <n v="4"/>
    <n v="97"/>
    <n v="100000"/>
    <x v="1"/>
    <x v="0"/>
    <n v="76"/>
  </r>
  <r>
    <x v="3"/>
    <x v="0"/>
    <n v="20"/>
    <n v="2021"/>
    <x v="0"/>
    <n v="6"/>
    <x v="1"/>
    <s v="No"/>
    <x v="1"/>
    <n v="2"/>
    <x v="0"/>
    <x v="0"/>
    <s v="Yes"/>
    <x v="2"/>
    <x v="0"/>
    <x v="35"/>
    <s v="No"/>
    <s v="No"/>
    <x v="0"/>
    <s v="Networking"/>
    <n v="4"/>
    <x v="6"/>
    <s v="Married"/>
    <x v="0"/>
    <s v="Family"/>
    <x v="0"/>
    <n v="2.67"/>
    <s v="No"/>
    <n v="3.77"/>
    <n v="78"/>
    <n v="100000"/>
    <x v="1"/>
    <x v="0"/>
    <n v="36.6"/>
  </r>
  <r>
    <x v="4"/>
    <x v="1"/>
    <n v="22"/>
    <n v="2018"/>
    <x v="0"/>
    <n v="11"/>
    <x v="1"/>
    <s v="No"/>
    <x v="3"/>
    <n v="3"/>
    <x v="0"/>
    <x v="0"/>
    <s v="Yes"/>
    <x v="7"/>
    <x v="0"/>
    <x v="22"/>
    <s v="No"/>
    <s v="No"/>
    <x v="0"/>
    <s v="Machine Learning"/>
    <n v="2"/>
    <x v="2"/>
    <s v="Single"/>
    <x v="1"/>
    <s v="Bachelor"/>
    <x v="0"/>
    <n v="2.33"/>
    <s v="No"/>
    <n v="3.88"/>
    <n v="144"/>
    <n v="110000"/>
    <x v="1"/>
    <x v="0"/>
    <n v="51.8"/>
  </r>
  <r>
    <x v="1"/>
    <x v="0"/>
    <n v="24"/>
    <n v="2019"/>
    <x v="0"/>
    <n v="10"/>
    <x v="1"/>
    <s v="No"/>
    <x v="1"/>
    <n v="2"/>
    <x v="1"/>
    <x v="0"/>
    <s v="Yes"/>
    <x v="1"/>
    <x v="1"/>
    <x v="5"/>
    <s v="Yes"/>
    <s v="No"/>
    <x v="1"/>
    <s v="Networking"/>
    <n v="4"/>
    <x v="6"/>
    <s v="Married"/>
    <x v="0"/>
    <s v="Family"/>
    <x v="0"/>
    <n v="2.87"/>
    <s v="No"/>
    <n v="3.91"/>
    <n v="140"/>
    <n v="110000"/>
    <x v="1"/>
    <x v="0"/>
    <n v="55"/>
  </r>
  <r>
    <x v="2"/>
    <x v="1"/>
    <n v="20"/>
    <n v="2020"/>
    <x v="0"/>
    <n v="10"/>
    <x v="1"/>
    <s v="No"/>
    <x v="0"/>
    <n v="2"/>
    <x v="1"/>
    <x v="0"/>
    <s v="No"/>
    <x v="15"/>
    <x v="2"/>
    <x v="5"/>
    <s v="No"/>
    <s v="No"/>
    <x v="1"/>
    <s v="Artificial Intelligence"/>
    <n v="4"/>
    <x v="6"/>
    <s v="Relationship"/>
    <x v="0"/>
    <s v="Bachelor"/>
    <x v="0"/>
    <n v="2.09"/>
    <s v="No"/>
    <n v="3.23"/>
    <n v="119"/>
    <n v="110000"/>
    <x v="0"/>
    <x v="0"/>
    <n v="61"/>
  </r>
  <r>
    <x v="2"/>
    <x v="1"/>
    <n v="25"/>
    <n v="2018"/>
    <x v="0"/>
    <n v="9"/>
    <x v="1"/>
    <s v="No"/>
    <x v="2"/>
    <n v="3"/>
    <x v="1"/>
    <x v="0"/>
    <s v="Yes"/>
    <x v="1"/>
    <x v="0"/>
    <x v="22"/>
    <s v="Yes"/>
    <s v="No"/>
    <x v="0"/>
    <s v="Networking"/>
    <n v="2"/>
    <x v="6"/>
    <s v="Married"/>
    <x v="0"/>
    <s v="Family"/>
    <x v="0"/>
    <n v="1.67"/>
    <s v="No"/>
    <n v="2.73"/>
    <n v="124"/>
    <n v="112000"/>
    <x v="0"/>
    <x v="0"/>
    <n v="42.8"/>
  </r>
  <r>
    <x v="3"/>
    <x v="1"/>
    <n v="20"/>
    <n v="2021"/>
    <x v="0"/>
    <n v="5"/>
    <x v="1"/>
    <s v="No"/>
    <x v="1"/>
    <n v="1"/>
    <x v="1"/>
    <x v="0"/>
    <s v="Yes"/>
    <x v="9"/>
    <x v="0"/>
    <x v="37"/>
    <s v="Yes"/>
    <s v="No"/>
    <x v="1"/>
    <s v="Cyber security"/>
    <n v="1"/>
    <x v="0"/>
    <s v="Relationship"/>
    <x v="0"/>
    <s v="Family"/>
    <x v="0"/>
    <n v="1.1499999999999999"/>
    <s v="No"/>
    <n v="2.39"/>
    <n v="75"/>
    <n v="112000"/>
    <x v="2"/>
    <x v="0"/>
    <n v="24"/>
  </r>
  <r>
    <x v="3"/>
    <x v="1"/>
    <n v="21"/>
    <n v="2021"/>
    <x v="0"/>
    <n v="5"/>
    <x v="1"/>
    <s v="No"/>
    <x v="2"/>
    <n v="2"/>
    <x v="0"/>
    <x v="0"/>
    <s v="Yes"/>
    <x v="1"/>
    <x v="2"/>
    <x v="5"/>
    <s v="Yes"/>
    <s v="No"/>
    <x v="0"/>
    <s v="Software Development"/>
    <n v="4"/>
    <x v="2"/>
    <s v="Married"/>
    <x v="1"/>
    <s v="Family"/>
    <x v="0"/>
    <n v="2.56"/>
    <s v="No"/>
    <n v="3.64"/>
    <n v="68"/>
    <n v="113000"/>
    <x v="1"/>
    <x v="0"/>
    <n v="58"/>
  </r>
  <r>
    <x v="1"/>
    <x v="0"/>
    <n v="20"/>
    <n v="2020"/>
    <x v="0"/>
    <n v="7"/>
    <x v="1"/>
    <s v="No"/>
    <x v="0"/>
    <n v="2"/>
    <x v="0"/>
    <x v="0"/>
    <s v="No"/>
    <x v="1"/>
    <x v="1"/>
    <x v="5"/>
    <s v="No"/>
    <s v="No"/>
    <x v="1"/>
    <s v="Software Development"/>
    <n v="3"/>
    <x v="2"/>
    <s v="Single"/>
    <x v="1"/>
    <s v="Bachelor"/>
    <x v="0"/>
    <n v="1.99"/>
    <s v="No"/>
    <n v="2.94"/>
    <n v="88"/>
    <n v="120000"/>
    <x v="0"/>
    <x v="0"/>
    <n v="58"/>
  </r>
  <r>
    <x v="10"/>
    <x v="1"/>
    <n v="19"/>
    <n v="2021"/>
    <x v="0"/>
    <n v="2"/>
    <x v="0"/>
    <s v="No"/>
    <x v="4"/>
    <n v="4"/>
    <x v="0"/>
    <x v="0"/>
    <s v="Yes"/>
    <x v="4"/>
    <x v="0"/>
    <x v="5"/>
    <s v="No"/>
    <s v="Yes"/>
    <x v="1"/>
    <s v="Cyber security"/>
    <n v="3"/>
    <x v="0"/>
    <s v="Single"/>
    <x v="0"/>
    <s v="Bachelor"/>
    <x v="0"/>
    <n v="2.78"/>
    <s v="No"/>
    <n v="3.8"/>
    <n v="29"/>
    <n v="120000"/>
    <x v="1"/>
    <x v="0"/>
    <n v="67"/>
  </r>
  <r>
    <x v="2"/>
    <x v="0"/>
    <n v="20"/>
    <n v="2019"/>
    <x v="0"/>
    <n v="10"/>
    <x v="1"/>
    <s v="No"/>
    <x v="0"/>
    <n v="2"/>
    <x v="0"/>
    <x v="0"/>
    <s v="Yes"/>
    <x v="6"/>
    <x v="0"/>
    <x v="5"/>
    <s v="No"/>
    <s v="No"/>
    <x v="1"/>
    <s v="Cyber security"/>
    <n v="1"/>
    <x v="6"/>
    <s v="Relationship"/>
    <x v="0"/>
    <s v="Bachelor"/>
    <x v="0"/>
    <n v="2.21"/>
    <s v="No"/>
    <n v="3.3"/>
    <n v="137"/>
    <n v="122000"/>
    <x v="0"/>
    <x v="0"/>
    <n v="52"/>
  </r>
  <r>
    <x v="2"/>
    <x v="0"/>
    <n v="20"/>
    <n v="2020"/>
    <x v="0"/>
    <n v="11"/>
    <x v="1"/>
    <s v="No"/>
    <x v="0"/>
    <n v="3"/>
    <x v="0"/>
    <x v="0"/>
    <s v="Yes"/>
    <x v="1"/>
    <x v="2"/>
    <x v="5"/>
    <s v="No"/>
    <s v="No"/>
    <x v="1"/>
    <s v="Artificial Intelligence"/>
    <n v="1"/>
    <x v="0"/>
    <s v="Relationship"/>
    <x v="1"/>
    <s v="Bachelor"/>
    <x v="0"/>
    <n v="1.46"/>
    <s v="No"/>
    <n v="2.5099999999999998"/>
    <n v="143"/>
    <n v="122000"/>
    <x v="0"/>
    <x v="0"/>
    <n v="52"/>
  </r>
  <r>
    <x v="2"/>
    <x v="0"/>
    <n v="20"/>
    <n v="2020"/>
    <x v="0"/>
    <n v="10"/>
    <x v="0"/>
    <s v="No"/>
    <x v="2"/>
    <n v="2"/>
    <x v="0"/>
    <x v="0"/>
    <s v="Yes"/>
    <x v="2"/>
    <x v="0"/>
    <x v="62"/>
    <s v="Yes"/>
    <s v="No"/>
    <x v="1"/>
    <s v="Networking"/>
    <n v="4"/>
    <x v="6"/>
    <s v="Single"/>
    <x v="1"/>
    <s v="Bachelor"/>
    <x v="1"/>
    <n v="2.67"/>
    <s v="No"/>
    <n v="3.78"/>
    <n v="136"/>
    <n v="127000"/>
    <x v="1"/>
    <x v="0"/>
    <n v="43.6"/>
  </r>
  <r>
    <x v="2"/>
    <x v="0"/>
    <n v="21"/>
    <n v="2018"/>
    <x v="0"/>
    <n v="9"/>
    <x v="1"/>
    <s v="No"/>
    <x v="3"/>
    <n v="3"/>
    <x v="1"/>
    <x v="0"/>
    <s v="No"/>
    <x v="6"/>
    <x v="0"/>
    <x v="5"/>
    <s v="No"/>
    <s v="No"/>
    <x v="0"/>
    <s v="Networking"/>
    <n v="2"/>
    <x v="6"/>
    <s v="Single"/>
    <x v="1"/>
    <s v="Bachelor"/>
    <x v="0"/>
    <n v="2.3199999999999998"/>
    <s v="No"/>
    <n v="3.78"/>
    <n v="123"/>
    <n v="130000"/>
    <x v="1"/>
    <x v="0"/>
    <n v="61"/>
  </r>
  <r>
    <x v="3"/>
    <x v="1"/>
    <n v="21"/>
    <n v="2020"/>
    <x v="0"/>
    <n v="4"/>
    <x v="1"/>
    <s v="No"/>
    <x v="5"/>
    <n v="2"/>
    <x v="0"/>
    <x v="0"/>
    <s v="Yes"/>
    <x v="6"/>
    <x v="0"/>
    <x v="45"/>
    <s v="No"/>
    <s v="No"/>
    <x v="1"/>
    <s v="Artificial Intelligence"/>
    <n v="3"/>
    <x v="6"/>
    <s v="Married"/>
    <x v="0"/>
    <s v="Family"/>
    <x v="0"/>
    <n v="2.2200000000000002"/>
    <s v="No"/>
    <n v="3.41"/>
    <n v="59"/>
    <n v="133000"/>
    <x v="0"/>
    <x v="0"/>
    <n v="52.6"/>
  </r>
  <r>
    <x v="3"/>
    <x v="1"/>
    <n v="20"/>
    <n v="2020"/>
    <x v="0"/>
    <n v="3"/>
    <x v="1"/>
    <s v="No"/>
    <x v="5"/>
    <n v="2"/>
    <x v="0"/>
    <x v="0"/>
    <s v="Yes"/>
    <x v="6"/>
    <x v="0"/>
    <x v="2"/>
    <s v="No"/>
    <s v="No"/>
    <x v="0"/>
    <s v="Software Development"/>
    <n v="1"/>
    <x v="7"/>
    <s v="Single"/>
    <x v="1"/>
    <s v="Bachelor"/>
    <x v="0"/>
    <n v="1.88"/>
    <s v="No"/>
    <n v="2.97"/>
    <n v="29"/>
    <n v="140000"/>
    <x v="0"/>
    <x v="0"/>
    <n v="47"/>
  </r>
  <r>
    <x v="2"/>
    <x v="0"/>
    <n v="20"/>
    <n v="2020"/>
    <x v="0"/>
    <n v="10"/>
    <x v="1"/>
    <s v="No"/>
    <x v="2"/>
    <n v="1"/>
    <x v="1"/>
    <x v="0"/>
    <s v="Yes"/>
    <x v="1"/>
    <x v="1"/>
    <x v="15"/>
    <s v="Yes"/>
    <s v="No"/>
    <x v="1"/>
    <s v="Networking"/>
    <n v="2"/>
    <x v="6"/>
    <s v="Married"/>
    <x v="1"/>
    <s v="Bachelor"/>
    <x v="0"/>
    <n v="1.45"/>
    <s v="No"/>
    <n v="2.52"/>
    <n v="135"/>
    <n v="140000"/>
    <x v="0"/>
    <x v="0"/>
    <n v="41.2"/>
  </r>
  <r>
    <x v="2"/>
    <x v="0"/>
    <n v="25"/>
    <n v="2018"/>
    <x v="0"/>
    <n v="9"/>
    <x v="1"/>
    <s v="No"/>
    <x v="0"/>
    <n v="1"/>
    <x v="0"/>
    <x v="0"/>
    <s v="Yes"/>
    <x v="2"/>
    <x v="2"/>
    <x v="17"/>
    <s v="Yes"/>
    <s v="No"/>
    <x v="1"/>
    <s v="Networking"/>
    <n v="4"/>
    <x v="6"/>
    <s v="Single"/>
    <x v="0"/>
    <s v="Family"/>
    <x v="0"/>
    <n v="1.54"/>
    <s v="No"/>
    <n v="2.62"/>
    <n v="121"/>
    <n v="144000"/>
    <x v="0"/>
    <x v="0"/>
    <n v="55.800000000000004"/>
  </r>
  <r>
    <x v="1"/>
    <x v="0"/>
    <n v="20"/>
    <n v="2020"/>
    <x v="0"/>
    <n v="8"/>
    <x v="1"/>
    <s v="No"/>
    <x v="0"/>
    <n v="3"/>
    <x v="0"/>
    <x v="0"/>
    <s v="Yes"/>
    <x v="1"/>
    <x v="0"/>
    <x v="5"/>
    <s v="No"/>
    <s v="No"/>
    <x v="0"/>
    <s v="Networking"/>
    <n v="1"/>
    <x v="6"/>
    <s v="Single"/>
    <x v="0"/>
    <s v="Family"/>
    <x v="0"/>
    <n v="2.78"/>
    <s v="No"/>
    <n v="3.86"/>
    <n v="89"/>
    <n v="145000"/>
    <x v="1"/>
    <x v="0"/>
    <n v="52"/>
  </r>
  <r>
    <x v="4"/>
    <x v="0"/>
    <n v="21"/>
    <n v="2018"/>
    <x v="0"/>
    <n v="11"/>
    <x v="1"/>
    <s v="No"/>
    <x v="2"/>
    <n v="2"/>
    <x v="0"/>
    <x v="0"/>
    <s v="Yes"/>
    <x v="1"/>
    <x v="0"/>
    <x v="2"/>
    <s v="No"/>
    <s v="No"/>
    <x v="1"/>
    <s v="Software Development"/>
    <n v="4"/>
    <x v="7"/>
    <s v="Single"/>
    <x v="1"/>
    <s v="Bachelor"/>
    <x v="0"/>
    <n v="2.1"/>
    <s v="No"/>
    <n v="3.41"/>
    <n v="139"/>
    <n v="150000"/>
    <x v="0"/>
    <x v="0"/>
    <n v="50"/>
  </r>
  <r>
    <x v="2"/>
    <x v="0"/>
    <n v="24"/>
    <n v="2019"/>
    <x v="0"/>
    <n v="11"/>
    <x v="1"/>
    <s v="No"/>
    <x v="3"/>
    <n v="3"/>
    <x v="0"/>
    <x v="0"/>
    <s v="No"/>
    <x v="2"/>
    <x v="2"/>
    <x v="5"/>
    <s v="Yes"/>
    <s v="No"/>
    <x v="0"/>
    <s v="Networking"/>
    <n v="1"/>
    <x v="6"/>
    <s v="Single"/>
    <x v="1"/>
    <s v="Family"/>
    <x v="0"/>
    <n v="2.57"/>
    <s v="No"/>
    <n v="3.63"/>
    <n v="144"/>
    <n v="150000"/>
    <x v="1"/>
    <x v="0"/>
    <n v="58"/>
  </r>
  <r>
    <x v="3"/>
    <x v="1"/>
    <n v="19"/>
    <n v="2021"/>
    <x v="0"/>
    <n v="4"/>
    <x v="1"/>
    <s v="No"/>
    <x v="2"/>
    <n v="2"/>
    <x v="0"/>
    <x v="0"/>
    <s v="Yes"/>
    <x v="4"/>
    <x v="0"/>
    <x v="5"/>
    <s v="No"/>
    <s v="No"/>
    <x v="1"/>
    <s v="Artificial Intelligence"/>
    <n v="1"/>
    <x v="2"/>
    <s v="Relationship"/>
    <x v="0"/>
    <s v="Family"/>
    <x v="0"/>
    <n v="2.44"/>
    <s v="No"/>
    <n v="3.59"/>
    <n v="68"/>
    <n v="155000"/>
    <x v="1"/>
    <x v="0"/>
    <n v="49"/>
  </r>
  <r>
    <x v="4"/>
    <x v="0"/>
    <n v="23"/>
    <n v="2019"/>
    <x v="0"/>
    <n v="10"/>
    <x v="1"/>
    <s v="No"/>
    <x v="0"/>
    <n v="1"/>
    <x v="1"/>
    <x v="0"/>
    <s v="Yes"/>
    <x v="2"/>
    <x v="1"/>
    <x v="28"/>
    <s v="Yes"/>
    <s v="Yes"/>
    <x v="1"/>
    <s v="Networking"/>
    <n v="1"/>
    <x v="6"/>
    <s v="Married"/>
    <x v="1"/>
    <s v="Family"/>
    <x v="0"/>
    <n v="1.67"/>
    <s v="No"/>
    <n v="2.77"/>
    <n v="139"/>
    <n v="160000"/>
    <x v="0"/>
    <x v="0"/>
    <n v="43.2"/>
  </r>
  <r>
    <x v="1"/>
    <x v="1"/>
    <n v="21"/>
    <n v="2020"/>
    <x v="0"/>
    <n v="6"/>
    <x v="1"/>
    <s v="No"/>
    <x v="0"/>
    <n v="3"/>
    <x v="1"/>
    <x v="0"/>
    <s v="Yes"/>
    <x v="0"/>
    <x v="2"/>
    <x v="5"/>
    <s v="No"/>
    <s v="No"/>
    <x v="1"/>
    <s v="Artificial Intelligence"/>
    <n v="1"/>
    <x v="6"/>
    <s v="Relationship"/>
    <x v="0"/>
    <s v="Bachelor"/>
    <x v="0"/>
    <n v="1.55"/>
    <s v="No"/>
    <n v="2.61"/>
    <n v="92"/>
    <n v="165000"/>
    <x v="0"/>
    <x v="0"/>
    <n v="52"/>
  </r>
  <r>
    <x v="1"/>
    <x v="1"/>
    <n v="20"/>
    <n v="2020"/>
    <x v="0"/>
    <n v="9"/>
    <x v="1"/>
    <s v="No"/>
    <x v="2"/>
    <n v="1"/>
    <x v="0"/>
    <x v="0"/>
    <s v="Yes"/>
    <x v="2"/>
    <x v="0"/>
    <x v="5"/>
    <s v="Yes"/>
    <s v="No"/>
    <x v="1"/>
    <s v="Cyber security"/>
    <n v="1"/>
    <x v="0"/>
    <s v="Single"/>
    <x v="0"/>
    <s v="Family"/>
    <x v="1"/>
    <n v="2.34"/>
    <s v="No"/>
    <n v="3.42"/>
    <n v="103"/>
    <n v="165000"/>
    <x v="0"/>
    <x v="0"/>
    <n v="49"/>
  </r>
  <r>
    <x v="1"/>
    <x v="0"/>
    <n v="20"/>
    <n v="2020"/>
    <x v="0"/>
    <n v="7"/>
    <x v="1"/>
    <s v="No"/>
    <x v="2"/>
    <n v="1"/>
    <x v="0"/>
    <x v="0"/>
    <s v="Yes"/>
    <x v="5"/>
    <x v="1"/>
    <x v="2"/>
    <s v="Yes"/>
    <s v="No"/>
    <x v="1"/>
    <s v="Software Development"/>
    <n v="2"/>
    <x v="6"/>
    <s v="Single"/>
    <x v="0"/>
    <s v="Family"/>
    <x v="0"/>
    <n v="1.54"/>
    <s v="No"/>
    <n v="2.95"/>
    <n v="90"/>
    <n v="169000"/>
    <x v="0"/>
    <x v="0"/>
    <n v="44"/>
  </r>
  <r>
    <x v="2"/>
    <x v="0"/>
    <n v="21"/>
    <n v="2020"/>
    <x v="0"/>
    <n v="5"/>
    <x v="1"/>
    <s v="No"/>
    <x v="5"/>
    <n v="3"/>
    <x v="0"/>
    <x v="0"/>
    <s v="Yes"/>
    <x v="0"/>
    <x v="1"/>
    <x v="7"/>
    <s v="No"/>
    <s v="No"/>
    <x v="0"/>
    <s v="Software Development"/>
    <n v="2"/>
    <x v="2"/>
    <s v="Relationship"/>
    <x v="1"/>
    <s v="Family"/>
    <x v="0"/>
    <n v="2"/>
    <s v="No"/>
    <n v="3.03"/>
    <n v="71"/>
    <n v="170000"/>
    <x v="0"/>
    <x v="0"/>
    <n v="46"/>
  </r>
  <r>
    <x v="2"/>
    <x v="1"/>
    <n v="21"/>
    <n v="2018"/>
    <x v="0"/>
    <n v="9"/>
    <x v="1"/>
    <s v="No"/>
    <x v="2"/>
    <n v="1"/>
    <x v="1"/>
    <x v="0"/>
    <s v="Yes"/>
    <x v="9"/>
    <x v="0"/>
    <x v="14"/>
    <s v="Yes"/>
    <s v="No"/>
    <x v="0"/>
    <s v="Cyber security"/>
    <n v="2"/>
    <x v="6"/>
    <s v="Relationship"/>
    <x v="1"/>
    <s v="Family"/>
    <x v="0"/>
    <n v="1.35"/>
    <s v="No"/>
    <n v="2.66"/>
    <n v="105"/>
    <n v="200000"/>
    <x v="0"/>
    <x v="0"/>
    <n v="32"/>
  </r>
  <r>
    <x v="2"/>
    <x v="1"/>
    <n v="20"/>
    <n v="2019"/>
    <x v="0"/>
    <n v="7"/>
    <x v="1"/>
    <s v="No"/>
    <x v="4"/>
    <n v="5"/>
    <x v="0"/>
    <x v="0"/>
    <s v="Yes"/>
    <x v="1"/>
    <x v="1"/>
    <x v="5"/>
    <s v="No"/>
    <s v="No"/>
    <x v="0"/>
    <s v="Software Development"/>
    <n v="4"/>
    <x v="2"/>
    <s v="Single"/>
    <x v="1"/>
    <s v="Family"/>
    <x v="0"/>
    <n v="2.64"/>
    <s v="Yes"/>
    <n v="3.34"/>
    <n v="70"/>
    <n v="200000"/>
    <x v="0"/>
    <x v="0"/>
    <n v="70"/>
  </r>
  <r>
    <x v="2"/>
    <x v="1"/>
    <n v="22"/>
    <n v="2019"/>
    <x v="0"/>
    <n v="9"/>
    <x v="1"/>
    <s v="No"/>
    <x v="0"/>
    <n v="4"/>
    <x v="0"/>
    <x v="0"/>
    <s v="Yes"/>
    <x v="7"/>
    <x v="0"/>
    <x v="14"/>
    <s v="Yes"/>
    <s v="No"/>
    <x v="1"/>
    <s v="Cyber security"/>
    <n v="1"/>
    <x v="7"/>
    <s v="Relationship"/>
    <x v="1"/>
    <s v="Bachelor"/>
    <x v="0"/>
    <n v="1.7"/>
    <s v="No"/>
    <n v="3"/>
    <n v="95"/>
    <n v="200000"/>
    <x v="0"/>
    <x v="0"/>
    <n v="32"/>
  </r>
  <r>
    <x v="2"/>
    <x v="1"/>
    <n v="22"/>
    <n v="2019"/>
    <x v="0"/>
    <n v="10"/>
    <x v="1"/>
    <s v="No"/>
    <x v="0"/>
    <n v="2"/>
    <x v="1"/>
    <x v="0"/>
    <s v="Yes"/>
    <x v="6"/>
    <x v="0"/>
    <x v="3"/>
    <s v="No"/>
    <s v="No"/>
    <x v="1"/>
    <s v="Software Development"/>
    <n v="5"/>
    <x v="4"/>
    <s v="Relationship"/>
    <x v="1"/>
    <s v="Family"/>
    <x v="0"/>
    <n v="2.9"/>
    <s v="No"/>
    <n v="3.93"/>
    <n v="125"/>
    <n v="200000"/>
    <x v="1"/>
    <x v="0"/>
    <n v="59.2"/>
  </r>
  <r>
    <x v="2"/>
    <x v="1"/>
    <n v="21"/>
    <n v="2020"/>
    <x v="0"/>
    <n v="10"/>
    <x v="1"/>
    <s v="No"/>
    <x v="3"/>
    <n v="2"/>
    <x v="0"/>
    <x v="0"/>
    <s v="Yes"/>
    <x v="5"/>
    <x v="2"/>
    <x v="2"/>
    <s v="No"/>
    <s v="No"/>
    <x v="0"/>
    <s v="Software Development"/>
    <n v="3"/>
    <x v="7"/>
    <s v="Single"/>
    <x v="1"/>
    <s v="Bachelor"/>
    <x v="0"/>
    <n v="1.9"/>
    <s v="No"/>
    <n v="3.1"/>
    <n v="99"/>
    <n v="200000"/>
    <x v="0"/>
    <x v="0"/>
    <n v="56"/>
  </r>
  <r>
    <x v="2"/>
    <x v="0"/>
    <n v="22"/>
    <n v="2019"/>
    <x v="0"/>
    <n v="10"/>
    <x v="1"/>
    <s v="No"/>
    <x v="0"/>
    <n v="2"/>
    <x v="0"/>
    <x v="0"/>
    <s v="Yes"/>
    <x v="15"/>
    <x v="0"/>
    <x v="11"/>
    <s v="No"/>
    <s v="No"/>
    <x v="1"/>
    <s v="Cyber security"/>
    <n v="2"/>
    <x v="6"/>
    <s v="Single"/>
    <x v="1"/>
    <s v="Bachelor"/>
    <x v="0"/>
    <n v="2.0099999999999998"/>
    <s v="No"/>
    <n v="3.08"/>
    <n v="126"/>
    <n v="250000"/>
    <x v="0"/>
    <x v="0"/>
    <n v="45"/>
  </r>
  <r>
    <x v="1"/>
    <x v="1"/>
    <n v="20"/>
    <n v="2021"/>
    <x v="0"/>
    <n v="7"/>
    <x v="0"/>
    <s v="No"/>
    <x v="3"/>
    <n v="4"/>
    <x v="0"/>
    <x v="0"/>
    <s v="Yes"/>
    <x v="2"/>
    <x v="2"/>
    <x v="5"/>
    <s v="No"/>
    <s v="No"/>
    <x v="0"/>
    <s v="Software Development"/>
    <n v="4"/>
    <x v="7"/>
    <s v="Single"/>
    <x v="1"/>
    <s v="Family"/>
    <x v="0"/>
    <n v="2.33"/>
    <s v="No"/>
    <n v="3.89"/>
    <n v="104"/>
    <n v="277000"/>
    <x v="1"/>
    <x v="0"/>
    <n v="67"/>
  </r>
  <r>
    <x v="2"/>
    <x v="0"/>
    <n v="20"/>
    <n v="2020"/>
    <x v="0"/>
    <n v="7"/>
    <x v="0"/>
    <s v="Yes"/>
    <x v="4"/>
    <n v="2"/>
    <x v="1"/>
    <x v="0"/>
    <s v="Yes"/>
    <x v="4"/>
    <x v="2"/>
    <x v="7"/>
    <s v="No"/>
    <s v="No"/>
    <x v="1"/>
    <s v="Software Development"/>
    <n v="3"/>
    <x v="2"/>
    <s v="Single"/>
    <x v="1"/>
    <s v="Family"/>
    <x v="0"/>
    <n v="1.6"/>
    <s v="No"/>
    <n v="2.9"/>
    <n v="30"/>
    <n v="20000"/>
    <x v="0"/>
    <x v="0"/>
    <n v="55"/>
  </r>
  <r>
    <x v="2"/>
    <x v="0"/>
    <n v="23"/>
    <n v="2019"/>
    <x v="0"/>
    <n v="11"/>
    <x v="0"/>
    <s v="Yes"/>
    <x v="5"/>
    <n v="2"/>
    <x v="1"/>
    <x v="0"/>
    <s v="Yes"/>
    <x v="1"/>
    <x v="0"/>
    <x v="1"/>
    <s v="No"/>
    <s v="No"/>
    <x v="1"/>
    <s v="Networking"/>
    <n v="3"/>
    <x v="0"/>
    <s v="Single"/>
    <x v="1"/>
    <s v="Family"/>
    <x v="0"/>
    <n v="2.67"/>
    <s v="No"/>
    <n v="3.4"/>
    <n v="140"/>
    <n v="30000"/>
    <x v="0"/>
    <x v="0"/>
    <n v="59.400000000000006"/>
  </r>
  <r>
    <x v="3"/>
    <x v="0"/>
    <n v="21"/>
    <n v="2021"/>
    <x v="0"/>
    <n v="5"/>
    <x v="1"/>
    <s v="Yes"/>
    <x v="2"/>
    <n v="1"/>
    <x v="1"/>
    <x v="0"/>
    <s v="Yes"/>
    <x v="3"/>
    <x v="0"/>
    <x v="4"/>
    <s v="No"/>
    <s v="No"/>
    <x v="0"/>
    <s v="Software Development"/>
    <n v="4"/>
    <x v="2"/>
    <s v="Single"/>
    <x v="0"/>
    <s v="Bachelor"/>
    <x v="0"/>
    <n v="1.05"/>
    <s v="No"/>
    <n v="2.8"/>
    <n v="18"/>
    <n v="30000"/>
    <x v="0"/>
    <x v="0"/>
    <n v="56"/>
  </r>
  <r>
    <x v="3"/>
    <x v="1"/>
    <n v="21"/>
    <n v="2021"/>
    <x v="0"/>
    <n v="6"/>
    <x v="1"/>
    <s v="Yes"/>
    <x v="7"/>
    <n v="2"/>
    <x v="0"/>
    <x v="0"/>
    <s v="No"/>
    <x v="1"/>
    <x v="2"/>
    <x v="5"/>
    <s v="Yes"/>
    <s v="No"/>
    <x v="0"/>
    <s v="Software Development"/>
    <n v="2"/>
    <x v="7"/>
    <s v="Relationship"/>
    <x v="0"/>
    <s v="Bachelor"/>
    <x v="0"/>
    <n v="1.47"/>
    <s v="No"/>
    <n v="2.54"/>
    <n v="88"/>
    <n v="32000"/>
    <x v="0"/>
    <x v="0"/>
    <n v="67"/>
  </r>
  <r>
    <x v="3"/>
    <x v="0"/>
    <n v="23"/>
    <n v="2020"/>
    <x v="0"/>
    <n v="5"/>
    <x v="1"/>
    <s v="Yes"/>
    <x v="2"/>
    <n v="2"/>
    <x v="0"/>
    <x v="0"/>
    <s v="Yes"/>
    <x v="3"/>
    <x v="1"/>
    <x v="5"/>
    <s v="Yes"/>
    <s v="No"/>
    <x v="0"/>
    <s v="Software Development"/>
    <n v="3"/>
    <x v="2"/>
    <s v="Single"/>
    <x v="0"/>
    <s v="Bachelor"/>
    <x v="0"/>
    <n v="1.58"/>
    <s v="Yes"/>
    <n v="1.42"/>
    <n v="14"/>
    <n v="35000"/>
    <x v="2"/>
    <x v="0"/>
    <n v="55"/>
  </r>
  <r>
    <x v="1"/>
    <x v="0"/>
    <n v="23"/>
    <n v="2020"/>
    <x v="0"/>
    <n v="5"/>
    <x v="1"/>
    <s v="Yes"/>
    <x v="4"/>
    <n v="2"/>
    <x v="0"/>
    <x v="0"/>
    <s v="Yes"/>
    <x v="4"/>
    <x v="1"/>
    <x v="0"/>
    <s v="No"/>
    <s v="No"/>
    <x v="1"/>
    <s v="Software Development"/>
    <n v="5"/>
    <x v="2"/>
    <s v="Single"/>
    <x v="0"/>
    <s v="Bachelor"/>
    <x v="0"/>
    <n v="2.4500000000000002"/>
    <s v="No"/>
    <n v="2.39"/>
    <n v="40"/>
    <n v="35000"/>
    <x v="2"/>
    <x v="0"/>
    <n v="69"/>
  </r>
  <r>
    <x v="1"/>
    <x v="0"/>
    <n v="19"/>
    <n v="2021"/>
    <x v="0"/>
    <n v="8"/>
    <x v="1"/>
    <s v="Yes"/>
    <x v="0"/>
    <n v="3"/>
    <x v="1"/>
    <x v="0"/>
    <s v="Yes"/>
    <x v="2"/>
    <x v="2"/>
    <x v="44"/>
    <s v="No"/>
    <s v="No"/>
    <x v="1"/>
    <s v="Cyber security"/>
    <n v="4"/>
    <x v="0"/>
    <s v="Single"/>
    <x v="1"/>
    <s v="Family"/>
    <x v="0"/>
    <n v="1.87"/>
    <s v="No"/>
    <n v="2.8"/>
    <n v="136"/>
    <n v="35000"/>
    <x v="0"/>
    <x v="0"/>
    <n v="56.6"/>
  </r>
  <r>
    <x v="2"/>
    <x v="0"/>
    <n v="21"/>
    <n v="2019"/>
    <x v="0"/>
    <n v="9"/>
    <x v="1"/>
    <s v="Yes"/>
    <x v="0"/>
    <n v="2"/>
    <x v="1"/>
    <x v="0"/>
    <s v="Yes"/>
    <x v="7"/>
    <x v="0"/>
    <x v="7"/>
    <s v="No"/>
    <s v="No"/>
    <x v="1"/>
    <s v="Software Development"/>
    <n v="1"/>
    <x v="2"/>
    <s v="Single"/>
    <x v="1"/>
    <s v="Family"/>
    <x v="0"/>
    <n v="2.33"/>
    <s v="No"/>
    <n v="3.47"/>
    <n v="128"/>
    <n v="37000"/>
    <x v="0"/>
    <x v="0"/>
    <n v="40"/>
  </r>
  <r>
    <x v="2"/>
    <x v="0"/>
    <n v="24"/>
    <n v="2019"/>
    <x v="0"/>
    <n v="11"/>
    <x v="1"/>
    <s v="Yes"/>
    <x v="1"/>
    <n v="3"/>
    <x v="0"/>
    <x v="0"/>
    <s v="Yes"/>
    <x v="2"/>
    <x v="2"/>
    <x v="5"/>
    <s v="Yes"/>
    <s v="No"/>
    <x v="1"/>
    <s v="Cyber security"/>
    <n v="2"/>
    <x v="0"/>
    <s v="Relationship"/>
    <x v="1"/>
    <s v="Bachelor"/>
    <x v="0"/>
    <n v="2.9"/>
    <s v="No"/>
    <n v="3.92"/>
    <n v="144"/>
    <n v="37000"/>
    <x v="1"/>
    <x v="0"/>
    <n v="49"/>
  </r>
  <r>
    <x v="1"/>
    <x v="1"/>
    <n v="19"/>
    <n v="2021"/>
    <x v="0"/>
    <n v="6"/>
    <x v="1"/>
    <s v="Yes"/>
    <x v="0"/>
    <n v="1"/>
    <x v="0"/>
    <x v="0"/>
    <s v="Yes"/>
    <x v="0"/>
    <x v="2"/>
    <x v="23"/>
    <s v="Yes"/>
    <s v="No"/>
    <x v="1"/>
    <s v="Cyber security"/>
    <n v="3"/>
    <x v="0"/>
    <s v="Single"/>
    <x v="1"/>
    <s v="Bachelor"/>
    <x v="0"/>
    <n v="1.78"/>
    <s v="No"/>
    <n v="2.63"/>
    <n v="97"/>
    <n v="37000"/>
    <x v="0"/>
    <x v="0"/>
    <n v="42"/>
  </r>
  <r>
    <x v="2"/>
    <x v="1"/>
    <n v="21"/>
    <n v="2019"/>
    <x v="0"/>
    <n v="11"/>
    <x v="1"/>
    <s v="Yes"/>
    <x v="5"/>
    <n v="2"/>
    <x v="0"/>
    <x v="0"/>
    <s v="Yes"/>
    <x v="6"/>
    <x v="2"/>
    <x v="5"/>
    <s v="No"/>
    <s v="No"/>
    <x v="1"/>
    <s v="Cyber security"/>
    <n v="2"/>
    <x v="2"/>
    <s v="Single"/>
    <x v="1"/>
    <s v="Family"/>
    <x v="0"/>
    <n v="2.77"/>
    <s v="No"/>
    <n v="3.91"/>
    <n v="139"/>
    <n v="38000"/>
    <x v="1"/>
    <x v="0"/>
    <n v="58"/>
  </r>
  <r>
    <x v="1"/>
    <x v="1"/>
    <n v="22"/>
    <n v="2021"/>
    <x v="0"/>
    <n v="7"/>
    <x v="1"/>
    <s v="Yes"/>
    <x v="5"/>
    <n v="2"/>
    <x v="0"/>
    <x v="0"/>
    <s v="Yes"/>
    <x v="0"/>
    <x v="2"/>
    <x v="5"/>
    <s v="No"/>
    <s v="No"/>
    <x v="1"/>
    <s v="Cyber security"/>
    <n v="2"/>
    <x v="6"/>
    <s v="Relationship"/>
    <x v="1"/>
    <s v="Family"/>
    <x v="0"/>
    <n v="1.98"/>
    <s v="No"/>
    <n v="3.03"/>
    <n v="111"/>
    <n v="39000"/>
    <x v="0"/>
    <x v="0"/>
    <n v="58"/>
  </r>
  <r>
    <x v="2"/>
    <x v="0"/>
    <n v="23"/>
    <n v="2018"/>
    <x v="0"/>
    <n v="11"/>
    <x v="1"/>
    <s v="Yes"/>
    <x v="3"/>
    <n v="2"/>
    <x v="1"/>
    <x v="0"/>
    <s v="Yes"/>
    <x v="14"/>
    <x v="1"/>
    <x v="46"/>
    <s v="No"/>
    <s v="No"/>
    <x v="0"/>
    <s v="Software Development"/>
    <n v="2"/>
    <x v="2"/>
    <s v="Relationship"/>
    <x v="0"/>
    <s v="Bachelor"/>
    <x v="0"/>
    <n v="1.43"/>
    <s v="No"/>
    <n v="2.65"/>
    <n v="107"/>
    <n v="40000"/>
    <x v="0"/>
    <x v="0"/>
    <n v="35"/>
  </r>
  <r>
    <x v="1"/>
    <x v="0"/>
    <n v="20"/>
    <n v="2020"/>
    <x v="0"/>
    <n v="9"/>
    <x v="0"/>
    <s v="Yes"/>
    <x v="3"/>
    <n v="2"/>
    <x v="0"/>
    <x v="0"/>
    <s v="Yes"/>
    <x v="1"/>
    <x v="2"/>
    <x v="5"/>
    <s v="No"/>
    <s v="No"/>
    <x v="1"/>
    <s v="Cyber security"/>
    <n v="3"/>
    <x v="2"/>
    <s v="Single"/>
    <x v="1"/>
    <s v="Family"/>
    <x v="0"/>
    <n v="2.77"/>
    <s v="No"/>
    <n v="3.96"/>
    <n v="129"/>
    <n v="42000"/>
    <x v="1"/>
    <x v="0"/>
    <n v="64"/>
  </r>
  <r>
    <x v="2"/>
    <x v="1"/>
    <n v="20"/>
    <n v="2020"/>
    <x v="0"/>
    <n v="11"/>
    <x v="0"/>
    <s v="Yes"/>
    <x v="2"/>
    <n v="2"/>
    <x v="1"/>
    <x v="0"/>
    <s v="Yes"/>
    <x v="1"/>
    <x v="2"/>
    <x v="59"/>
    <s v="Yes"/>
    <s v="No"/>
    <x v="1"/>
    <s v="Networking"/>
    <n v="4"/>
    <x v="6"/>
    <s v="Married"/>
    <x v="1"/>
    <s v="Family"/>
    <x v="0"/>
    <n v="2.81"/>
    <s v="No"/>
    <n v="3.9"/>
    <n v="144"/>
    <n v="43000"/>
    <x v="1"/>
    <x v="0"/>
    <n v="35.200000000000003"/>
  </r>
  <r>
    <x v="2"/>
    <x v="1"/>
    <n v="21"/>
    <n v="2019"/>
    <x v="0"/>
    <n v="11"/>
    <x v="1"/>
    <s v="Yes"/>
    <x v="0"/>
    <n v="1"/>
    <x v="1"/>
    <x v="0"/>
    <s v="Yes"/>
    <x v="1"/>
    <x v="0"/>
    <x v="7"/>
    <s v="No"/>
    <s v="No"/>
    <x v="1"/>
    <s v="Software Development"/>
    <n v="2"/>
    <x v="2"/>
    <s v="Relationship"/>
    <x v="1"/>
    <s v="Bachelor"/>
    <x v="1"/>
    <n v="2.1"/>
    <s v="No"/>
    <n v="3.2"/>
    <n v="137"/>
    <n v="45000"/>
    <x v="0"/>
    <x v="0"/>
    <n v="43"/>
  </r>
  <r>
    <x v="2"/>
    <x v="1"/>
    <n v="25"/>
    <n v="2019"/>
    <x v="0"/>
    <n v="11"/>
    <x v="1"/>
    <s v="Yes"/>
    <x v="2"/>
    <n v="2"/>
    <x v="0"/>
    <x v="0"/>
    <s v="Yes"/>
    <x v="2"/>
    <x v="0"/>
    <x v="50"/>
    <s v="Yes"/>
    <s v="No"/>
    <x v="1"/>
    <s v="Machine Learning"/>
    <n v="4"/>
    <x v="0"/>
    <s v="Relationship"/>
    <x v="0"/>
    <s v="Bachelor"/>
    <x v="0"/>
    <n v="1.87"/>
    <s v="No"/>
    <n v="2.92"/>
    <n v="144"/>
    <n v="45000"/>
    <x v="0"/>
    <x v="0"/>
    <n v="44.8"/>
  </r>
  <r>
    <x v="3"/>
    <x v="1"/>
    <n v="22"/>
    <n v="2020"/>
    <x v="0"/>
    <n v="5"/>
    <x v="0"/>
    <s v="Yes"/>
    <x v="1"/>
    <n v="2"/>
    <x v="0"/>
    <x v="0"/>
    <s v="Yes"/>
    <x v="6"/>
    <x v="0"/>
    <x v="5"/>
    <s v="No"/>
    <s v="No"/>
    <x v="0"/>
    <s v="Software Development"/>
    <n v="1"/>
    <x v="2"/>
    <s v="Single"/>
    <x v="0"/>
    <s v="Family"/>
    <x v="1"/>
    <n v="2.58"/>
    <s v="No"/>
    <n v="3.74"/>
    <n v="39"/>
    <n v="45000"/>
    <x v="1"/>
    <x v="0"/>
    <n v="46"/>
  </r>
  <r>
    <x v="1"/>
    <x v="1"/>
    <n v="22"/>
    <n v="2021"/>
    <x v="0"/>
    <n v="6"/>
    <x v="1"/>
    <s v="Yes"/>
    <x v="0"/>
    <n v="1"/>
    <x v="0"/>
    <x v="0"/>
    <s v="Yes"/>
    <x v="6"/>
    <x v="0"/>
    <x v="2"/>
    <s v="Yes"/>
    <s v="No"/>
    <x v="0"/>
    <s v="Cyber security"/>
    <n v="2"/>
    <x v="6"/>
    <s v="Relationship"/>
    <x v="1"/>
    <s v="Bachelor"/>
    <x v="0"/>
    <n v="1.77"/>
    <s v="No"/>
    <n v="2.82"/>
    <n v="109"/>
    <n v="45000"/>
    <x v="0"/>
    <x v="0"/>
    <n v="47"/>
  </r>
  <r>
    <x v="0"/>
    <x v="0"/>
    <n v="24"/>
    <n v="2018"/>
    <x v="0"/>
    <n v="11"/>
    <x v="1"/>
    <s v="Yes"/>
    <x v="0"/>
    <n v="1"/>
    <x v="0"/>
    <x v="0"/>
    <s v="Yes"/>
    <x v="6"/>
    <x v="0"/>
    <x v="3"/>
    <s v="Yes"/>
    <s v="No"/>
    <x v="0"/>
    <s v="Artificial Intelligence"/>
    <n v="3"/>
    <x v="6"/>
    <s v="Single"/>
    <x v="1"/>
    <s v="Family"/>
    <x v="0"/>
    <n v="2.16"/>
    <s v="No"/>
    <n v="3.33"/>
    <n v="143"/>
    <n v="46000"/>
    <x v="0"/>
    <x v="0"/>
    <n v="53.2"/>
  </r>
  <r>
    <x v="2"/>
    <x v="1"/>
    <n v="23"/>
    <n v="2018"/>
    <x v="0"/>
    <n v="11"/>
    <x v="0"/>
    <s v="Yes"/>
    <x v="1"/>
    <n v="1"/>
    <x v="0"/>
    <x v="0"/>
    <s v="No"/>
    <x v="2"/>
    <x v="2"/>
    <x v="5"/>
    <s v="No"/>
    <s v="No"/>
    <x v="1"/>
    <s v="Software Development"/>
    <n v="3"/>
    <x v="6"/>
    <s v="Single"/>
    <x v="0"/>
    <s v="Family"/>
    <x v="1"/>
    <n v="2.5299999999999998"/>
    <s v="No"/>
    <n v="3.81"/>
    <n v="132"/>
    <n v="50000"/>
    <x v="1"/>
    <x v="0"/>
    <n v="52"/>
  </r>
  <r>
    <x v="3"/>
    <x v="0"/>
    <n v="23"/>
    <n v="2020"/>
    <x v="0"/>
    <n v="8"/>
    <x v="1"/>
    <s v="Yes"/>
    <x v="0"/>
    <n v="2"/>
    <x v="0"/>
    <x v="0"/>
    <s v="Yes"/>
    <x v="1"/>
    <x v="2"/>
    <x v="8"/>
    <s v="No"/>
    <s v="No"/>
    <x v="0"/>
    <s v="Software Development"/>
    <n v="2"/>
    <x v="2"/>
    <s v="Relationship"/>
    <x v="1"/>
    <s v="Family"/>
    <x v="0"/>
    <n v="2.75"/>
    <s v="No"/>
    <n v="3.64"/>
    <n v="18"/>
    <n v="50000"/>
    <x v="1"/>
    <x v="0"/>
    <n v="54.2"/>
  </r>
  <r>
    <x v="2"/>
    <x v="1"/>
    <n v="20"/>
    <n v="2020"/>
    <x v="0"/>
    <n v="9"/>
    <x v="1"/>
    <s v="Yes"/>
    <x v="0"/>
    <n v="2"/>
    <x v="1"/>
    <x v="0"/>
    <s v="Yes"/>
    <x v="6"/>
    <x v="2"/>
    <x v="7"/>
    <s v="No"/>
    <s v="No"/>
    <x v="0"/>
    <s v="Software Development"/>
    <n v="1"/>
    <x v="7"/>
    <s v="Single"/>
    <x v="0"/>
    <s v="Family"/>
    <x v="0"/>
    <n v="2.0099999999999998"/>
    <s v="No"/>
    <n v="3.15"/>
    <n v="131"/>
    <n v="50000"/>
    <x v="0"/>
    <x v="0"/>
    <n v="40"/>
  </r>
  <r>
    <x v="1"/>
    <x v="1"/>
    <n v="20"/>
    <n v="2020"/>
    <x v="0"/>
    <n v="9"/>
    <x v="0"/>
    <s v="Yes"/>
    <x v="0"/>
    <n v="2"/>
    <x v="1"/>
    <x v="0"/>
    <s v="Yes"/>
    <x v="1"/>
    <x v="0"/>
    <x v="42"/>
    <s v="No"/>
    <s v="No"/>
    <x v="0"/>
    <s v="Artificial Intelligence"/>
    <n v="3"/>
    <x v="6"/>
    <s v="Single"/>
    <x v="0"/>
    <s v="Family"/>
    <x v="0"/>
    <n v="2.77"/>
    <s v="No"/>
    <n v="3.8"/>
    <n v="129"/>
    <n v="50000"/>
    <x v="1"/>
    <x v="0"/>
    <n v="48.400000000000006"/>
  </r>
  <r>
    <x v="4"/>
    <x v="1"/>
    <n v="22"/>
    <n v="2018"/>
    <x v="0"/>
    <n v="11"/>
    <x v="1"/>
    <s v="Yes"/>
    <x v="3"/>
    <n v="3"/>
    <x v="1"/>
    <x v="0"/>
    <s v="Yes"/>
    <x v="14"/>
    <x v="0"/>
    <x v="2"/>
    <s v="No"/>
    <s v="No"/>
    <x v="1"/>
    <s v="Software Development"/>
    <n v="2"/>
    <x v="7"/>
    <s v="Single"/>
    <x v="1"/>
    <s v="Bachelor"/>
    <x v="0"/>
    <n v="2.04"/>
    <s v="No"/>
    <n v="3.16"/>
    <n v="143"/>
    <n v="51000"/>
    <x v="0"/>
    <x v="0"/>
    <n v="53"/>
  </r>
  <r>
    <x v="1"/>
    <x v="0"/>
    <n v="20"/>
    <n v="2020"/>
    <x v="0"/>
    <n v="7"/>
    <x v="0"/>
    <s v="Yes"/>
    <x v="3"/>
    <n v="3"/>
    <x v="1"/>
    <x v="0"/>
    <s v="Yes"/>
    <x v="4"/>
    <x v="0"/>
    <x v="55"/>
    <s v="No"/>
    <s v="No"/>
    <x v="0"/>
    <s v="Cyber security"/>
    <n v="2"/>
    <x v="0"/>
    <s v="Single"/>
    <x v="1"/>
    <s v="Family"/>
    <x v="0"/>
    <n v="2.0099999999999998"/>
    <s v="No"/>
    <n v="3.13"/>
    <n v="101"/>
    <n v="51000"/>
    <x v="0"/>
    <x v="0"/>
    <n v="43"/>
  </r>
  <r>
    <x v="1"/>
    <x v="1"/>
    <n v="20"/>
    <n v="2020"/>
    <x v="0"/>
    <n v="8"/>
    <x v="1"/>
    <s v="Yes"/>
    <x v="0"/>
    <n v="2"/>
    <x v="1"/>
    <x v="0"/>
    <s v="Yes"/>
    <x v="1"/>
    <x v="1"/>
    <x v="63"/>
    <s v="No"/>
    <s v="No"/>
    <x v="0"/>
    <s v="Software Development"/>
    <n v="4"/>
    <x v="7"/>
    <s v="Relationship"/>
    <x v="0"/>
    <s v="Bachelor"/>
    <x v="0"/>
    <n v="1.87"/>
    <s v="No"/>
    <n v="2.93"/>
    <n v="117"/>
    <n v="52000"/>
    <x v="0"/>
    <x v="0"/>
    <n v="30.6"/>
  </r>
  <r>
    <x v="2"/>
    <x v="0"/>
    <n v="24"/>
    <n v="2019"/>
    <x v="0"/>
    <n v="10"/>
    <x v="0"/>
    <s v="Yes"/>
    <x v="4"/>
    <n v="2"/>
    <x v="0"/>
    <x v="0"/>
    <s v="Yes"/>
    <x v="1"/>
    <x v="2"/>
    <x v="5"/>
    <s v="No"/>
    <s v="No"/>
    <x v="1"/>
    <s v="Cyber security"/>
    <n v="1"/>
    <x v="0"/>
    <s v="Married"/>
    <x v="0"/>
    <s v="Family"/>
    <x v="0"/>
    <n v="2.02"/>
    <s v="No"/>
    <n v="3.11"/>
    <n v="134"/>
    <n v="53000"/>
    <x v="0"/>
    <x v="0"/>
    <n v="61"/>
  </r>
  <r>
    <x v="1"/>
    <x v="0"/>
    <n v="21"/>
    <n v="2021"/>
    <x v="0"/>
    <n v="9"/>
    <x v="1"/>
    <s v="Yes"/>
    <x v="0"/>
    <n v="2"/>
    <x v="0"/>
    <x v="0"/>
    <s v="Yes"/>
    <x v="5"/>
    <x v="0"/>
    <x v="7"/>
    <s v="No"/>
    <s v="No"/>
    <x v="0"/>
    <s v="Software Development"/>
    <n v="2"/>
    <x v="7"/>
    <s v="Relationship"/>
    <x v="0"/>
    <s v="Bachelor"/>
    <x v="0"/>
    <n v="1.98"/>
    <s v="No"/>
    <n v="2.97"/>
    <n v="105"/>
    <n v="53000"/>
    <x v="0"/>
    <x v="0"/>
    <n v="43"/>
  </r>
  <r>
    <x v="2"/>
    <x v="0"/>
    <n v="21"/>
    <n v="2019"/>
    <x v="0"/>
    <n v="9"/>
    <x v="1"/>
    <s v="Yes"/>
    <x v="5"/>
    <n v="2"/>
    <x v="1"/>
    <x v="0"/>
    <s v="Yes"/>
    <x v="0"/>
    <x v="2"/>
    <x v="5"/>
    <s v="No"/>
    <s v="No"/>
    <x v="1"/>
    <s v="Cyber security"/>
    <n v="1"/>
    <x v="2"/>
    <s v="Single"/>
    <x v="0"/>
    <s v="Family"/>
    <x v="0"/>
    <n v="2.56"/>
    <s v="No"/>
    <n v="3.79"/>
    <n v="132"/>
    <n v="55000"/>
    <x v="1"/>
    <x v="0"/>
    <n v="55"/>
  </r>
  <r>
    <x v="4"/>
    <x v="0"/>
    <n v="23"/>
    <n v="2019"/>
    <x v="0"/>
    <n v="11"/>
    <x v="1"/>
    <s v="Yes"/>
    <x v="0"/>
    <n v="1"/>
    <x v="1"/>
    <x v="0"/>
    <s v="Yes"/>
    <x v="2"/>
    <x v="0"/>
    <x v="5"/>
    <s v="Yes"/>
    <s v="No"/>
    <x v="1"/>
    <s v="Networking"/>
    <n v="1"/>
    <x v="6"/>
    <s v="Married"/>
    <x v="0"/>
    <s v="Family"/>
    <x v="0"/>
    <n v="1.54"/>
    <s v="No"/>
    <n v="2.66"/>
    <n v="136"/>
    <n v="55000"/>
    <x v="0"/>
    <x v="0"/>
    <n v="52"/>
  </r>
  <r>
    <x v="2"/>
    <x v="0"/>
    <n v="23"/>
    <n v="2019"/>
    <x v="0"/>
    <n v="11"/>
    <x v="1"/>
    <s v="Yes"/>
    <x v="0"/>
    <n v="3"/>
    <x v="0"/>
    <x v="0"/>
    <s v="Yes"/>
    <x v="3"/>
    <x v="0"/>
    <x v="5"/>
    <s v="No"/>
    <s v="No"/>
    <x v="1"/>
    <s v="Software Development"/>
    <n v="1"/>
    <x v="2"/>
    <s v="Single"/>
    <x v="0"/>
    <s v="Bachelor"/>
    <x v="0"/>
    <n v="1.56"/>
    <s v="No"/>
    <n v="2.65"/>
    <n v="143"/>
    <n v="55000"/>
    <x v="0"/>
    <x v="0"/>
    <n v="52"/>
  </r>
  <r>
    <x v="3"/>
    <x v="1"/>
    <n v="20"/>
    <n v="2020"/>
    <x v="0"/>
    <n v="6"/>
    <x v="1"/>
    <s v="Yes"/>
    <x v="0"/>
    <n v="2"/>
    <x v="0"/>
    <x v="0"/>
    <s v="Yes"/>
    <x v="1"/>
    <x v="1"/>
    <x v="58"/>
    <s v="No"/>
    <s v="No"/>
    <x v="0"/>
    <s v="Networking"/>
    <n v="1"/>
    <x v="6"/>
    <s v="Relationship"/>
    <x v="0"/>
    <s v="Family"/>
    <x v="0"/>
    <n v="1.88"/>
    <s v="No"/>
    <n v="2.98"/>
    <n v="77"/>
    <n v="55000"/>
    <x v="0"/>
    <x v="0"/>
    <n v="24"/>
  </r>
  <r>
    <x v="2"/>
    <x v="0"/>
    <n v="22"/>
    <n v="2020"/>
    <x v="0"/>
    <n v="10"/>
    <x v="1"/>
    <s v="Yes"/>
    <x v="1"/>
    <n v="2"/>
    <x v="0"/>
    <x v="0"/>
    <s v="No"/>
    <x v="2"/>
    <x v="0"/>
    <x v="5"/>
    <s v="No"/>
    <s v="No"/>
    <x v="1"/>
    <s v="Software Development"/>
    <n v="2"/>
    <x v="0"/>
    <s v="Single"/>
    <x v="1"/>
    <s v="Bachelor"/>
    <x v="1"/>
    <n v="2.76"/>
    <s v="No"/>
    <n v="3.8"/>
    <n v="136"/>
    <n v="55000"/>
    <x v="1"/>
    <x v="0"/>
    <n v="49"/>
  </r>
  <r>
    <x v="3"/>
    <x v="1"/>
    <n v="20"/>
    <n v="2021"/>
    <x v="0"/>
    <n v="4"/>
    <x v="1"/>
    <s v="Yes"/>
    <x v="0"/>
    <n v="2"/>
    <x v="0"/>
    <x v="0"/>
    <s v="Yes"/>
    <x v="2"/>
    <x v="0"/>
    <x v="9"/>
    <s v="No"/>
    <s v="No"/>
    <x v="0"/>
    <s v="Software Development"/>
    <n v="2"/>
    <x v="0"/>
    <s v="Single"/>
    <x v="0"/>
    <s v="Bachelor"/>
    <x v="0"/>
    <n v="1.56"/>
    <s v="No"/>
    <n v="2.97"/>
    <n v="67"/>
    <n v="55000"/>
    <x v="0"/>
    <x v="0"/>
    <n v="49"/>
  </r>
  <r>
    <x v="4"/>
    <x v="1"/>
    <n v="21"/>
    <n v="2018"/>
    <x v="0"/>
    <n v="10"/>
    <x v="1"/>
    <s v="Yes"/>
    <x v="1"/>
    <n v="1"/>
    <x v="1"/>
    <x v="0"/>
    <s v="Yes"/>
    <x v="15"/>
    <x v="0"/>
    <x v="29"/>
    <s v="Yes"/>
    <s v="No"/>
    <x v="1"/>
    <s v="Cyber security"/>
    <n v="1"/>
    <x v="6"/>
    <s v="Relationship"/>
    <x v="0"/>
    <s v="Bachelor"/>
    <x v="1"/>
    <n v="1.24"/>
    <s v="No"/>
    <n v="2.35"/>
    <n v="137"/>
    <n v="56000"/>
    <x v="2"/>
    <x v="0"/>
    <n v="28.8"/>
  </r>
  <r>
    <x v="2"/>
    <x v="1"/>
    <n v="21"/>
    <n v="2019"/>
    <x v="0"/>
    <n v="10"/>
    <x v="1"/>
    <s v="Yes"/>
    <x v="3"/>
    <n v="2"/>
    <x v="1"/>
    <x v="0"/>
    <s v="Yes"/>
    <x v="4"/>
    <x v="2"/>
    <x v="0"/>
    <s v="No"/>
    <s v="No"/>
    <x v="0"/>
    <s v="Machine Learning"/>
    <n v="2"/>
    <x v="2"/>
    <s v="Single"/>
    <x v="0"/>
    <s v="Family"/>
    <x v="0"/>
    <n v="1.95"/>
    <s v="No"/>
    <n v="2.92"/>
    <n v="139"/>
    <n v="58000"/>
    <x v="0"/>
    <x v="0"/>
    <n v="57"/>
  </r>
  <r>
    <x v="1"/>
    <x v="1"/>
    <n v="21"/>
    <n v="2021"/>
    <x v="0"/>
    <n v="9"/>
    <x v="1"/>
    <s v="Yes"/>
    <x v="1"/>
    <n v="1"/>
    <x v="0"/>
    <x v="0"/>
    <s v="Yes"/>
    <x v="2"/>
    <x v="2"/>
    <x v="14"/>
    <s v="Yes"/>
    <s v="No"/>
    <x v="1"/>
    <s v="Cyber security"/>
    <n v="2"/>
    <x v="0"/>
    <s v="Married"/>
    <x v="0"/>
    <s v="Family"/>
    <x v="1"/>
    <n v="1.65"/>
    <s v="No"/>
    <n v="2.7"/>
    <n v="139"/>
    <n v="59000"/>
    <x v="0"/>
    <x v="0"/>
    <n v="29"/>
  </r>
  <r>
    <x v="0"/>
    <x v="1"/>
    <n v="24"/>
    <n v="2016"/>
    <x v="0"/>
    <n v="8"/>
    <x v="1"/>
    <s v="Yes"/>
    <x v="0"/>
    <n v="2"/>
    <x v="1"/>
    <x v="0"/>
    <s v="Yes"/>
    <x v="7"/>
    <x v="0"/>
    <x v="44"/>
    <s v="Yes"/>
    <s v="No"/>
    <x v="1"/>
    <s v="Networking"/>
    <n v="1"/>
    <x v="0"/>
    <s v="Married"/>
    <x v="1"/>
    <s v="Family"/>
    <x v="0"/>
    <n v="1.1100000000000001"/>
    <s v="No"/>
    <n v="2.35"/>
    <n v="95"/>
    <n v="60000"/>
    <x v="2"/>
    <x v="0"/>
    <n v="47.6"/>
  </r>
  <r>
    <x v="2"/>
    <x v="1"/>
    <n v="24"/>
    <n v="2018"/>
    <x v="0"/>
    <n v="9"/>
    <x v="1"/>
    <s v="Yes"/>
    <x v="1"/>
    <n v="2"/>
    <x v="0"/>
    <x v="0"/>
    <s v="Yes"/>
    <x v="7"/>
    <x v="0"/>
    <x v="7"/>
    <s v="No"/>
    <s v="No"/>
    <x v="1"/>
    <s v="Networking"/>
    <n v="2"/>
    <x v="6"/>
    <s v="Single"/>
    <x v="1"/>
    <s v="Bachelor"/>
    <x v="0"/>
    <n v="1.71"/>
    <s v="No"/>
    <n v="2.82"/>
    <n v="118"/>
    <n v="60000"/>
    <x v="0"/>
    <x v="0"/>
    <n v="37"/>
  </r>
  <r>
    <x v="2"/>
    <x v="0"/>
    <n v="23"/>
    <n v="2019"/>
    <x v="0"/>
    <n v="11"/>
    <x v="0"/>
    <s v="Yes"/>
    <x v="5"/>
    <n v="2"/>
    <x v="1"/>
    <x v="0"/>
    <s v="Yes"/>
    <x v="0"/>
    <x v="0"/>
    <x v="4"/>
    <s v="Yes"/>
    <s v="No"/>
    <x v="0"/>
    <s v="Networking"/>
    <n v="5"/>
    <x v="0"/>
    <s v="Relationship"/>
    <x v="0"/>
    <s v="Bachelor"/>
    <x v="0"/>
    <n v="1.33"/>
    <s v="No"/>
    <n v="2.99"/>
    <n v="104"/>
    <n v="60000"/>
    <x v="0"/>
    <x v="0"/>
    <n v="65"/>
  </r>
  <r>
    <x v="1"/>
    <x v="1"/>
    <n v="20"/>
    <n v="2020"/>
    <x v="0"/>
    <n v="9"/>
    <x v="1"/>
    <s v="Yes"/>
    <x v="2"/>
    <n v="1"/>
    <x v="0"/>
    <x v="0"/>
    <s v="No"/>
    <x v="1"/>
    <x v="0"/>
    <x v="5"/>
    <s v="Yes"/>
    <s v="No"/>
    <x v="0"/>
    <s v="Artificial Intelligence"/>
    <n v="2"/>
    <x v="0"/>
    <s v="Relationship"/>
    <x v="0"/>
    <s v="Bachelor"/>
    <x v="0"/>
    <n v="2.56"/>
    <s v="No"/>
    <n v="3.63"/>
    <n v="106"/>
    <n v="60000"/>
    <x v="1"/>
    <x v="0"/>
    <n v="52"/>
  </r>
  <r>
    <x v="3"/>
    <x v="0"/>
    <n v="22"/>
    <n v="2022"/>
    <x v="0"/>
    <n v="3"/>
    <x v="0"/>
    <s v="Yes"/>
    <x v="5"/>
    <n v="2"/>
    <x v="0"/>
    <x v="0"/>
    <s v="Yes"/>
    <x v="1"/>
    <x v="0"/>
    <x v="5"/>
    <s v="No"/>
    <s v="No"/>
    <x v="1"/>
    <s v="Software Development"/>
    <n v="2"/>
    <x v="7"/>
    <s v="Single"/>
    <x v="1"/>
    <s v="Bachelor"/>
    <x v="0"/>
    <n v="2.81"/>
    <s v="No"/>
    <n v="3.97"/>
    <n v="51"/>
    <n v="60000"/>
    <x v="1"/>
    <x v="0"/>
    <n v="58"/>
  </r>
  <r>
    <x v="2"/>
    <x v="1"/>
    <n v="21"/>
    <n v="2020"/>
    <x v="0"/>
    <n v="10"/>
    <x v="0"/>
    <s v="Yes"/>
    <x v="2"/>
    <n v="1"/>
    <x v="0"/>
    <x v="0"/>
    <s v="Yes"/>
    <x v="3"/>
    <x v="2"/>
    <x v="5"/>
    <s v="No"/>
    <s v="No"/>
    <x v="1"/>
    <s v="Artificial Intelligence"/>
    <n v="1"/>
    <x v="2"/>
    <s v="Relationship"/>
    <x v="1"/>
    <s v="Bachelor"/>
    <x v="0"/>
    <n v="2.73"/>
    <s v="No"/>
    <n v="3.81"/>
    <n v="135"/>
    <n v="61000"/>
    <x v="1"/>
    <x v="0"/>
    <n v="49"/>
  </r>
  <r>
    <x v="1"/>
    <x v="1"/>
    <n v="19"/>
    <n v="2021"/>
    <x v="0"/>
    <n v="6"/>
    <x v="1"/>
    <s v="Yes"/>
    <x v="7"/>
    <n v="3"/>
    <x v="0"/>
    <x v="0"/>
    <s v="Yes"/>
    <x v="1"/>
    <x v="0"/>
    <x v="44"/>
    <s v="No"/>
    <s v="No"/>
    <x v="1"/>
    <s v="Software Development"/>
    <n v="1"/>
    <x v="7"/>
    <s v="Relationship"/>
    <x v="1"/>
    <s v="Family"/>
    <x v="0"/>
    <n v="1.88"/>
    <s v="No"/>
    <n v="2.9"/>
    <n v="132"/>
    <n v="64000"/>
    <x v="0"/>
    <x v="0"/>
    <n v="59.6"/>
  </r>
  <r>
    <x v="3"/>
    <x v="0"/>
    <n v="23"/>
    <n v="2020"/>
    <x v="0"/>
    <n v="5"/>
    <x v="0"/>
    <s v="Yes"/>
    <x v="2"/>
    <n v="3"/>
    <x v="1"/>
    <x v="0"/>
    <s v="Yes"/>
    <x v="1"/>
    <x v="1"/>
    <x v="0"/>
    <s v="No"/>
    <s v="No"/>
    <x v="1"/>
    <s v="Networking"/>
    <n v="3"/>
    <x v="6"/>
    <s v="Single"/>
    <x v="0"/>
    <s v="Family"/>
    <x v="0"/>
    <n v="2.33"/>
    <s v="No"/>
    <n v="3.68"/>
    <n v="43"/>
    <n v="65000"/>
    <x v="1"/>
    <x v="0"/>
    <n v="51"/>
  </r>
  <r>
    <x v="4"/>
    <x v="0"/>
    <n v="24"/>
    <n v="2018"/>
    <x v="0"/>
    <n v="11"/>
    <x v="1"/>
    <s v="Yes"/>
    <x v="0"/>
    <n v="2"/>
    <x v="1"/>
    <x v="0"/>
    <s v="Yes"/>
    <x v="0"/>
    <x v="0"/>
    <x v="5"/>
    <s v="No"/>
    <s v="No"/>
    <x v="0"/>
    <s v="Software Development"/>
    <n v="2"/>
    <x v="2"/>
    <s v="Single"/>
    <x v="1"/>
    <s v="Bachelor"/>
    <x v="1"/>
    <n v="2.2200000000000002"/>
    <s v="No"/>
    <n v="3.45"/>
    <n v="132"/>
    <n v="66000"/>
    <x v="0"/>
    <x v="0"/>
    <n v="55"/>
  </r>
  <r>
    <x v="1"/>
    <x v="0"/>
    <n v="20"/>
    <n v="2020"/>
    <x v="0"/>
    <n v="9"/>
    <x v="1"/>
    <s v="Yes"/>
    <x v="2"/>
    <n v="1"/>
    <x v="0"/>
    <x v="0"/>
    <s v="Yes"/>
    <x v="1"/>
    <x v="2"/>
    <x v="37"/>
    <s v="No"/>
    <s v="No"/>
    <x v="1"/>
    <s v="Networking"/>
    <n v="2"/>
    <x v="6"/>
    <s v="Single"/>
    <x v="1"/>
    <s v="Bachelor"/>
    <x v="0"/>
    <n v="1.45"/>
    <s v="No"/>
    <n v="2.5299999999999998"/>
    <n v="117"/>
    <n v="66000"/>
    <x v="0"/>
    <x v="0"/>
    <n v="30"/>
  </r>
  <r>
    <x v="3"/>
    <x v="1"/>
    <n v="20"/>
    <n v="2021"/>
    <x v="0"/>
    <n v="5"/>
    <x v="1"/>
    <s v="Yes"/>
    <x v="5"/>
    <n v="2"/>
    <x v="1"/>
    <x v="0"/>
    <s v="Yes"/>
    <x v="1"/>
    <x v="0"/>
    <x v="5"/>
    <s v="No"/>
    <s v="No"/>
    <x v="1"/>
    <s v="Software Development"/>
    <n v="1"/>
    <x v="2"/>
    <s v="Single"/>
    <x v="0"/>
    <s v="Bachelor"/>
    <x v="1"/>
    <n v="1.76"/>
    <s v="No"/>
    <n v="2.82"/>
    <n v="62"/>
    <n v="66000"/>
    <x v="0"/>
    <x v="0"/>
    <n v="55"/>
  </r>
  <r>
    <x v="3"/>
    <x v="1"/>
    <n v="20"/>
    <n v="2021"/>
    <x v="0"/>
    <n v="5"/>
    <x v="0"/>
    <s v="Yes"/>
    <x v="3"/>
    <n v="3"/>
    <x v="0"/>
    <x v="0"/>
    <s v="Yes"/>
    <x v="1"/>
    <x v="0"/>
    <x v="5"/>
    <s v="No"/>
    <s v="No"/>
    <x v="0"/>
    <s v="Software Development"/>
    <n v="2"/>
    <x v="2"/>
    <s v="Single"/>
    <x v="0"/>
    <s v="Family"/>
    <x v="1"/>
    <n v="2.66"/>
    <s v="No"/>
    <n v="3.79"/>
    <n v="58"/>
    <n v="67000"/>
    <x v="1"/>
    <x v="0"/>
    <n v="61"/>
  </r>
  <r>
    <x v="2"/>
    <x v="1"/>
    <n v="25"/>
    <n v="2019"/>
    <x v="0"/>
    <n v="11"/>
    <x v="1"/>
    <s v="Yes"/>
    <x v="2"/>
    <n v="2"/>
    <x v="0"/>
    <x v="0"/>
    <s v="Yes"/>
    <x v="2"/>
    <x v="0"/>
    <x v="59"/>
    <s v="Yes"/>
    <s v="No"/>
    <x v="0"/>
    <s v="Networking"/>
    <n v="2"/>
    <x v="6"/>
    <s v="Relationship"/>
    <x v="0"/>
    <s v="Bachelor"/>
    <x v="0"/>
    <n v="2.5499999999999998"/>
    <s v="No"/>
    <n v="3.6"/>
    <n v="143"/>
    <n v="68000"/>
    <x v="1"/>
    <x v="0"/>
    <n v="29.2"/>
  </r>
  <r>
    <x v="2"/>
    <x v="1"/>
    <n v="21"/>
    <n v="2020"/>
    <x v="0"/>
    <n v="11"/>
    <x v="1"/>
    <s v="Yes"/>
    <x v="5"/>
    <n v="2"/>
    <x v="0"/>
    <x v="0"/>
    <s v="Yes"/>
    <x v="1"/>
    <x v="0"/>
    <x v="17"/>
    <s v="No"/>
    <s v="No"/>
    <x v="0"/>
    <s v="Networking"/>
    <n v="4"/>
    <x v="6"/>
    <s v="Married"/>
    <x v="1"/>
    <s v="Family"/>
    <x v="0"/>
    <n v="2.71"/>
    <s v="No"/>
    <n v="3.78"/>
    <n v="143"/>
    <n v="68000"/>
    <x v="1"/>
    <x v="0"/>
    <n v="58.800000000000004"/>
  </r>
  <r>
    <x v="3"/>
    <x v="1"/>
    <n v="20"/>
    <n v="2021"/>
    <x v="0"/>
    <n v="5"/>
    <x v="1"/>
    <s v="Yes"/>
    <x v="0"/>
    <n v="1"/>
    <x v="0"/>
    <x v="0"/>
    <s v="Yes"/>
    <x v="7"/>
    <x v="0"/>
    <x v="3"/>
    <s v="No"/>
    <s v="No"/>
    <x v="1"/>
    <s v="Software Development"/>
    <n v="3"/>
    <x v="7"/>
    <s v="Relationship"/>
    <x v="1"/>
    <s v="Bachelor"/>
    <x v="1"/>
    <n v="2.2200000000000002"/>
    <s v="No"/>
    <n v="3.19"/>
    <n v="87"/>
    <n v="68000"/>
    <x v="0"/>
    <x v="0"/>
    <n v="53.2"/>
  </r>
  <r>
    <x v="1"/>
    <x v="0"/>
    <n v="21"/>
    <n v="2021"/>
    <x v="0"/>
    <n v="4"/>
    <x v="1"/>
    <s v="Yes"/>
    <x v="1"/>
    <n v="1"/>
    <x v="1"/>
    <x v="0"/>
    <s v="Yes"/>
    <x v="6"/>
    <x v="0"/>
    <x v="2"/>
    <s v="Yes"/>
    <s v="Yes"/>
    <x v="1"/>
    <s v="Machine Learning"/>
    <n v="1"/>
    <x v="2"/>
    <s v="Relationship"/>
    <x v="0"/>
    <s v="Bachelor"/>
    <x v="0"/>
    <n v="1.95"/>
    <s v="No"/>
    <n v="2.88"/>
    <n v="43"/>
    <n v="68000"/>
    <x v="0"/>
    <x v="0"/>
    <n v="38"/>
  </r>
  <r>
    <x v="1"/>
    <x v="1"/>
    <n v="22"/>
    <n v="2018"/>
    <x v="0"/>
    <n v="6"/>
    <x v="0"/>
    <s v="Yes"/>
    <x v="2"/>
    <n v="2"/>
    <x v="1"/>
    <x v="0"/>
    <s v="Yes"/>
    <x v="3"/>
    <x v="0"/>
    <x v="5"/>
    <s v="No"/>
    <s v="No"/>
    <x v="0"/>
    <s v="Software Development"/>
    <n v="1"/>
    <x v="0"/>
    <s v="Single"/>
    <x v="1"/>
    <s v="Family"/>
    <x v="0"/>
    <n v="2.77"/>
    <s v="No"/>
    <n v="3.56"/>
    <n v="56"/>
    <n v="70000"/>
    <x v="1"/>
    <x v="0"/>
    <n v="49"/>
  </r>
  <r>
    <x v="4"/>
    <x v="0"/>
    <n v="21"/>
    <n v="2018"/>
    <x v="0"/>
    <n v="8"/>
    <x v="0"/>
    <s v="Yes"/>
    <x v="7"/>
    <n v="2"/>
    <x v="0"/>
    <x v="0"/>
    <s v="Yes"/>
    <x v="2"/>
    <x v="2"/>
    <x v="5"/>
    <s v="No"/>
    <s v="No"/>
    <x v="1"/>
    <s v="Machine Learning"/>
    <n v="2"/>
    <x v="6"/>
    <s v="Single"/>
    <x v="0"/>
    <s v="Bachelor"/>
    <x v="0"/>
    <n v="2.75"/>
    <s v="No"/>
    <n v="3.93"/>
    <n v="125"/>
    <n v="70000"/>
    <x v="1"/>
    <x v="0"/>
    <n v="67"/>
  </r>
  <r>
    <x v="1"/>
    <x v="1"/>
    <n v="21"/>
    <n v="2020"/>
    <x v="0"/>
    <n v="6"/>
    <x v="0"/>
    <s v="Yes"/>
    <x v="4"/>
    <n v="2"/>
    <x v="0"/>
    <x v="0"/>
    <s v="Yes"/>
    <x v="5"/>
    <x v="0"/>
    <x v="5"/>
    <s v="No"/>
    <s v="No"/>
    <x v="0"/>
    <s v="Networking"/>
    <n v="6"/>
    <x v="2"/>
    <s v="Single"/>
    <x v="1"/>
    <s v="Bachelor"/>
    <x v="0"/>
    <n v="2.61"/>
    <s v="No"/>
    <n v="3.78"/>
    <n v="35"/>
    <n v="70000"/>
    <x v="1"/>
    <x v="0"/>
    <n v="76"/>
  </r>
  <r>
    <x v="2"/>
    <x v="1"/>
    <n v="22"/>
    <n v="2020"/>
    <x v="0"/>
    <n v="7"/>
    <x v="1"/>
    <s v="Yes"/>
    <x v="4"/>
    <n v="2"/>
    <x v="1"/>
    <x v="0"/>
    <s v="Yes"/>
    <x v="4"/>
    <x v="2"/>
    <x v="58"/>
    <s v="Yes"/>
    <s v="No"/>
    <x v="0"/>
    <s v="Cyber security"/>
    <n v="1"/>
    <x v="7"/>
    <s v="Relationship"/>
    <x v="1"/>
    <s v="Family"/>
    <x v="0"/>
    <n v="1.35"/>
    <s v="No"/>
    <n v="2.65"/>
    <n v="105"/>
    <n v="70000"/>
    <x v="0"/>
    <x v="0"/>
    <n v="33"/>
  </r>
  <r>
    <x v="2"/>
    <x v="0"/>
    <n v="20"/>
    <n v="2020"/>
    <x v="0"/>
    <n v="10"/>
    <x v="1"/>
    <s v="Yes"/>
    <x v="1"/>
    <n v="3"/>
    <x v="0"/>
    <x v="0"/>
    <s v="Yes"/>
    <x v="2"/>
    <x v="2"/>
    <x v="17"/>
    <s v="Yes"/>
    <s v="No"/>
    <x v="1"/>
    <s v="Networking"/>
    <n v="1"/>
    <x v="6"/>
    <s v="Relationship"/>
    <x v="1"/>
    <s v="Bachelor"/>
    <x v="0"/>
    <n v="2.44"/>
    <s v="No"/>
    <n v="3.56"/>
    <n v="135"/>
    <n v="70000"/>
    <x v="1"/>
    <x v="0"/>
    <n v="40.800000000000004"/>
  </r>
  <r>
    <x v="3"/>
    <x v="1"/>
    <n v="20"/>
    <n v="2021"/>
    <x v="0"/>
    <n v="6"/>
    <x v="1"/>
    <s v="Yes"/>
    <x v="5"/>
    <n v="3"/>
    <x v="0"/>
    <x v="0"/>
    <s v="Yes"/>
    <x v="2"/>
    <x v="2"/>
    <x v="5"/>
    <s v="No"/>
    <s v="No"/>
    <x v="0"/>
    <s v="Software Development"/>
    <n v="1"/>
    <x v="2"/>
    <s v="Relationship"/>
    <x v="0"/>
    <s v="Bachelor"/>
    <x v="1"/>
    <n v="1.56"/>
    <s v="No"/>
    <n v="2.64"/>
    <n v="78"/>
    <n v="70000"/>
    <x v="0"/>
    <x v="0"/>
    <n v="55"/>
  </r>
  <r>
    <x v="3"/>
    <x v="1"/>
    <n v="20"/>
    <n v="2021"/>
    <x v="0"/>
    <n v="5"/>
    <x v="1"/>
    <s v="Yes"/>
    <x v="0"/>
    <n v="3"/>
    <x v="0"/>
    <x v="0"/>
    <s v="Yes"/>
    <x v="2"/>
    <x v="2"/>
    <x v="5"/>
    <s v="No"/>
    <s v="No"/>
    <x v="0"/>
    <s v="Networking"/>
    <n v="1"/>
    <x v="6"/>
    <s v="Relationship"/>
    <x v="1"/>
    <s v="Bachelor"/>
    <x v="0"/>
    <n v="1.76"/>
    <s v="No"/>
    <n v="2.84"/>
    <n v="58"/>
    <n v="70000"/>
    <x v="0"/>
    <x v="0"/>
    <n v="52"/>
  </r>
  <r>
    <x v="3"/>
    <x v="1"/>
    <n v="20"/>
    <n v="2020"/>
    <x v="0"/>
    <n v="4"/>
    <x v="1"/>
    <s v="Yes"/>
    <x v="3"/>
    <n v="4"/>
    <x v="0"/>
    <x v="0"/>
    <s v="Yes"/>
    <x v="5"/>
    <x v="0"/>
    <x v="7"/>
    <s v="No"/>
    <s v="No"/>
    <x v="0"/>
    <s v="Software Development"/>
    <n v="2"/>
    <x v="2"/>
    <s v="Relationship"/>
    <x v="0"/>
    <s v="Family"/>
    <x v="0"/>
    <n v="1.9"/>
    <s v="No"/>
    <n v="3.13"/>
    <n v="89"/>
    <n v="71000"/>
    <x v="0"/>
    <x v="0"/>
    <n v="49"/>
  </r>
  <r>
    <x v="1"/>
    <x v="0"/>
    <n v="21"/>
    <n v="2020"/>
    <x v="0"/>
    <n v="6"/>
    <x v="1"/>
    <s v="Yes"/>
    <x v="5"/>
    <n v="2"/>
    <x v="0"/>
    <x v="0"/>
    <s v="Yes"/>
    <x v="5"/>
    <x v="0"/>
    <x v="5"/>
    <s v="No"/>
    <s v="No"/>
    <x v="0"/>
    <s v="Software Development"/>
    <n v="3"/>
    <x v="7"/>
    <s v="Single"/>
    <x v="1"/>
    <s v="Family"/>
    <x v="0"/>
    <n v="1.99"/>
    <s v="No"/>
    <n v="3.05"/>
    <n v="79"/>
    <n v="71000"/>
    <x v="0"/>
    <x v="0"/>
    <n v="61"/>
  </r>
  <r>
    <x v="3"/>
    <x v="1"/>
    <n v="21"/>
    <n v="2021"/>
    <x v="0"/>
    <n v="7"/>
    <x v="1"/>
    <s v="Yes"/>
    <x v="1"/>
    <n v="2"/>
    <x v="0"/>
    <x v="0"/>
    <s v="Yes"/>
    <x v="2"/>
    <x v="0"/>
    <x v="41"/>
    <s v="Yes"/>
    <s v="No"/>
    <x v="1"/>
    <s v="Artificial Intelligence"/>
    <n v="2"/>
    <x v="0"/>
    <s v="Relationship"/>
    <x v="1"/>
    <s v="Family"/>
    <x v="0"/>
    <n v="2.4300000000000002"/>
    <s v="No"/>
    <n v="3.55"/>
    <n v="107"/>
    <n v="71000"/>
    <x v="1"/>
    <x v="0"/>
    <n v="31.400000000000002"/>
  </r>
  <r>
    <x v="4"/>
    <x v="1"/>
    <n v="23"/>
    <n v="2019"/>
    <x v="0"/>
    <n v="10"/>
    <x v="1"/>
    <s v="Yes"/>
    <x v="3"/>
    <n v="1"/>
    <x v="0"/>
    <x v="0"/>
    <s v="Yes"/>
    <x v="2"/>
    <x v="1"/>
    <x v="30"/>
    <s v="No"/>
    <s v="No"/>
    <x v="1"/>
    <s v="Software Development"/>
    <n v="2"/>
    <x v="2"/>
    <s v="Single"/>
    <x v="1"/>
    <s v="Bachelor"/>
    <x v="1"/>
    <n v="1.67"/>
    <s v="No"/>
    <n v="2.74"/>
    <n v="137"/>
    <n v="74000"/>
    <x v="0"/>
    <x v="0"/>
    <n v="57.4"/>
  </r>
  <r>
    <x v="2"/>
    <x v="1"/>
    <n v="20"/>
    <n v="2020"/>
    <x v="0"/>
    <n v="11"/>
    <x v="0"/>
    <s v="Yes"/>
    <x v="5"/>
    <n v="1"/>
    <x v="0"/>
    <x v="0"/>
    <s v="Yes"/>
    <x v="2"/>
    <x v="0"/>
    <x v="5"/>
    <s v="Yes"/>
    <s v="No"/>
    <x v="1"/>
    <s v="Networking"/>
    <n v="1"/>
    <x v="6"/>
    <s v="Married"/>
    <x v="1"/>
    <s v="Family"/>
    <x v="0"/>
    <n v="2.78"/>
    <s v="No"/>
    <n v="3.83"/>
    <n v="143"/>
    <n v="74000"/>
    <x v="1"/>
    <x v="0"/>
    <n v="55"/>
  </r>
  <r>
    <x v="2"/>
    <x v="0"/>
    <n v="22"/>
    <n v="2019"/>
    <x v="0"/>
    <n v="9"/>
    <x v="0"/>
    <s v="Yes"/>
    <x v="0"/>
    <n v="4"/>
    <x v="0"/>
    <x v="0"/>
    <s v="Yes"/>
    <x v="5"/>
    <x v="2"/>
    <x v="5"/>
    <s v="No"/>
    <s v="No"/>
    <x v="1"/>
    <s v="Software Development"/>
    <n v="3"/>
    <x v="7"/>
    <s v="Single"/>
    <x v="1"/>
    <s v="Bachelor"/>
    <x v="1"/>
    <n v="1.81"/>
    <s v="No"/>
    <n v="2.95"/>
    <n v="137"/>
    <n v="75000"/>
    <x v="0"/>
    <x v="0"/>
    <n v="58"/>
  </r>
  <r>
    <x v="2"/>
    <x v="0"/>
    <n v="20"/>
    <n v="2020"/>
    <x v="0"/>
    <n v="11"/>
    <x v="0"/>
    <s v="Yes"/>
    <x v="7"/>
    <n v="4"/>
    <x v="0"/>
    <x v="0"/>
    <s v="Yes"/>
    <x v="2"/>
    <x v="2"/>
    <x v="5"/>
    <s v="No"/>
    <s v="No"/>
    <x v="1"/>
    <s v="Cyber security"/>
    <n v="3"/>
    <x v="0"/>
    <s v="Single"/>
    <x v="0"/>
    <s v="Family"/>
    <x v="0"/>
    <n v="2.91"/>
    <s v="No"/>
    <n v="3.97"/>
    <n v="139"/>
    <n v="75000"/>
    <x v="1"/>
    <x v="0"/>
    <n v="70"/>
  </r>
  <r>
    <x v="10"/>
    <x v="0"/>
    <n v="19"/>
    <n v="2022"/>
    <x v="0"/>
    <n v="2"/>
    <x v="1"/>
    <s v="Yes"/>
    <x v="0"/>
    <n v="1"/>
    <x v="1"/>
    <x v="0"/>
    <s v="Yes"/>
    <x v="0"/>
    <x v="1"/>
    <x v="5"/>
    <s v="No"/>
    <s v="No"/>
    <x v="1"/>
    <s v="Cyber security"/>
    <n v="1"/>
    <x v="7"/>
    <s v="Single"/>
    <x v="1"/>
    <s v="Bachelor"/>
    <x v="0"/>
    <n v="2.65"/>
    <s v="No"/>
    <n v="3.57"/>
    <n v="27"/>
    <n v="75000"/>
    <x v="1"/>
    <x v="0"/>
    <n v="52"/>
  </r>
  <r>
    <x v="4"/>
    <x v="0"/>
    <n v="24"/>
    <n v="2018"/>
    <x v="0"/>
    <n v="11"/>
    <x v="1"/>
    <s v="Yes"/>
    <x v="5"/>
    <n v="2"/>
    <x v="1"/>
    <x v="0"/>
    <s v="Yes"/>
    <x v="5"/>
    <x v="0"/>
    <x v="22"/>
    <s v="No"/>
    <s v="No"/>
    <x v="0"/>
    <s v="Cyber security"/>
    <n v="2"/>
    <x v="0"/>
    <s v="Single"/>
    <x v="1"/>
    <s v="Family"/>
    <x v="1"/>
    <n v="2.23"/>
    <s v="No"/>
    <n v="3.65"/>
    <n v="145"/>
    <n v="76000"/>
    <x v="1"/>
    <x v="0"/>
    <n v="48.8"/>
  </r>
  <r>
    <x v="2"/>
    <x v="1"/>
    <n v="21"/>
    <n v="2019"/>
    <x v="0"/>
    <n v="7"/>
    <x v="1"/>
    <s v="Yes"/>
    <x v="0"/>
    <n v="1"/>
    <x v="1"/>
    <x v="0"/>
    <s v="Yes"/>
    <x v="5"/>
    <x v="1"/>
    <x v="31"/>
    <s v="No"/>
    <s v="No"/>
    <x v="1"/>
    <s v="Software Development"/>
    <n v="3"/>
    <x v="2"/>
    <s v="Single"/>
    <x v="1"/>
    <s v="Family"/>
    <x v="1"/>
    <n v="2.13"/>
    <s v="No"/>
    <n v="3.28"/>
    <n v="98"/>
    <n v="77000"/>
    <x v="0"/>
    <x v="0"/>
    <n v="52.4"/>
  </r>
  <r>
    <x v="4"/>
    <x v="0"/>
    <n v="23"/>
    <n v="2019"/>
    <x v="0"/>
    <n v="11"/>
    <x v="0"/>
    <s v="Yes"/>
    <x v="3"/>
    <n v="3"/>
    <x v="0"/>
    <x v="0"/>
    <s v="Yes"/>
    <x v="0"/>
    <x v="0"/>
    <x v="5"/>
    <s v="No"/>
    <s v="No"/>
    <x v="0"/>
    <s v="Machine Learning"/>
    <n v="2"/>
    <x v="2"/>
    <s v="Single"/>
    <x v="0"/>
    <s v="Family"/>
    <x v="0"/>
    <n v="2.66"/>
    <s v="No"/>
    <n v="3.85"/>
    <n v="145"/>
    <n v="77000"/>
    <x v="1"/>
    <x v="0"/>
    <n v="61"/>
  </r>
  <r>
    <x v="2"/>
    <x v="1"/>
    <n v="20"/>
    <n v="2020"/>
    <x v="0"/>
    <n v="11"/>
    <x v="1"/>
    <s v="Yes"/>
    <x v="0"/>
    <n v="3"/>
    <x v="1"/>
    <x v="0"/>
    <s v="No"/>
    <x v="1"/>
    <x v="0"/>
    <x v="5"/>
    <s v="No"/>
    <s v="No"/>
    <x v="0"/>
    <s v="Software Development"/>
    <n v="4"/>
    <x v="2"/>
    <s v="Single"/>
    <x v="0"/>
    <s v="Family"/>
    <x v="0"/>
    <n v="2.87"/>
    <s v="No"/>
    <n v="3.9"/>
    <n v="143"/>
    <n v="77000"/>
    <x v="1"/>
    <x v="0"/>
    <n v="61"/>
  </r>
  <r>
    <x v="3"/>
    <x v="1"/>
    <n v="20"/>
    <n v="2021"/>
    <x v="0"/>
    <n v="7"/>
    <x v="1"/>
    <s v="Yes"/>
    <x v="2"/>
    <n v="2"/>
    <x v="1"/>
    <x v="0"/>
    <s v="Yes"/>
    <x v="1"/>
    <x v="0"/>
    <x v="50"/>
    <s v="No"/>
    <s v="No"/>
    <x v="0"/>
    <s v="Networking"/>
    <n v="3"/>
    <x v="6"/>
    <s v="Relationship"/>
    <x v="0"/>
    <s v="Bachelor"/>
    <x v="1"/>
    <n v="2.65"/>
    <s v="No"/>
    <n v="3.75"/>
    <n v="95"/>
    <n v="77000"/>
    <x v="1"/>
    <x v="0"/>
    <n v="41.8"/>
  </r>
  <r>
    <x v="1"/>
    <x v="1"/>
    <n v="22"/>
    <n v="2021"/>
    <x v="0"/>
    <n v="10"/>
    <x v="1"/>
    <s v="Yes"/>
    <x v="2"/>
    <n v="3"/>
    <x v="1"/>
    <x v="0"/>
    <s v="No"/>
    <x v="3"/>
    <x v="0"/>
    <x v="5"/>
    <s v="No"/>
    <s v="No"/>
    <x v="1"/>
    <s v="Software Development"/>
    <n v="2"/>
    <x v="2"/>
    <s v="Relationship"/>
    <x v="0"/>
    <s v="Family"/>
    <x v="0"/>
    <n v="1.38"/>
    <s v="No"/>
    <n v="2.5099999999999998"/>
    <n v="134"/>
    <n v="77000"/>
    <x v="0"/>
    <x v="0"/>
    <n v="52"/>
  </r>
  <r>
    <x v="4"/>
    <x v="0"/>
    <n v="25"/>
    <n v="2018"/>
    <x v="0"/>
    <n v="11"/>
    <x v="0"/>
    <s v="Yes"/>
    <x v="3"/>
    <n v="3"/>
    <x v="1"/>
    <x v="0"/>
    <s v="No"/>
    <x v="10"/>
    <x v="0"/>
    <x v="5"/>
    <s v="No"/>
    <s v="No"/>
    <x v="0"/>
    <s v="Machine Learning"/>
    <n v="2"/>
    <x v="7"/>
    <s v="Married"/>
    <x v="1"/>
    <s v="Family"/>
    <x v="0"/>
    <n v="2.19"/>
    <s v="No"/>
    <n v="3.45"/>
    <n v="103"/>
    <n v="78000"/>
    <x v="0"/>
    <x v="0"/>
    <n v="61"/>
  </r>
  <r>
    <x v="2"/>
    <x v="1"/>
    <n v="20"/>
    <n v="2019"/>
    <x v="0"/>
    <n v="8"/>
    <x v="1"/>
    <s v="Yes"/>
    <x v="0"/>
    <n v="1"/>
    <x v="0"/>
    <x v="0"/>
    <s v="No"/>
    <x v="5"/>
    <x v="0"/>
    <x v="2"/>
    <s v="No"/>
    <s v="No"/>
    <x v="1"/>
    <s v="Software Development"/>
    <n v="3"/>
    <x v="0"/>
    <s v="Single"/>
    <x v="1"/>
    <s v="Family"/>
    <x v="0"/>
    <n v="2.11"/>
    <s v="No"/>
    <n v="3.46"/>
    <n v="101"/>
    <n v="78000"/>
    <x v="0"/>
    <x v="0"/>
    <n v="50"/>
  </r>
  <r>
    <x v="2"/>
    <x v="1"/>
    <n v="25"/>
    <n v="2019"/>
    <x v="0"/>
    <n v="11"/>
    <x v="1"/>
    <s v="Yes"/>
    <x v="1"/>
    <n v="2"/>
    <x v="0"/>
    <x v="0"/>
    <s v="Yes"/>
    <x v="2"/>
    <x v="1"/>
    <x v="50"/>
    <s v="Yes"/>
    <s v="No"/>
    <x v="1"/>
    <s v="Machine Learning"/>
    <n v="4"/>
    <x v="0"/>
    <s v="Married"/>
    <x v="0"/>
    <s v="Family"/>
    <x v="0"/>
    <n v="1.78"/>
    <s v="No"/>
    <n v="2.8"/>
    <n v="143"/>
    <n v="78000"/>
    <x v="0"/>
    <x v="0"/>
    <n v="41.8"/>
  </r>
  <r>
    <x v="1"/>
    <x v="1"/>
    <n v="19"/>
    <n v="2021"/>
    <x v="0"/>
    <n v="7"/>
    <x v="1"/>
    <s v="Yes"/>
    <x v="0"/>
    <n v="2"/>
    <x v="0"/>
    <x v="0"/>
    <s v="Yes"/>
    <x v="0"/>
    <x v="0"/>
    <x v="5"/>
    <s v="No"/>
    <s v="No"/>
    <x v="1"/>
    <s v="Artificial Intelligence"/>
    <n v="2"/>
    <x v="6"/>
    <s v="Single"/>
    <x v="1"/>
    <s v="Bachelor"/>
    <x v="0"/>
    <n v="2.4500000000000002"/>
    <s v="No"/>
    <n v="3.76"/>
    <n v="100"/>
    <n v="78000"/>
    <x v="1"/>
    <x v="0"/>
    <n v="55"/>
  </r>
  <r>
    <x v="1"/>
    <x v="0"/>
    <n v="20"/>
    <n v="2020"/>
    <x v="0"/>
    <n v="10"/>
    <x v="1"/>
    <s v="Yes"/>
    <x v="2"/>
    <n v="3"/>
    <x v="0"/>
    <x v="0"/>
    <s v="Yes"/>
    <x v="2"/>
    <x v="0"/>
    <x v="5"/>
    <s v="Yes"/>
    <s v="No"/>
    <x v="1"/>
    <s v="Networking"/>
    <n v="4"/>
    <x v="6"/>
    <s v="Single"/>
    <x v="0"/>
    <s v="Family"/>
    <x v="0"/>
    <n v="2.67"/>
    <s v="No"/>
    <n v="3.7"/>
    <n v="132"/>
    <n v="79000"/>
    <x v="1"/>
    <x v="0"/>
    <n v="58"/>
  </r>
  <r>
    <x v="1"/>
    <x v="0"/>
    <n v="21"/>
    <n v="2021"/>
    <x v="0"/>
    <n v="9"/>
    <x v="0"/>
    <s v="Yes"/>
    <x v="0"/>
    <n v="3"/>
    <x v="1"/>
    <x v="0"/>
    <s v="Yes"/>
    <x v="2"/>
    <x v="1"/>
    <x v="5"/>
    <s v="Yes"/>
    <s v="No"/>
    <x v="0"/>
    <s v="Software Development"/>
    <n v="2"/>
    <x v="0"/>
    <s v="Relationship"/>
    <x v="0"/>
    <s v="Family"/>
    <x v="0"/>
    <n v="2.61"/>
    <s v="No"/>
    <n v="3.77"/>
    <n v="123"/>
    <n v="79000"/>
    <x v="1"/>
    <x v="0"/>
    <n v="55"/>
  </r>
  <r>
    <x v="2"/>
    <x v="1"/>
    <n v="25"/>
    <n v="2018"/>
    <x v="0"/>
    <n v="12"/>
    <x v="0"/>
    <s v="Yes"/>
    <x v="4"/>
    <n v="2"/>
    <x v="1"/>
    <x v="0"/>
    <s v="Yes"/>
    <x v="5"/>
    <x v="0"/>
    <x v="2"/>
    <s v="No"/>
    <s v="No"/>
    <x v="0"/>
    <s v="Software Development"/>
    <n v="3"/>
    <x v="2"/>
    <s v="Married"/>
    <x v="1"/>
    <s v="Family"/>
    <x v="0"/>
    <n v="1.61"/>
    <s v="No"/>
    <n v="2.81"/>
    <n v="133"/>
    <n v="80000"/>
    <x v="0"/>
    <x v="0"/>
    <n v="59"/>
  </r>
  <r>
    <x v="2"/>
    <x v="0"/>
    <n v="23"/>
    <n v="2019"/>
    <x v="0"/>
    <n v="9"/>
    <x v="1"/>
    <s v="Yes"/>
    <x v="1"/>
    <n v="1"/>
    <x v="0"/>
    <x v="0"/>
    <s v="Yes"/>
    <x v="0"/>
    <x v="1"/>
    <x v="5"/>
    <s v="No"/>
    <s v="No"/>
    <x v="0"/>
    <s v="Networking"/>
    <n v="1"/>
    <x v="6"/>
    <s v="Married"/>
    <x v="1"/>
    <s v="Bachelor"/>
    <x v="0"/>
    <n v="2.89"/>
    <s v="No"/>
    <n v="3.89"/>
    <n v="102"/>
    <n v="80000"/>
    <x v="1"/>
    <x v="0"/>
    <n v="46"/>
  </r>
  <r>
    <x v="1"/>
    <x v="1"/>
    <n v="20"/>
    <n v="2020"/>
    <x v="0"/>
    <n v="9"/>
    <x v="1"/>
    <s v="Yes"/>
    <x v="2"/>
    <n v="2"/>
    <x v="0"/>
    <x v="0"/>
    <s v="Yes"/>
    <x v="1"/>
    <x v="1"/>
    <x v="5"/>
    <s v="Yes"/>
    <s v="No"/>
    <x v="1"/>
    <s v="Cyber security"/>
    <n v="4"/>
    <x v="0"/>
    <s v="Married"/>
    <x v="0"/>
    <s v="Family"/>
    <x v="0"/>
    <n v="1.68"/>
    <s v="No"/>
    <n v="2.71"/>
    <n v="101"/>
    <n v="80000"/>
    <x v="0"/>
    <x v="0"/>
    <n v="58"/>
  </r>
  <r>
    <x v="2"/>
    <x v="0"/>
    <n v="20"/>
    <n v="2020"/>
    <x v="0"/>
    <n v="11"/>
    <x v="1"/>
    <s v="Yes"/>
    <x v="1"/>
    <n v="1"/>
    <x v="0"/>
    <x v="0"/>
    <s v="Yes"/>
    <x v="1"/>
    <x v="2"/>
    <x v="5"/>
    <s v="No"/>
    <s v="No"/>
    <x v="0"/>
    <s v="Cyber security"/>
    <n v="2"/>
    <x v="0"/>
    <s v="Relationship"/>
    <x v="0"/>
    <s v="Bachelor"/>
    <x v="0"/>
    <n v="1.63"/>
    <s v="No"/>
    <n v="2.7"/>
    <n v="143"/>
    <n v="80000"/>
    <x v="0"/>
    <x v="0"/>
    <n v="49"/>
  </r>
  <r>
    <x v="1"/>
    <x v="0"/>
    <n v="20"/>
    <n v="2021"/>
    <x v="0"/>
    <n v="7"/>
    <x v="1"/>
    <s v="Yes"/>
    <x v="2"/>
    <n v="1"/>
    <x v="0"/>
    <x v="0"/>
    <s v="Yes"/>
    <x v="2"/>
    <x v="2"/>
    <x v="4"/>
    <s v="No"/>
    <s v="No"/>
    <x v="0"/>
    <s v="Machine Learning"/>
    <n v="3"/>
    <x v="2"/>
    <s v="Relationship"/>
    <x v="1"/>
    <s v="Family"/>
    <x v="0"/>
    <n v="1.56"/>
    <s v="No"/>
    <n v="2.64"/>
    <n v="97"/>
    <n v="80000"/>
    <x v="0"/>
    <x v="0"/>
    <n v="53"/>
  </r>
  <r>
    <x v="2"/>
    <x v="0"/>
    <n v="20"/>
    <n v="2020"/>
    <x v="0"/>
    <n v="11"/>
    <x v="1"/>
    <s v="Yes"/>
    <x v="5"/>
    <n v="1"/>
    <x v="0"/>
    <x v="0"/>
    <s v="Yes"/>
    <x v="2"/>
    <x v="0"/>
    <x v="5"/>
    <s v="Yes"/>
    <s v="No"/>
    <x v="0"/>
    <s v="Artificial Intelligence"/>
    <n v="4"/>
    <x v="0"/>
    <s v="Relationship"/>
    <x v="0"/>
    <s v="Bachelor"/>
    <x v="0"/>
    <n v="2.75"/>
    <s v="No"/>
    <n v="3.8"/>
    <n v="143"/>
    <n v="81000"/>
    <x v="1"/>
    <x v="0"/>
    <n v="64"/>
  </r>
  <r>
    <x v="2"/>
    <x v="0"/>
    <n v="22"/>
    <n v="2018"/>
    <x v="0"/>
    <n v="7"/>
    <x v="0"/>
    <s v="Yes"/>
    <x v="4"/>
    <n v="3"/>
    <x v="0"/>
    <x v="0"/>
    <s v="No"/>
    <x v="1"/>
    <x v="2"/>
    <x v="5"/>
    <s v="No"/>
    <s v="No"/>
    <x v="1"/>
    <s v="Software Development"/>
    <n v="3"/>
    <x v="2"/>
    <s v="Single"/>
    <x v="1"/>
    <s v="Family"/>
    <x v="0"/>
    <n v="2.56"/>
    <s v="No"/>
    <n v="3.95"/>
    <n v="115"/>
    <n v="85000"/>
    <x v="1"/>
    <x v="0"/>
    <n v="67"/>
  </r>
  <r>
    <x v="2"/>
    <x v="1"/>
    <n v="22"/>
    <n v="2020"/>
    <x v="0"/>
    <n v="11"/>
    <x v="1"/>
    <s v="Yes"/>
    <x v="2"/>
    <n v="3"/>
    <x v="0"/>
    <x v="0"/>
    <s v="Yes"/>
    <x v="3"/>
    <x v="0"/>
    <x v="5"/>
    <s v="Yes"/>
    <s v="No"/>
    <x v="1"/>
    <s v="Software Development"/>
    <n v="4"/>
    <x v="2"/>
    <s v="Married"/>
    <x v="1"/>
    <s v="Family"/>
    <x v="0"/>
    <n v="2.56"/>
    <s v="No"/>
    <n v="3.66"/>
    <n v="143"/>
    <n v="86000"/>
    <x v="1"/>
    <x v="0"/>
    <n v="58"/>
  </r>
  <r>
    <x v="4"/>
    <x v="0"/>
    <n v="24"/>
    <n v="2018"/>
    <x v="0"/>
    <n v="11"/>
    <x v="1"/>
    <s v="Yes"/>
    <x v="3"/>
    <n v="2"/>
    <x v="0"/>
    <x v="0"/>
    <s v="Yes"/>
    <x v="1"/>
    <x v="0"/>
    <x v="44"/>
    <s v="Yes"/>
    <s v="No"/>
    <x v="1"/>
    <s v="Networking"/>
    <n v="4"/>
    <x v="6"/>
    <s v="Single"/>
    <x v="0"/>
    <s v="Bachelor"/>
    <x v="0"/>
    <n v="1.76"/>
    <s v="No"/>
    <n v="2.89"/>
    <n v="143"/>
    <n v="87000"/>
    <x v="0"/>
    <x v="0"/>
    <n v="62.6"/>
  </r>
  <r>
    <x v="2"/>
    <x v="0"/>
    <n v="23"/>
    <n v="2019"/>
    <x v="0"/>
    <n v="10"/>
    <x v="1"/>
    <s v="Yes"/>
    <x v="2"/>
    <n v="2"/>
    <x v="0"/>
    <x v="0"/>
    <s v="Yes"/>
    <x v="1"/>
    <x v="0"/>
    <x v="45"/>
    <s v="Yes"/>
    <s v="No"/>
    <x v="1"/>
    <s v="Networking"/>
    <n v="1"/>
    <x v="6"/>
    <s v="Single"/>
    <x v="0"/>
    <s v="Bachelor"/>
    <x v="0"/>
    <n v="2.87"/>
    <s v="No"/>
    <n v="3.91"/>
    <n v="139"/>
    <n v="88000"/>
    <x v="1"/>
    <x v="0"/>
    <n v="40.6"/>
  </r>
  <r>
    <x v="3"/>
    <x v="0"/>
    <n v="20"/>
    <n v="2021"/>
    <x v="0"/>
    <n v="7"/>
    <x v="1"/>
    <s v="Yes"/>
    <x v="0"/>
    <n v="1"/>
    <x v="0"/>
    <x v="0"/>
    <s v="Yes"/>
    <x v="2"/>
    <x v="1"/>
    <x v="14"/>
    <s v="No"/>
    <s v="No"/>
    <x v="1"/>
    <s v="Artificial Intelligence"/>
    <n v="4"/>
    <x v="0"/>
    <s v="Relationship"/>
    <x v="0"/>
    <s v="Bachelor"/>
    <x v="0"/>
    <n v="1.56"/>
    <s v="No"/>
    <n v="2.63"/>
    <n v="88"/>
    <n v="88000"/>
    <x v="0"/>
    <x v="0"/>
    <n v="41"/>
  </r>
  <r>
    <x v="4"/>
    <x v="0"/>
    <n v="21"/>
    <n v="2018"/>
    <x v="0"/>
    <n v="11"/>
    <x v="0"/>
    <s v="Yes"/>
    <x v="2"/>
    <n v="1"/>
    <x v="0"/>
    <x v="0"/>
    <s v="Yes"/>
    <x v="4"/>
    <x v="0"/>
    <x v="5"/>
    <s v="No"/>
    <s v="No"/>
    <x v="0"/>
    <s v="Machine Learning"/>
    <n v="2"/>
    <x v="0"/>
    <s v="Relationship"/>
    <x v="0"/>
    <s v="Bachelor"/>
    <x v="1"/>
    <n v="2.57"/>
    <s v="No"/>
    <n v="3.88"/>
    <n v="145"/>
    <n v="89000"/>
    <x v="1"/>
    <x v="0"/>
    <n v="52"/>
  </r>
  <r>
    <x v="4"/>
    <x v="0"/>
    <n v="25"/>
    <n v="2018"/>
    <x v="0"/>
    <n v="11"/>
    <x v="1"/>
    <s v="Yes"/>
    <x v="5"/>
    <n v="2"/>
    <x v="1"/>
    <x v="0"/>
    <s v="Yes"/>
    <x v="1"/>
    <x v="2"/>
    <x v="64"/>
    <s v="No"/>
    <s v="No"/>
    <x v="1"/>
    <s v="Artificial Intelligence"/>
    <n v="2"/>
    <x v="0"/>
    <s v="Single"/>
    <x v="0"/>
    <s v="Family"/>
    <x v="0"/>
    <n v="1.5"/>
    <s v="No"/>
    <n v="2.63"/>
    <n v="143"/>
    <n v="89000"/>
    <x v="0"/>
    <x v="0"/>
    <n v="50.4"/>
  </r>
  <r>
    <x v="1"/>
    <x v="1"/>
    <n v="20"/>
    <n v="2020"/>
    <x v="0"/>
    <n v="10"/>
    <x v="1"/>
    <s v="Yes"/>
    <x v="0"/>
    <n v="3"/>
    <x v="0"/>
    <x v="0"/>
    <s v="Yes"/>
    <x v="3"/>
    <x v="0"/>
    <x v="5"/>
    <s v="No"/>
    <s v="No"/>
    <x v="1"/>
    <s v="Machine Learning"/>
    <n v="2"/>
    <x v="0"/>
    <s v="Single"/>
    <x v="1"/>
    <s v="Bachelor"/>
    <x v="0"/>
    <n v="2.5499999999999998"/>
    <s v="No"/>
    <n v="3.6"/>
    <n v="135"/>
    <n v="89000"/>
    <x v="1"/>
    <x v="0"/>
    <n v="55"/>
  </r>
  <r>
    <x v="3"/>
    <x v="1"/>
    <n v="19"/>
    <n v="2021"/>
    <x v="0"/>
    <n v="4"/>
    <x v="0"/>
    <s v="Yes"/>
    <x v="3"/>
    <n v="2"/>
    <x v="0"/>
    <x v="0"/>
    <s v="Yes"/>
    <x v="4"/>
    <x v="2"/>
    <x v="5"/>
    <s v="No"/>
    <s v="No"/>
    <x v="0"/>
    <s v="Machine Learning"/>
    <n v="2"/>
    <x v="6"/>
    <s v="Single"/>
    <x v="0"/>
    <s v="Family"/>
    <x v="0"/>
    <n v="2.56"/>
    <s v="No"/>
    <n v="3.89"/>
    <n v="29"/>
    <n v="89000"/>
    <x v="1"/>
    <x v="0"/>
    <n v="61"/>
  </r>
  <r>
    <x v="4"/>
    <x v="0"/>
    <n v="24"/>
    <n v="2019"/>
    <x v="0"/>
    <n v="11"/>
    <x v="0"/>
    <s v="Yes"/>
    <x v="4"/>
    <n v="3"/>
    <x v="1"/>
    <x v="0"/>
    <s v="No"/>
    <x v="2"/>
    <x v="2"/>
    <x v="5"/>
    <s v="No"/>
    <s v="No"/>
    <x v="0"/>
    <s v="Artificial Intelligence"/>
    <n v="1"/>
    <x v="6"/>
    <s v="Single"/>
    <x v="0"/>
    <s v="Family"/>
    <x v="0"/>
    <n v="2.87"/>
    <s v="No"/>
    <n v="3.94"/>
    <n v="143"/>
    <n v="90000"/>
    <x v="1"/>
    <x v="0"/>
    <n v="61"/>
  </r>
  <r>
    <x v="4"/>
    <x v="1"/>
    <n v="24"/>
    <n v="2019"/>
    <x v="0"/>
    <n v="11"/>
    <x v="1"/>
    <s v="No"/>
    <x v="1"/>
    <n v="2"/>
    <x v="0"/>
    <x v="0"/>
    <s v="No"/>
    <x v="0"/>
    <x v="2"/>
    <x v="5"/>
    <s v="No"/>
    <s v="No"/>
    <x v="0"/>
    <s v="Networking"/>
    <n v="2"/>
    <x v="6"/>
    <s v="Single"/>
    <x v="0"/>
    <s v="Bachelor"/>
    <x v="0"/>
    <n v="2.48"/>
    <s v="No"/>
    <n v="3.78"/>
    <n v="144"/>
    <n v="90000"/>
    <x v="1"/>
    <x v="0"/>
    <n v="49"/>
  </r>
  <r>
    <x v="1"/>
    <x v="0"/>
    <n v="24"/>
    <n v="2019"/>
    <x v="0"/>
    <n v="6"/>
    <x v="1"/>
    <s v="Yes"/>
    <x v="1"/>
    <n v="1"/>
    <x v="0"/>
    <x v="0"/>
    <s v="Yes"/>
    <x v="9"/>
    <x v="2"/>
    <x v="0"/>
    <s v="No"/>
    <s v="No"/>
    <x v="1"/>
    <s v="Networking"/>
    <n v="1"/>
    <x v="6"/>
    <s v="Single"/>
    <x v="1"/>
    <s v="Bachelor"/>
    <x v="0"/>
    <n v="1.35"/>
    <s v="No"/>
    <n v="2.65"/>
    <n v="98"/>
    <n v="90000"/>
    <x v="0"/>
    <x v="0"/>
    <n v="42"/>
  </r>
  <r>
    <x v="2"/>
    <x v="0"/>
    <n v="22"/>
    <n v="2020"/>
    <x v="0"/>
    <n v="7"/>
    <x v="1"/>
    <s v="Yes"/>
    <x v="3"/>
    <n v="2"/>
    <x v="1"/>
    <x v="0"/>
    <s v="Yes"/>
    <x v="7"/>
    <x v="2"/>
    <x v="5"/>
    <s v="No"/>
    <s v="No"/>
    <x v="1"/>
    <s v="Software Development skill"/>
    <n v="2"/>
    <x v="7"/>
    <s v="Single"/>
    <x v="1"/>
    <s v="Family"/>
    <x v="0"/>
    <n v="1.56"/>
    <s v="No"/>
    <n v="2.98"/>
    <n v="99"/>
    <n v="90000"/>
    <x v="0"/>
    <x v="0"/>
    <n v="61"/>
  </r>
  <r>
    <x v="1"/>
    <x v="1"/>
    <n v="20"/>
    <n v="2020"/>
    <x v="0"/>
    <n v="8"/>
    <x v="1"/>
    <s v="Yes"/>
    <x v="5"/>
    <n v="3"/>
    <x v="0"/>
    <x v="0"/>
    <s v="Yes"/>
    <x v="4"/>
    <x v="0"/>
    <x v="21"/>
    <s v="Yes"/>
    <s v="No"/>
    <x v="0"/>
    <s v="Artificial Intelligence"/>
    <n v="2"/>
    <x v="2"/>
    <s v="Single"/>
    <x v="0"/>
    <s v="Family"/>
    <x v="0"/>
    <n v="1.66"/>
    <s v="No"/>
    <n v="2.4500000000000002"/>
    <n v="105"/>
    <n v="90000"/>
    <x v="2"/>
    <x v="0"/>
    <n v="44"/>
  </r>
  <r>
    <x v="3"/>
    <x v="0"/>
    <n v="20"/>
    <n v="2021"/>
    <x v="0"/>
    <n v="5"/>
    <x v="1"/>
    <s v="Yes"/>
    <x v="2"/>
    <n v="2"/>
    <x v="0"/>
    <x v="0"/>
    <s v="No"/>
    <x v="1"/>
    <x v="2"/>
    <x v="5"/>
    <s v="No"/>
    <s v="No"/>
    <x v="0"/>
    <s v="Software Development skill"/>
    <n v="2"/>
    <x v="2"/>
    <s v="Relationship"/>
    <x v="1"/>
    <s v="Family"/>
    <x v="1"/>
    <n v="1.86"/>
    <s v="No"/>
    <n v="2.91"/>
    <n v="60"/>
    <n v="93000"/>
    <x v="0"/>
    <x v="0"/>
    <n v="52"/>
  </r>
  <r>
    <x v="10"/>
    <x v="1"/>
    <n v="19"/>
    <n v="2021"/>
    <x v="0"/>
    <n v="2"/>
    <x v="1"/>
    <s v="Yes"/>
    <x v="5"/>
    <n v="3"/>
    <x v="0"/>
    <x v="0"/>
    <s v="Yes"/>
    <x v="1"/>
    <x v="0"/>
    <x v="5"/>
    <s v="No"/>
    <s v="No"/>
    <x v="1"/>
    <s v="Artificial Intelligence"/>
    <n v="2"/>
    <x v="2"/>
    <s v="Single"/>
    <x v="1"/>
    <s v="Bachelor"/>
    <x v="0"/>
    <n v="2.77"/>
    <s v="No"/>
    <n v="3.83"/>
    <n v="30"/>
    <n v="95000"/>
    <x v="1"/>
    <x v="0"/>
    <n v="58"/>
  </r>
  <r>
    <x v="3"/>
    <x v="1"/>
    <n v="21"/>
    <n v="2021"/>
    <x v="0"/>
    <n v="6"/>
    <x v="1"/>
    <s v="Yes"/>
    <x v="1"/>
    <n v="2"/>
    <x v="0"/>
    <x v="0"/>
    <s v="Yes"/>
    <x v="1"/>
    <x v="0"/>
    <x v="65"/>
    <s v="Yes"/>
    <s v="No"/>
    <x v="1"/>
    <s v="Networking"/>
    <n v="1"/>
    <x v="6"/>
    <s v="Relationship"/>
    <x v="1"/>
    <s v="Bachelor"/>
    <x v="0"/>
    <n v="2.81"/>
    <s v="No"/>
    <n v="3.9"/>
    <n v="83"/>
    <n v="95000"/>
    <x v="1"/>
    <x v="0"/>
    <n v="27.200000000000003"/>
  </r>
  <r>
    <x v="1"/>
    <x v="1"/>
    <n v="21"/>
    <n v="2020"/>
    <x v="0"/>
    <n v="9"/>
    <x v="0"/>
    <s v="Yes"/>
    <x v="2"/>
    <n v="1"/>
    <x v="0"/>
    <x v="0"/>
    <s v="Yes"/>
    <x v="1"/>
    <x v="2"/>
    <x v="5"/>
    <s v="Yes"/>
    <s v="No"/>
    <x v="1"/>
    <s v="Artificial Intelligence"/>
    <n v="2"/>
    <x v="0"/>
    <s v="Single"/>
    <x v="0"/>
    <s v="Family"/>
    <x v="0"/>
    <n v="2.75"/>
    <s v="No"/>
    <n v="3.81"/>
    <n v="120"/>
    <n v="96000"/>
    <x v="1"/>
    <x v="0"/>
    <n v="52"/>
  </r>
  <r>
    <x v="4"/>
    <x v="0"/>
    <n v="25"/>
    <n v="2018"/>
    <x v="0"/>
    <n v="11"/>
    <x v="1"/>
    <s v="Yes"/>
    <x v="3"/>
    <n v="1"/>
    <x v="0"/>
    <x v="0"/>
    <s v="Yes"/>
    <x v="1"/>
    <x v="2"/>
    <x v="50"/>
    <s v="No"/>
    <s v="No"/>
    <x v="0"/>
    <s v="Software Development"/>
    <n v="4"/>
    <x v="2"/>
    <s v="Single"/>
    <x v="0"/>
    <s v="Bachelor"/>
    <x v="0"/>
    <n v="1.56"/>
    <s v="No"/>
    <n v="2.63"/>
    <n v="143"/>
    <n v="97000"/>
    <x v="0"/>
    <x v="0"/>
    <n v="53.8"/>
  </r>
  <r>
    <x v="2"/>
    <x v="0"/>
    <n v="23"/>
    <n v="2019"/>
    <x v="0"/>
    <n v="10"/>
    <x v="0"/>
    <s v="Yes"/>
    <x v="2"/>
    <n v="2"/>
    <x v="0"/>
    <x v="0"/>
    <s v="Yes"/>
    <x v="5"/>
    <x v="0"/>
    <x v="5"/>
    <s v="No"/>
    <s v="No"/>
    <x v="1"/>
    <s v="Networking"/>
    <n v="1"/>
    <x v="6"/>
    <s v="Single"/>
    <x v="1"/>
    <s v="Family"/>
    <x v="0"/>
    <n v="2.91"/>
    <s v="No"/>
    <n v="3.98"/>
    <n v="91"/>
    <n v="97000"/>
    <x v="1"/>
    <x v="0"/>
    <n v="49"/>
  </r>
  <r>
    <x v="3"/>
    <x v="0"/>
    <n v="21"/>
    <n v="2021"/>
    <x v="0"/>
    <n v="5"/>
    <x v="1"/>
    <s v="Yes"/>
    <x v="2"/>
    <n v="2"/>
    <x v="0"/>
    <x v="0"/>
    <s v="No"/>
    <x v="2"/>
    <x v="2"/>
    <x v="35"/>
    <s v="No"/>
    <s v="No"/>
    <x v="1"/>
    <s v="Networking"/>
    <n v="2"/>
    <x v="6"/>
    <s v="Married"/>
    <x v="1"/>
    <s v="Family"/>
    <x v="0"/>
    <n v="1.54"/>
    <s v="No"/>
    <n v="2.63"/>
    <n v="68"/>
    <n v="97000"/>
    <x v="0"/>
    <x v="0"/>
    <n v="33.6"/>
  </r>
  <r>
    <x v="4"/>
    <x v="1"/>
    <n v="25"/>
    <n v="2018"/>
    <x v="0"/>
    <n v="11"/>
    <x v="1"/>
    <s v="Yes"/>
    <x v="0"/>
    <n v="3"/>
    <x v="0"/>
    <x v="0"/>
    <s v="Yes"/>
    <x v="1"/>
    <x v="0"/>
    <x v="17"/>
    <s v="Yes"/>
    <s v="Yes"/>
    <x v="1"/>
    <s v="Networking"/>
    <n v="4"/>
    <x v="6"/>
    <s v="Relationship"/>
    <x v="1"/>
    <s v="Bachelor"/>
    <x v="0"/>
    <n v="1.78"/>
    <s v="No"/>
    <n v="2.83"/>
    <n v="143"/>
    <n v="98000"/>
    <x v="0"/>
    <x v="0"/>
    <n v="55.800000000000004"/>
  </r>
  <r>
    <x v="3"/>
    <x v="1"/>
    <n v="22"/>
    <n v="2019"/>
    <x v="0"/>
    <n v="4"/>
    <x v="0"/>
    <s v="No"/>
    <x v="6"/>
    <n v="1"/>
    <x v="1"/>
    <x v="0"/>
    <s v="Yes"/>
    <x v="9"/>
    <x v="2"/>
    <x v="7"/>
    <s v="Yes"/>
    <s v="No"/>
    <x v="0"/>
    <s v="Software Development"/>
    <n v="1"/>
    <x v="7"/>
    <s v="Relationship"/>
    <x v="0"/>
    <s v="Family"/>
    <x v="0"/>
    <n v="2.9"/>
    <s v="No"/>
    <n v="3.88"/>
    <n v="60"/>
    <n v="100000"/>
    <x v="1"/>
    <x v="0"/>
    <n v="55"/>
  </r>
  <r>
    <x v="2"/>
    <x v="0"/>
    <n v="21"/>
    <n v="2019"/>
    <x v="0"/>
    <n v="9"/>
    <x v="1"/>
    <s v="Yes"/>
    <x v="0"/>
    <n v="1"/>
    <x v="0"/>
    <x v="0"/>
    <s v="Yes"/>
    <x v="1"/>
    <x v="1"/>
    <x v="41"/>
    <s v="Yes"/>
    <s v="No"/>
    <x v="1"/>
    <s v="Cyber security"/>
    <n v="4"/>
    <x v="0"/>
    <s v="Relationship"/>
    <x v="0"/>
    <s v="Family"/>
    <x v="1"/>
    <n v="2.67"/>
    <s v="No"/>
    <n v="3.75"/>
    <n v="116"/>
    <n v="100000"/>
    <x v="1"/>
    <x v="0"/>
    <n v="43.400000000000006"/>
  </r>
  <r>
    <x v="1"/>
    <x v="0"/>
    <n v="20"/>
    <n v="2021"/>
    <x v="0"/>
    <n v="8"/>
    <x v="1"/>
    <s v="Yes"/>
    <x v="5"/>
    <n v="2"/>
    <x v="1"/>
    <x v="0"/>
    <s v="No"/>
    <x v="0"/>
    <x v="0"/>
    <x v="5"/>
    <s v="No"/>
    <s v="No"/>
    <x v="1"/>
    <s v="Cyber security"/>
    <n v="1"/>
    <x v="0"/>
    <s v="Single"/>
    <x v="1"/>
    <s v="Family"/>
    <x v="0"/>
    <n v="2.33"/>
    <s v="No"/>
    <n v="3.45"/>
    <n v="102"/>
    <n v="100000"/>
    <x v="0"/>
    <x v="0"/>
    <n v="55"/>
  </r>
  <r>
    <x v="2"/>
    <x v="1"/>
    <n v="24"/>
    <n v="2018"/>
    <x v="0"/>
    <n v="9"/>
    <x v="1"/>
    <s v="Yes"/>
    <x v="0"/>
    <n v="3"/>
    <x v="0"/>
    <x v="0"/>
    <s v="Yes"/>
    <x v="1"/>
    <x v="0"/>
    <x v="36"/>
    <s v="No"/>
    <s v="No"/>
    <x v="1"/>
    <s v="Networking"/>
    <n v="4"/>
    <x v="6"/>
    <s v="Relationship"/>
    <x v="0"/>
    <s v="Bachelor"/>
    <x v="0"/>
    <n v="2.76"/>
    <s v="No"/>
    <n v="3.56"/>
    <n v="123"/>
    <n v="110000"/>
    <x v="1"/>
    <x v="0"/>
    <n v="48.2"/>
  </r>
  <r>
    <x v="1"/>
    <x v="0"/>
    <n v="21"/>
    <n v="2020"/>
    <x v="0"/>
    <n v="6"/>
    <x v="1"/>
    <s v="Yes"/>
    <x v="3"/>
    <n v="2"/>
    <x v="1"/>
    <x v="0"/>
    <s v="Yes"/>
    <x v="15"/>
    <x v="0"/>
    <x v="23"/>
    <s v="Yes"/>
    <s v="No"/>
    <x v="1"/>
    <s v="Software Development"/>
    <n v="2"/>
    <x v="5"/>
    <s v="Relationship"/>
    <x v="1"/>
    <s v="Bachelor"/>
    <x v="0"/>
    <n v="1.23"/>
    <s v="No"/>
    <n v="2.76"/>
    <n v="89"/>
    <n v="110000"/>
    <x v="0"/>
    <x v="0"/>
    <n v="45"/>
  </r>
  <r>
    <x v="2"/>
    <x v="1"/>
    <n v="22"/>
    <n v="2020"/>
    <x v="0"/>
    <n v="10"/>
    <x v="1"/>
    <s v="Yes"/>
    <x v="2"/>
    <n v="3"/>
    <x v="1"/>
    <x v="0"/>
    <s v="Yes"/>
    <x v="1"/>
    <x v="0"/>
    <x v="55"/>
    <s v="Yes"/>
    <s v="No"/>
    <x v="1"/>
    <s v="Software Development"/>
    <n v="4"/>
    <x v="7"/>
    <s v="Married"/>
    <x v="1"/>
    <s v="Family"/>
    <x v="0"/>
    <n v="2.35"/>
    <s v="No"/>
    <n v="3.48"/>
    <n v="135"/>
    <n v="116000"/>
    <x v="0"/>
    <x v="0"/>
    <n v="40"/>
  </r>
  <r>
    <x v="2"/>
    <x v="0"/>
    <n v="22"/>
    <n v="2019"/>
    <x v="0"/>
    <n v="9"/>
    <x v="1"/>
    <s v="Yes"/>
    <x v="5"/>
    <n v="3"/>
    <x v="0"/>
    <x v="0"/>
    <s v="Yes"/>
    <x v="1"/>
    <x v="0"/>
    <x v="42"/>
    <s v="Yes"/>
    <s v="No"/>
    <x v="0"/>
    <s v="Networking"/>
    <n v="2"/>
    <x v="6"/>
    <s v="Married"/>
    <x v="1"/>
    <s v="Family"/>
    <x v="0"/>
    <n v="1.34"/>
    <s v="No"/>
    <n v="2.48"/>
    <n v="103"/>
    <n v="117000"/>
    <x v="2"/>
    <x v="0"/>
    <n v="48.400000000000006"/>
  </r>
  <r>
    <x v="4"/>
    <x v="1"/>
    <n v="25"/>
    <n v="2018"/>
    <x v="0"/>
    <n v="11"/>
    <x v="0"/>
    <s v="Yes"/>
    <x v="4"/>
    <n v="3"/>
    <x v="0"/>
    <x v="0"/>
    <s v="Yes"/>
    <x v="1"/>
    <x v="0"/>
    <x v="0"/>
    <s v="No"/>
    <s v="No"/>
    <x v="0"/>
    <s v="Artificial Intelligence"/>
    <n v="2"/>
    <x v="6"/>
    <s v="Single"/>
    <x v="1"/>
    <s v="Family"/>
    <x v="0"/>
    <n v="2.0699999999999998"/>
    <s v="No"/>
    <n v="3.12"/>
    <n v="144"/>
    <n v="119000"/>
    <x v="0"/>
    <x v="0"/>
    <n v="60"/>
  </r>
  <r>
    <x v="2"/>
    <x v="0"/>
    <n v="20"/>
    <n v="2020"/>
    <x v="0"/>
    <n v="11"/>
    <x v="1"/>
    <s v="Yes"/>
    <x v="5"/>
    <n v="1"/>
    <x v="1"/>
    <x v="0"/>
    <s v="Yes"/>
    <x v="2"/>
    <x v="2"/>
    <x v="5"/>
    <s v="Yes"/>
    <s v="No"/>
    <x v="1"/>
    <s v="Cyber security"/>
    <n v="1"/>
    <x v="0"/>
    <s v="Single"/>
    <x v="0"/>
    <s v="Bachelor"/>
    <x v="0"/>
    <n v="2.56"/>
    <s v="No"/>
    <n v="3.6"/>
    <n v="143"/>
    <n v="120000"/>
    <x v="1"/>
    <x v="0"/>
    <n v="55"/>
  </r>
  <r>
    <x v="3"/>
    <x v="1"/>
    <n v="21"/>
    <n v="2021"/>
    <x v="0"/>
    <n v="6"/>
    <x v="1"/>
    <s v="Yes"/>
    <x v="0"/>
    <n v="1"/>
    <x v="0"/>
    <x v="0"/>
    <s v="Yes"/>
    <x v="2"/>
    <x v="1"/>
    <x v="43"/>
    <s v="No"/>
    <s v="No"/>
    <x v="0"/>
    <s v="Networking"/>
    <n v="2"/>
    <x v="6"/>
    <s v="Single"/>
    <x v="1"/>
    <s v="Family"/>
    <x v="0"/>
    <n v="1.77"/>
    <s v="No"/>
    <n v="2.8"/>
    <n v="78"/>
    <n v="120000"/>
    <x v="0"/>
    <x v="0"/>
    <n v="40.200000000000003"/>
  </r>
  <r>
    <x v="3"/>
    <x v="1"/>
    <n v="20"/>
    <n v="2021"/>
    <x v="0"/>
    <n v="6"/>
    <x v="1"/>
    <s v="Yes"/>
    <x v="0"/>
    <n v="2"/>
    <x v="0"/>
    <x v="0"/>
    <s v="Yes"/>
    <x v="1"/>
    <x v="1"/>
    <x v="57"/>
    <s v="Yes"/>
    <s v="Yes"/>
    <x v="1"/>
    <s v="Networking"/>
    <n v="4"/>
    <x v="6"/>
    <s v="Relationship"/>
    <x v="1"/>
    <s v="Bachelor"/>
    <x v="0"/>
    <n v="2.67"/>
    <s v="No"/>
    <n v="3.77"/>
    <n v="78"/>
    <n v="120000"/>
    <x v="1"/>
    <x v="0"/>
    <n v="47.400000000000006"/>
  </r>
  <r>
    <x v="4"/>
    <x v="1"/>
    <n v="22"/>
    <n v="2019"/>
    <x v="0"/>
    <n v="11"/>
    <x v="1"/>
    <s v="Yes"/>
    <x v="2"/>
    <n v="1"/>
    <x v="0"/>
    <x v="0"/>
    <s v="Yes"/>
    <x v="1"/>
    <x v="1"/>
    <x v="5"/>
    <s v="No"/>
    <s v="No"/>
    <x v="0"/>
    <s v="Software Development"/>
    <n v="4"/>
    <x v="2"/>
    <s v="Single"/>
    <x v="0"/>
    <s v="Bachelor"/>
    <x v="0"/>
    <n v="1.86"/>
    <s v="No"/>
    <n v="2.93"/>
    <n v="143"/>
    <n v="121000"/>
    <x v="0"/>
    <x v="0"/>
    <n v="58"/>
  </r>
  <r>
    <x v="3"/>
    <x v="0"/>
    <n v="20"/>
    <n v="2020"/>
    <x v="0"/>
    <n v="5"/>
    <x v="1"/>
    <s v="Yes"/>
    <x v="1"/>
    <n v="2"/>
    <x v="0"/>
    <x v="0"/>
    <s v="Yes"/>
    <x v="1"/>
    <x v="0"/>
    <x v="5"/>
    <s v="Yes"/>
    <s v="No"/>
    <x v="0"/>
    <s v="Software Development"/>
    <n v="4"/>
    <x v="2"/>
    <s v="Single"/>
    <x v="0"/>
    <s v="Bachelor"/>
    <x v="0"/>
    <n v="1.87"/>
    <s v="No"/>
    <n v="2.94"/>
    <n v="68"/>
    <n v="121000"/>
    <x v="0"/>
    <x v="0"/>
    <n v="55"/>
  </r>
  <r>
    <x v="1"/>
    <x v="0"/>
    <n v="20"/>
    <n v="2019"/>
    <x v="0"/>
    <n v="7"/>
    <x v="1"/>
    <s v="Yes"/>
    <x v="2"/>
    <n v="1"/>
    <x v="1"/>
    <x v="0"/>
    <s v="Yes"/>
    <x v="15"/>
    <x v="0"/>
    <x v="2"/>
    <s v="Yes"/>
    <s v="No"/>
    <x v="0"/>
    <s v="Software Development"/>
    <n v="2"/>
    <x v="2"/>
    <s v="Single"/>
    <x v="1"/>
    <s v="Family"/>
    <x v="1"/>
    <n v="1.22"/>
    <s v="No"/>
    <n v="2.78"/>
    <n v="107"/>
    <n v="130000"/>
    <x v="0"/>
    <x v="0"/>
    <n v="44"/>
  </r>
  <r>
    <x v="3"/>
    <x v="1"/>
    <n v="21"/>
    <n v="2021"/>
    <x v="0"/>
    <n v="6"/>
    <x v="1"/>
    <s v="Yes"/>
    <x v="0"/>
    <n v="3"/>
    <x v="0"/>
    <x v="0"/>
    <s v="Yes"/>
    <x v="2"/>
    <x v="0"/>
    <x v="5"/>
    <s v="Yes"/>
    <s v="No"/>
    <x v="0"/>
    <s v="Artificial Intelligence"/>
    <n v="4"/>
    <x v="0"/>
    <s v="Relationship"/>
    <x v="0"/>
    <s v="Bachelor"/>
    <x v="0"/>
    <n v="1.4"/>
    <s v="No"/>
    <n v="2.54"/>
    <n v="77"/>
    <n v="130000"/>
    <x v="0"/>
    <x v="0"/>
    <n v="61"/>
  </r>
  <r>
    <x v="3"/>
    <x v="1"/>
    <n v="20"/>
    <n v="2021"/>
    <x v="0"/>
    <n v="5"/>
    <x v="1"/>
    <s v="Yes"/>
    <x v="0"/>
    <n v="3"/>
    <x v="1"/>
    <x v="0"/>
    <s v="Yes"/>
    <x v="3"/>
    <x v="0"/>
    <x v="5"/>
    <s v="No"/>
    <s v="No"/>
    <x v="0"/>
    <s v="Cyber security"/>
    <n v="2"/>
    <x v="0"/>
    <s v="Single"/>
    <x v="0"/>
    <s v="Family"/>
    <x v="0"/>
    <n v="1.78"/>
    <s v="No"/>
    <n v="2.83"/>
    <n v="59"/>
    <n v="135000"/>
    <x v="0"/>
    <x v="0"/>
    <n v="55"/>
  </r>
  <r>
    <x v="3"/>
    <x v="0"/>
    <n v="20"/>
    <n v="2021"/>
    <x v="0"/>
    <n v="5"/>
    <x v="1"/>
    <s v="Yes"/>
    <x v="5"/>
    <n v="3"/>
    <x v="0"/>
    <x v="0"/>
    <s v="Yes"/>
    <x v="1"/>
    <x v="0"/>
    <x v="28"/>
    <s v="No"/>
    <s v="No"/>
    <x v="0"/>
    <s v="Software Development"/>
    <n v="4"/>
    <x v="2"/>
    <s v="Married"/>
    <x v="1"/>
    <s v="Family"/>
    <x v="0"/>
    <n v="1.77"/>
    <s v="No"/>
    <n v="2.85"/>
    <n v="63"/>
    <n v="136000"/>
    <x v="0"/>
    <x v="0"/>
    <n v="55.2"/>
  </r>
  <r>
    <x v="4"/>
    <x v="0"/>
    <n v="22"/>
    <n v="2018"/>
    <x v="0"/>
    <n v="11"/>
    <x v="1"/>
    <s v="Yes"/>
    <x v="3"/>
    <n v="3"/>
    <x v="0"/>
    <x v="0"/>
    <s v="No"/>
    <x v="0"/>
    <x v="2"/>
    <x v="5"/>
    <s v="No"/>
    <s v="No"/>
    <x v="1"/>
    <s v="Software Development"/>
    <n v="1"/>
    <x v="7"/>
    <s v="Single"/>
    <x v="1"/>
    <s v="Family"/>
    <x v="1"/>
    <n v="2.5499999999999998"/>
    <s v="No"/>
    <n v="3.66"/>
    <n v="143"/>
    <n v="137000"/>
    <x v="1"/>
    <x v="0"/>
    <n v="58"/>
  </r>
  <r>
    <x v="1"/>
    <x v="0"/>
    <n v="20"/>
    <n v="2021"/>
    <x v="0"/>
    <n v="9"/>
    <x v="1"/>
    <s v="Yes"/>
    <x v="1"/>
    <n v="2"/>
    <x v="0"/>
    <x v="0"/>
    <s v="Yes"/>
    <x v="2"/>
    <x v="2"/>
    <x v="5"/>
    <s v="No"/>
    <s v="No"/>
    <x v="1"/>
    <s v="Artificial Intelligence"/>
    <n v="1"/>
    <x v="2"/>
    <s v="Single"/>
    <x v="1"/>
    <s v="Bachelor"/>
    <x v="1"/>
    <n v="2.65"/>
    <s v="No"/>
    <n v="3.88"/>
    <n v="125"/>
    <n v="140000"/>
    <x v="1"/>
    <x v="0"/>
    <n v="46"/>
  </r>
  <r>
    <x v="4"/>
    <x v="1"/>
    <n v="25"/>
    <n v="2018"/>
    <x v="0"/>
    <n v="11"/>
    <x v="0"/>
    <s v="Yes"/>
    <x v="3"/>
    <n v="3"/>
    <x v="0"/>
    <x v="0"/>
    <s v="Yes"/>
    <x v="1"/>
    <x v="0"/>
    <x v="46"/>
    <s v="Yes"/>
    <s v="No"/>
    <x v="0"/>
    <s v="Networking"/>
    <n v="2"/>
    <x v="6"/>
    <s v="Relationship"/>
    <x v="0"/>
    <s v="Bachelor"/>
    <x v="0"/>
    <n v="2.81"/>
    <s v="No"/>
    <n v="3.9"/>
    <n v="143"/>
    <n v="144000"/>
    <x v="1"/>
    <x v="0"/>
    <n v="35"/>
  </r>
  <r>
    <x v="1"/>
    <x v="1"/>
    <n v="20"/>
    <n v="2020"/>
    <x v="0"/>
    <n v="9"/>
    <x v="1"/>
    <s v="Yes"/>
    <x v="2"/>
    <n v="2"/>
    <x v="0"/>
    <x v="0"/>
    <s v="Yes"/>
    <x v="1"/>
    <x v="0"/>
    <x v="5"/>
    <s v="No"/>
    <s v="No"/>
    <x v="0"/>
    <s v="Software Development"/>
    <n v="2"/>
    <x v="0"/>
    <s v="Relationship"/>
    <x v="0"/>
    <s v="Family"/>
    <x v="0"/>
    <n v="2.34"/>
    <s v="No"/>
    <n v="3.44"/>
    <n v="113"/>
    <n v="167000"/>
    <x v="0"/>
    <x v="0"/>
    <n v="52"/>
  </r>
  <r>
    <x v="2"/>
    <x v="0"/>
    <n v="20"/>
    <n v="2020"/>
    <x v="0"/>
    <n v="11"/>
    <x v="1"/>
    <s v="Yes"/>
    <x v="2"/>
    <n v="1"/>
    <x v="0"/>
    <x v="0"/>
    <s v="Yes"/>
    <x v="1"/>
    <x v="2"/>
    <x v="17"/>
    <s v="Yes"/>
    <s v="No"/>
    <x v="1"/>
    <s v="Cyber security"/>
    <n v="4"/>
    <x v="0"/>
    <s v="Single"/>
    <x v="0"/>
    <s v="Family"/>
    <x v="0"/>
    <n v="2.35"/>
    <s v="No"/>
    <n v="3.43"/>
    <n v="143"/>
    <n v="170000"/>
    <x v="0"/>
    <x v="0"/>
    <n v="52.800000000000004"/>
  </r>
  <r>
    <x v="1"/>
    <x v="1"/>
    <n v="20"/>
    <n v="2020"/>
    <x v="0"/>
    <n v="8"/>
    <x v="1"/>
    <s v="Yes"/>
    <x v="1"/>
    <n v="2"/>
    <x v="1"/>
    <x v="0"/>
    <s v="Yes"/>
    <x v="2"/>
    <x v="1"/>
    <x v="38"/>
    <s v="Yes"/>
    <s v="No"/>
    <x v="1"/>
    <s v="Cyber security"/>
    <n v="2"/>
    <x v="0"/>
    <s v="Relationship"/>
    <x v="0"/>
    <s v="Bachelor"/>
    <x v="0"/>
    <n v="2.65"/>
    <s v="No"/>
    <n v="3.77"/>
    <n v="100"/>
    <n v="180000"/>
    <x v="1"/>
    <x v="0"/>
    <n v="27.400000000000002"/>
  </r>
  <r>
    <x v="3"/>
    <x v="0"/>
    <n v="23"/>
    <n v="2020"/>
    <x v="0"/>
    <n v="8"/>
    <x v="0"/>
    <s v="Yes"/>
    <x v="5"/>
    <n v="2"/>
    <x v="0"/>
    <x v="0"/>
    <s v="Yes"/>
    <x v="4"/>
    <x v="1"/>
    <x v="5"/>
    <s v="Yes"/>
    <s v="No"/>
    <x v="0"/>
    <s v="Software Development"/>
    <n v="2"/>
    <x v="2"/>
    <s v="Single"/>
    <x v="0"/>
    <s v="Bachelor"/>
    <x v="0"/>
    <n v="2.5"/>
    <s v="No"/>
    <n v="2.2200000000000002"/>
    <n v="18"/>
    <n v="200000"/>
    <x v="2"/>
    <x v="0"/>
    <n v="58"/>
  </r>
  <r>
    <x v="1"/>
    <x v="0"/>
    <n v="22"/>
    <n v="2020"/>
    <x v="0"/>
    <n v="9"/>
    <x v="1"/>
    <s v="Yes"/>
    <x v="0"/>
    <n v="2"/>
    <x v="0"/>
    <x v="0"/>
    <s v="No"/>
    <x v="2"/>
    <x v="1"/>
    <x v="5"/>
    <s v="Yes"/>
    <s v="No"/>
    <x v="1"/>
    <s v="Networking"/>
    <n v="2"/>
    <x v="6"/>
    <s v="Married"/>
    <x v="0"/>
    <s v="Family"/>
    <x v="0"/>
    <n v="1.56"/>
    <s v="No"/>
    <n v="2.78"/>
    <n v="100"/>
    <n v="200000"/>
    <x v="0"/>
    <x v="0"/>
    <n v="55"/>
  </r>
  <r>
    <x v="4"/>
    <x v="1"/>
    <n v="25"/>
    <n v="2018"/>
    <x v="0"/>
    <n v="11"/>
    <x v="1"/>
    <s v="Yes"/>
    <x v="3"/>
    <n v="3"/>
    <x v="0"/>
    <x v="0"/>
    <s v="Yes"/>
    <x v="1"/>
    <x v="0"/>
    <x v="5"/>
    <s v="No"/>
    <s v="No"/>
    <x v="0"/>
    <s v="Software Development"/>
    <n v="4"/>
    <x v="2"/>
    <s v="Single"/>
    <x v="1"/>
    <s v="Bachelor"/>
    <x v="0"/>
    <n v="1.4"/>
    <s v="No"/>
    <n v="2.52"/>
    <n v="136"/>
    <n v="210000"/>
    <x v="0"/>
    <x v="0"/>
    <n v="67"/>
  </r>
  <r>
    <x v="0"/>
    <x v="1"/>
    <n v="23"/>
    <n v="2017"/>
    <x v="0"/>
    <n v="11"/>
    <x v="1"/>
    <s v="Yes"/>
    <x v="0"/>
    <n v="2"/>
    <x v="1"/>
    <x v="0"/>
    <s v="Yes"/>
    <x v="0"/>
    <x v="0"/>
    <x v="5"/>
    <s v="No"/>
    <s v="No"/>
    <x v="1"/>
    <s v="Networking"/>
    <n v="1"/>
    <x v="6"/>
    <s v="Relationship"/>
    <x v="0"/>
    <s v="Bachelor"/>
    <x v="0"/>
    <n v="1.34"/>
    <s v="No"/>
    <n v="2.88"/>
    <n v="88"/>
    <n v="250000"/>
    <x v="0"/>
    <x v="0"/>
    <n v="52"/>
  </r>
</pivotCacheRecords>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x v="0"/>
    <n v="24"/>
    <n v="2016"/>
    <x v="0"/>
    <n v="12"/>
    <x v="0"/>
    <s v="No"/>
    <x v="0"/>
    <n v="2"/>
    <x v="0"/>
    <x v="0"/>
    <s v="Yes"/>
    <x v="0"/>
    <x v="0"/>
    <x v="0"/>
    <s v="No"/>
    <s v="No"/>
    <x v="0"/>
    <s v="Software Development"/>
    <n v="2"/>
    <x v="0"/>
    <s v="Single"/>
    <x v="0"/>
    <s v="Bachelor"/>
    <x v="0"/>
    <n v="2.68"/>
    <s v="No"/>
    <n v="3.15"/>
    <n v="75"/>
    <n v="25000"/>
    <x v="0"/>
    <x v="0"/>
    <n v="51"/>
  </r>
  <r>
    <x v="1"/>
    <x v="0"/>
    <n v="22"/>
    <n v="2020"/>
    <x v="0"/>
    <n v="4"/>
    <x v="0"/>
    <s v="Yes"/>
    <x v="0"/>
    <n v="2"/>
    <x v="1"/>
    <x v="0"/>
    <s v="Yes"/>
    <x v="1"/>
    <x v="1"/>
    <x v="1"/>
    <s v="Yes"/>
    <s v="No"/>
    <x v="1"/>
    <s v="Software Development"/>
    <n v="2"/>
    <x v="1"/>
    <s v="Single"/>
    <x v="0"/>
    <s v="Family"/>
    <x v="0"/>
    <n v="2.68"/>
    <s v="No"/>
    <n v="3.15"/>
    <n v="36"/>
    <n v="100000"/>
    <x v="0"/>
    <x v="0"/>
    <n v="53.400000000000006"/>
  </r>
  <r>
    <x v="2"/>
    <x v="1"/>
    <n v="21"/>
    <n v="2019"/>
    <x v="0"/>
    <n v="5"/>
    <x v="1"/>
    <s v="No"/>
    <x v="0"/>
    <n v="3"/>
    <x v="0"/>
    <x v="0"/>
    <s v="Yes"/>
    <x v="1"/>
    <x v="0"/>
    <x v="2"/>
    <s v="No"/>
    <s v="No"/>
    <x v="0"/>
    <s v="Software Development"/>
    <n v="1"/>
    <x v="2"/>
    <s v="Single"/>
    <x v="1"/>
    <s v="Bachelor"/>
    <x v="0"/>
    <n v="2.68"/>
    <s v="No"/>
    <n v="3.15"/>
    <n v="50"/>
    <n v="50000"/>
    <x v="0"/>
    <x v="0"/>
    <n v="44"/>
  </r>
  <r>
    <x v="1"/>
    <x v="0"/>
    <n v="20"/>
    <n v="2020"/>
    <x v="0"/>
    <n v="4"/>
    <x v="0"/>
    <s v="No"/>
    <x v="1"/>
    <n v="3"/>
    <x v="0"/>
    <x v="0"/>
    <s v="Yes"/>
    <x v="2"/>
    <x v="0"/>
    <x v="3"/>
    <s v="No"/>
    <s v="No"/>
    <x v="0"/>
    <s v="Software Development"/>
    <n v="1"/>
    <x v="3"/>
    <s v="Single"/>
    <x v="1"/>
    <s v="Bachelor"/>
    <x v="1"/>
    <n v="2.68"/>
    <s v="No"/>
    <n v="3.15"/>
    <n v="36"/>
    <n v="62488"/>
    <x v="0"/>
    <x v="0"/>
    <n v="41.2"/>
  </r>
  <r>
    <x v="1"/>
    <x v="0"/>
    <n v="22"/>
    <n v="2019"/>
    <x v="0"/>
    <n v="4"/>
    <x v="0"/>
    <s v="No"/>
    <x v="0"/>
    <n v="1"/>
    <x v="1"/>
    <x v="0"/>
    <s v="Yes"/>
    <x v="2"/>
    <x v="0"/>
    <x v="2"/>
    <s v="No"/>
    <s v="No"/>
    <x v="0"/>
    <s v="Software Development"/>
    <n v="1"/>
    <x v="2"/>
    <s v="Relationship"/>
    <x v="1"/>
    <s v="Bachelor"/>
    <x v="1"/>
    <n v="2.68"/>
    <s v="No"/>
    <n v="3.15"/>
    <n v="36"/>
    <n v="50000"/>
    <x v="0"/>
    <x v="0"/>
    <n v="44"/>
  </r>
  <r>
    <x v="1"/>
    <x v="0"/>
    <n v="20"/>
    <n v="2020"/>
    <x v="0"/>
    <n v="4"/>
    <x v="0"/>
    <s v="Yes"/>
    <x v="2"/>
    <n v="2"/>
    <x v="0"/>
    <x v="0"/>
    <s v="Yes"/>
    <x v="3"/>
    <x v="0"/>
    <x v="4"/>
    <s v="No"/>
    <s v="No"/>
    <x v="0"/>
    <s v="Software Development"/>
    <n v="2"/>
    <x v="2"/>
    <s v="Single"/>
    <x v="0"/>
    <s v="Family"/>
    <x v="0"/>
    <n v="2.68"/>
    <s v="No"/>
    <n v="3.15"/>
    <n v="36"/>
    <n v="30000"/>
    <x v="0"/>
    <x v="0"/>
    <n v="50"/>
  </r>
  <r>
    <x v="1"/>
    <x v="0"/>
    <n v="22"/>
    <n v="2018"/>
    <x v="0"/>
    <n v="4"/>
    <x v="0"/>
    <s v="No"/>
    <x v="2"/>
    <n v="4"/>
    <x v="1"/>
    <x v="0"/>
    <s v="Yes"/>
    <x v="2"/>
    <x v="0"/>
    <x v="2"/>
    <s v="No"/>
    <s v="No"/>
    <x v="1"/>
    <s v="Software Development"/>
    <n v="6"/>
    <x v="2"/>
    <s v="Single"/>
    <x v="1"/>
    <s v="Bachelor"/>
    <x v="1"/>
    <n v="2.68"/>
    <s v="No"/>
    <n v="3.15"/>
    <n v="36"/>
    <n v="20000"/>
    <x v="0"/>
    <x v="0"/>
    <n v="56"/>
  </r>
  <r>
    <x v="1"/>
    <x v="1"/>
    <n v="22"/>
    <n v="2019"/>
    <x v="0"/>
    <n v="4"/>
    <x v="0"/>
    <s v="No"/>
    <x v="2"/>
    <n v="2"/>
    <x v="0"/>
    <x v="0"/>
    <s v="Yes"/>
    <x v="2"/>
    <x v="1"/>
    <x v="5"/>
    <s v="Yes"/>
    <s v="No"/>
    <x v="0"/>
    <s v="Software Development"/>
    <n v="1"/>
    <x v="4"/>
    <s v="Single"/>
    <x v="1"/>
    <s v="Bachelor"/>
    <x v="0"/>
    <n v="3.8"/>
    <s v="No"/>
    <n v="3.64"/>
    <n v="35"/>
    <n v="32500"/>
    <x v="1"/>
    <x v="0"/>
    <n v="49"/>
  </r>
  <r>
    <x v="1"/>
    <x v="0"/>
    <n v="20"/>
    <n v="2020"/>
    <x v="0"/>
    <n v="4"/>
    <x v="0"/>
    <s v="No"/>
    <x v="0"/>
    <n v="2"/>
    <x v="0"/>
    <x v="0"/>
    <s v="Yes"/>
    <x v="2"/>
    <x v="0"/>
    <x v="0"/>
    <s v="No"/>
    <s v="No"/>
    <x v="1"/>
    <s v="Software Development"/>
    <n v="3"/>
    <x v="2"/>
    <s v="Single"/>
    <x v="1"/>
    <s v="Bachelor"/>
    <x v="0"/>
    <n v="2.68"/>
    <s v="No"/>
    <n v="3.15"/>
    <n v="36"/>
    <n v="20000"/>
    <x v="0"/>
    <x v="0"/>
    <n v="54"/>
  </r>
  <r>
    <x v="1"/>
    <x v="1"/>
    <n v="22"/>
    <n v="2020"/>
    <x v="0"/>
    <n v="4"/>
    <x v="0"/>
    <s v="Yes"/>
    <x v="3"/>
    <n v="2"/>
    <x v="0"/>
    <x v="0"/>
    <s v="Yes"/>
    <x v="2"/>
    <x v="0"/>
    <x v="5"/>
    <s v="No"/>
    <s v="No"/>
    <x v="0"/>
    <s v="Software Development"/>
    <n v="1"/>
    <x v="3"/>
    <s v="Single"/>
    <x v="1"/>
    <s v="Family"/>
    <x v="0"/>
    <n v="2.68"/>
    <s v="No"/>
    <n v="3.15"/>
    <n v="36"/>
    <n v="25000"/>
    <x v="0"/>
    <x v="0"/>
    <n v="58"/>
  </r>
  <r>
    <x v="1"/>
    <x v="0"/>
    <n v="22"/>
    <n v="2019"/>
    <x v="0"/>
    <n v="4"/>
    <x v="0"/>
    <s v="Yes"/>
    <x v="0"/>
    <n v="2"/>
    <x v="1"/>
    <x v="0"/>
    <s v="Yes"/>
    <x v="1"/>
    <x v="0"/>
    <x v="0"/>
    <s v="No"/>
    <s v="No"/>
    <x v="0"/>
    <s v="Software Development"/>
    <n v="1"/>
    <x v="2"/>
    <s v="Single"/>
    <x v="0"/>
    <s v="Family"/>
    <x v="0"/>
    <n v="2.68"/>
    <s v="No"/>
    <n v="3.15"/>
    <n v="36"/>
    <n v="50000"/>
    <x v="0"/>
    <x v="0"/>
    <n v="48"/>
  </r>
  <r>
    <x v="1"/>
    <x v="0"/>
    <n v="22"/>
    <n v="2019"/>
    <x v="0"/>
    <n v="4"/>
    <x v="1"/>
    <s v="No"/>
    <x v="0"/>
    <n v="2"/>
    <x v="0"/>
    <x v="0"/>
    <s v="Yes"/>
    <x v="2"/>
    <x v="1"/>
    <x v="0"/>
    <s v="No"/>
    <s v="No"/>
    <x v="1"/>
    <s v="Software Development"/>
    <n v="2"/>
    <x v="2"/>
    <s v="Single"/>
    <x v="1"/>
    <s v="Bachelor"/>
    <x v="1"/>
    <n v="3.4"/>
    <s v="No"/>
    <n v="3.53"/>
    <n v="35"/>
    <n v="20000"/>
    <x v="1"/>
    <x v="0"/>
    <n v="51"/>
  </r>
  <r>
    <x v="1"/>
    <x v="1"/>
    <n v="22"/>
    <n v="2020"/>
    <x v="0"/>
    <n v="4"/>
    <x v="1"/>
    <s v="Yes"/>
    <x v="1"/>
    <n v="1"/>
    <x v="0"/>
    <x v="0"/>
    <s v="Yes"/>
    <x v="3"/>
    <x v="1"/>
    <x v="5"/>
    <s v="No"/>
    <s v="No"/>
    <x v="0"/>
    <s v="Software Development"/>
    <n v="2"/>
    <x v="2"/>
    <s v="Single"/>
    <x v="1"/>
    <s v="Family"/>
    <x v="0"/>
    <n v="2.68"/>
    <s v="No"/>
    <n v="3.15"/>
    <n v="36"/>
    <n v="50000"/>
    <x v="0"/>
    <x v="0"/>
    <n v="49"/>
  </r>
  <r>
    <x v="1"/>
    <x v="1"/>
    <n v="21"/>
    <n v="2019"/>
    <x v="0"/>
    <n v="4"/>
    <x v="0"/>
    <s v="No"/>
    <x v="0"/>
    <n v="2"/>
    <x v="0"/>
    <x v="0"/>
    <s v="Yes"/>
    <x v="3"/>
    <x v="0"/>
    <x v="0"/>
    <s v="No"/>
    <s v="No"/>
    <x v="1"/>
    <s v="Software Development"/>
    <n v="1"/>
    <x v="2"/>
    <s v="Single"/>
    <x v="1"/>
    <s v="Bachelor"/>
    <x v="0"/>
    <n v="2.68"/>
    <s v="No"/>
    <n v="3.15"/>
    <n v="36"/>
    <n v="24000"/>
    <x v="0"/>
    <x v="0"/>
    <n v="48"/>
  </r>
  <r>
    <x v="1"/>
    <x v="1"/>
    <n v="21"/>
    <n v="2018"/>
    <x v="0"/>
    <n v="4"/>
    <x v="1"/>
    <s v="Yes"/>
    <x v="2"/>
    <n v="2"/>
    <x v="0"/>
    <x v="0"/>
    <s v="Yes"/>
    <x v="3"/>
    <x v="1"/>
    <x v="6"/>
    <s v="No"/>
    <s v="No"/>
    <x v="1"/>
    <s v="Software Development"/>
    <n v="2"/>
    <x v="2"/>
    <s v="Single"/>
    <x v="1"/>
    <s v="Family"/>
    <x v="0"/>
    <n v="2.68"/>
    <s v="No"/>
    <n v="3.15"/>
    <n v="36"/>
    <n v="70000"/>
    <x v="0"/>
    <x v="0"/>
    <n v="50.800000000000004"/>
  </r>
  <r>
    <x v="1"/>
    <x v="0"/>
    <n v="20"/>
    <n v="2020"/>
    <x v="0"/>
    <n v="4"/>
    <x v="0"/>
    <s v="Yes"/>
    <x v="2"/>
    <n v="1"/>
    <x v="0"/>
    <x v="0"/>
    <s v="Yes"/>
    <x v="3"/>
    <x v="1"/>
    <x v="4"/>
    <s v="No"/>
    <s v="No"/>
    <x v="0"/>
    <s v="Software Development"/>
    <n v="3"/>
    <x v="2"/>
    <s v="Single"/>
    <x v="0"/>
    <s v="Family"/>
    <x v="0"/>
    <n v="3.93"/>
    <s v="No"/>
    <n v="3.89"/>
    <n v="35"/>
    <n v="30000"/>
    <x v="1"/>
    <x v="0"/>
    <n v="53"/>
  </r>
  <r>
    <x v="1"/>
    <x v="0"/>
    <n v="22"/>
    <n v="2019"/>
    <x v="0"/>
    <n v="4"/>
    <x v="0"/>
    <s v="Yes"/>
    <x v="3"/>
    <n v="3"/>
    <x v="1"/>
    <x v="0"/>
    <s v="Yes"/>
    <x v="3"/>
    <x v="0"/>
    <x v="4"/>
    <s v="No"/>
    <s v="No"/>
    <x v="0"/>
    <s v="Software Development"/>
    <n v="2"/>
    <x v="5"/>
    <s v="Single"/>
    <x v="0"/>
    <s v="Family"/>
    <x v="0"/>
    <n v="2.68"/>
    <s v="No"/>
    <n v="3.15"/>
    <n v="36"/>
    <n v="40000"/>
    <x v="0"/>
    <x v="0"/>
    <n v="59"/>
  </r>
  <r>
    <x v="1"/>
    <x v="1"/>
    <n v="21"/>
    <n v="2020"/>
    <x v="0"/>
    <n v="4"/>
    <x v="0"/>
    <s v="No"/>
    <x v="3"/>
    <n v="1"/>
    <x v="0"/>
    <x v="0"/>
    <s v="Yes"/>
    <x v="2"/>
    <x v="1"/>
    <x v="6"/>
    <s v="No"/>
    <s v="No"/>
    <x v="1"/>
    <s v="Software Development"/>
    <n v="2"/>
    <x v="2"/>
    <s v="Single"/>
    <x v="1"/>
    <s v="Family"/>
    <x v="0"/>
    <n v="2.68"/>
    <s v="No"/>
    <n v="3.15"/>
    <n v="36"/>
    <n v="50000"/>
    <x v="0"/>
    <x v="0"/>
    <n v="59.800000000000004"/>
  </r>
  <r>
    <x v="1"/>
    <x v="0"/>
    <n v="21"/>
    <n v="2020"/>
    <x v="0"/>
    <n v="4"/>
    <x v="0"/>
    <s v="No"/>
    <x v="1"/>
    <n v="2"/>
    <x v="1"/>
    <x v="0"/>
    <s v="Yes"/>
    <x v="1"/>
    <x v="2"/>
    <x v="7"/>
    <s v="No"/>
    <s v="No"/>
    <x v="0"/>
    <s v="Software Development"/>
    <n v="2"/>
    <x v="2"/>
    <s v="Relationship"/>
    <x v="1"/>
    <s v="Family"/>
    <x v="0"/>
    <n v="3.1"/>
    <s v="No"/>
    <n v="3.5"/>
    <n v="35"/>
    <n v="62488"/>
    <x v="1"/>
    <x v="0"/>
    <n v="37"/>
  </r>
  <r>
    <x v="1"/>
    <x v="0"/>
    <n v="19"/>
    <n v="2020"/>
    <x v="0"/>
    <n v="4"/>
    <x v="1"/>
    <s v="Yes"/>
    <x v="0"/>
    <n v="2"/>
    <x v="1"/>
    <x v="0"/>
    <s v="Yes"/>
    <x v="2"/>
    <x v="0"/>
    <x v="7"/>
    <s v="Yes"/>
    <s v="No"/>
    <x v="0"/>
    <s v="Software Development"/>
    <n v="2"/>
    <x v="2"/>
    <s v="Single"/>
    <x v="1"/>
    <s v="Family"/>
    <x v="0"/>
    <n v="2.68"/>
    <s v="No"/>
    <n v="3.15"/>
    <n v="36"/>
    <n v="20000"/>
    <x v="0"/>
    <x v="0"/>
    <n v="43"/>
  </r>
  <r>
    <x v="1"/>
    <x v="1"/>
    <n v="21"/>
    <n v="2019"/>
    <x v="0"/>
    <n v="4"/>
    <x v="0"/>
    <s v="No"/>
    <x v="0"/>
    <n v="2"/>
    <x v="0"/>
    <x v="0"/>
    <s v="Yes"/>
    <x v="2"/>
    <x v="0"/>
    <x v="1"/>
    <s v="No"/>
    <s v="No"/>
    <x v="0"/>
    <s v="Software Development"/>
    <n v="1"/>
    <x v="2"/>
    <s v="Single"/>
    <x v="0"/>
    <s v="Bachelor"/>
    <x v="0"/>
    <n v="3.81"/>
    <s v="No"/>
    <n v="3.65"/>
    <n v="34"/>
    <n v="30000"/>
    <x v="1"/>
    <x v="0"/>
    <n v="50.400000000000006"/>
  </r>
  <r>
    <x v="1"/>
    <x v="0"/>
    <n v="21"/>
    <n v="2020"/>
    <x v="0"/>
    <n v="4"/>
    <x v="0"/>
    <s v="No"/>
    <x v="0"/>
    <n v="3"/>
    <x v="0"/>
    <x v="0"/>
    <s v="Yes"/>
    <x v="2"/>
    <x v="0"/>
    <x v="2"/>
    <s v="Yes"/>
    <s v="No"/>
    <x v="1"/>
    <s v="Networking"/>
    <n v="2"/>
    <x v="4"/>
    <s v="Single"/>
    <x v="1"/>
    <s v="Bachelor"/>
    <x v="0"/>
    <n v="2.68"/>
    <s v="No"/>
    <n v="3.15"/>
    <n v="36"/>
    <n v="50000"/>
    <x v="0"/>
    <x v="0"/>
    <n v="47"/>
  </r>
  <r>
    <x v="1"/>
    <x v="0"/>
    <n v="22"/>
    <n v="2020"/>
    <x v="0"/>
    <n v="4"/>
    <x v="0"/>
    <s v="No"/>
    <x v="2"/>
    <n v="1"/>
    <x v="0"/>
    <x v="0"/>
    <s v="Yes"/>
    <x v="2"/>
    <x v="0"/>
    <x v="8"/>
    <s v="No"/>
    <s v="No"/>
    <x v="0"/>
    <s v="Software Development"/>
    <n v="2"/>
    <x v="2"/>
    <s v="Single"/>
    <x v="0"/>
    <s v="Bachelor"/>
    <x v="0"/>
    <n v="2.68"/>
    <s v="No"/>
    <n v="3.15"/>
    <n v="36"/>
    <n v="20000"/>
    <x v="0"/>
    <x v="0"/>
    <n v="51.2"/>
  </r>
  <r>
    <x v="2"/>
    <x v="1"/>
    <n v="21"/>
    <n v="2019"/>
    <x v="0"/>
    <n v="4"/>
    <x v="1"/>
    <s v="Yes"/>
    <x v="4"/>
    <n v="3"/>
    <x v="0"/>
    <x v="0"/>
    <s v="Yes"/>
    <x v="1"/>
    <x v="0"/>
    <x v="4"/>
    <s v="No"/>
    <s v="No"/>
    <x v="1"/>
    <s v="Software Development"/>
    <n v="3"/>
    <x v="2"/>
    <s v="Single"/>
    <x v="0"/>
    <s v="Family"/>
    <x v="0"/>
    <n v="2.68"/>
    <s v="No"/>
    <n v="3.15"/>
    <n v="36"/>
    <n v="25000"/>
    <x v="0"/>
    <x v="0"/>
    <n v="65"/>
  </r>
  <r>
    <x v="1"/>
    <x v="0"/>
    <n v="21"/>
    <n v="2020"/>
    <x v="0"/>
    <n v="4"/>
    <x v="0"/>
    <s v="Yes"/>
    <x v="1"/>
    <n v="1"/>
    <x v="1"/>
    <x v="0"/>
    <s v="Yes"/>
    <x v="3"/>
    <x v="2"/>
    <x v="9"/>
    <s v="No"/>
    <s v="No"/>
    <x v="0"/>
    <s v="Content creation"/>
    <n v="2"/>
    <x v="5"/>
    <s v="Single"/>
    <x v="0"/>
    <s v="Bachelor"/>
    <x v="1"/>
    <n v="3.89"/>
    <s v="No"/>
    <n v="3.81"/>
    <n v="35"/>
    <n v="35000"/>
    <x v="1"/>
    <x v="0"/>
    <n v="43"/>
  </r>
  <r>
    <x v="1"/>
    <x v="1"/>
    <n v="20"/>
    <n v="2020"/>
    <x v="0"/>
    <n v="4"/>
    <x v="1"/>
    <s v="No"/>
    <x v="0"/>
    <n v="2"/>
    <x v="0"/>
    <x v="0"/>
    <s v="Yes"/>
    <x v="3"/>
    <x v="1"/>
    <x v="6"/>
    <s v="No"/>
    <s v="No"/>
    <x v="0"/>
    <s v="Software Development"/>
    <n v="2"/>
    <x v="2"/>
    <s v="Single"/>
    <x v="1"/>
    <s v="Family"/>
    <x v="0"/>
    <n v="3.79"/>
    <s v="No"/>
    <n v="3.82"/>
    <n v="39"/>
    <n v="50000"/>
    <x v="1"/>
    <x v="0"/>
    <n v="53.800000000000004"/>
  </r>
  <r>
    <x v="1"/>
    <x v="0"/>
    <n v="20"/>
    <n v="2020"/>
    <x v="0"/>
    <n v="4"/>
    <x v="1"/>
    <s v="No"/>
    <x v="5"/>
    <n v="3"/>
    <x v="0"/>
    <x v="0"/>
    <s v="No"/>
    <x v="1"/>
    <x v="1"/>
    <x v="4"/>
    <s v="No"/>
    <s v="No"/>
    <x v="1"/>
    <s v="Software Development"/>
    <n v="2"/>
    <x v="2"/>
    <s v="Single"/>
    <x v="0"/>
    <s v="Bachelor"/>
    <x v="0"/>
    <n v="2.68"/>
    <s v="No"/>
    <n v="3.15"/>
    <n v="36"/>
    <n v="4000"/>
    <x v="0"/>
    <x v="0"/>
    <n v="56"/>
  </r>
  <r>
    <x v="1"/>
    <x v="0"/>
    <n v="19"/>
    <n v="2020"/>
    <x v="0"/>
    <n v="4"/>
    <x v="0"/>
    <s v="Yes"/>
    <x v="2"/>
    <n v="1"/>
    <x v="1"/>
    <x v="0"/>
    <s v="Yes"/>
    <x v="4"/>
    <x v="0"/>
    <x v="7"/>
    <s v="Yes"/>
    <s v="No"/>
    <x v="0"/>
    <s v="Software Development"/>
    <n v="4"/>
    <x v="3"/>
    <s v="Single"/>
    <x v="0"/>
    <s v="Family"/>
    <x v="1"/>
    <n v="3.55"/>
    <s v="No"/>
    <n v="3.48"/>
    <n v="35"/>
    <n v="40000"/>
    <x v="0"/>
    <x v="0"/>
    <n v="46"/>
  </r>
  <r>
    <x v="1"/>
    <x v="0"/>
    <n v="21"/>
    <n v="2020"/>
    <x v="0"/>
    <n v="4"/>
    <x v="0"/>
    <s v="Yes"/>
    <x v="2"/>
    <n v="1"/>
    <x v="1"/>
    <x v="0"/>
    <s v="Yes"/>
    <x v="2"/>
    <x v="0"/>
    <x v="4"/>
    <s v="No"/>
    <s v="No"/>
    <x v="0"/>
    <s v="Software Development"/>
    <n v="2"/>
    <x v="2"/>
    <s v="Single"/>
    <x v="0"/>
    <s v="Bachelor"/>
    <x v="1"/>
    <n v="3.28"/>
    <s v="No"/>
    <n v="3.32"/>
    <n v="36"/>
    <n v="8000"/>
    <x v="0"/>
    <x v="0"/>
    <n v="50"/>
  </r>
  <r>
    <x v="1"/>
    <x v="0"/>
    <n v="25"/>
    <n v="2020"/>
    <x v="0"/>
    <n v="4"/>
    <x v="0"/>
    <s v="No"/>
    <x v="0"/>
    <n v="3"/>
    <x v="0"/>
    <x v="0"/>
    <s v="Yes"/>
    <x v="2"/>
    <x v="0"/>
    <x v="5"/>
    <s v="No"/>
    <s v="No"/>
    <x v="0"/>
    <s v="Software Development"/>
    <n v="3"/>
    <x v="2"/>
    <s v="Single"/>
    <x v="0"/>
    <s v="Bachelor"/>
    <x v="0"/>
    <n v="2.68"/>
    <s v="No"/>
    <n v="3.15"/>
    <n v="36"/>
    <n v="47972"/>
    <x v="0"/>
    <x v="0"/>
    <n v="58"/>
  </r>
  <r>
    <x v="3"/>
    <x v="0"/>
    <n v="20"/>
    <n v="2020"/>
    <x v="0"/>
    <n v="2"/>
    <x v="0"/>
    <s v="Yes"/>
    <x v="0"/>
    <n v="3"/>
    <x v="1"/>
    <x v="0"/>
    <s v="Yes"/>
    <x v="4"/>
    <x v="0"/>
    <x v="0"/>
    <s v="No"/>
    <s v="No"/>
    <x v="0"/>
    <s v="Software Development"/>
    <n v="2"/>
    <x v="5"/>
    <s v="Single"/>
    <x v="1"/>
    <s v="Family"/>
    <x v="0"/>
    <n v="2.68"/>
    <s v="No"/>
    <n v="3.15"/>
    <n v="11"/>
    <n v="30000"/>
    <x v="0"/>
    <x v="0"/>
    <n v="51"/>
  </r>
  <r>
    <x v="3"/>
    <x v="0"/>
    <n v="20"/>
    <n v="2020"/>
    <x v="0"/>
    <n v="2"/>
    <x v="0"/>
    <s v="Yes"/>
    <x v="5"/>
    <n v="2"/>
    <x v="0"/>
    <x v="0"/>
    <s v="Yes"/>
    <x v="2"/>
    <x v="0"/>
    <x v="4"/>
    <s v="No"/>
    <s v="No"/>
    <x v="0"/>
    <s v="Software Development"/>
    <n v="3"/>
    <x v="2"/>
    <s v="Single"/>
    <x v="0"/>
    <s v="Family"/>
    <x v="0"/>
    <n v="2.68"/>
    <s v="No"/>
    <n v="3.15"/>
    <n v="11"/>
    <n v="90000"/>
    <x v="0"/>
    <x v="0"/>
    <n v="59"/>
  </r>
  <r>
    <x v="3"/>
    <x v="0"/>
    <n v="21"/>
    <n v="2021"/>
    <x v="0"/>
    <n v="2"/>
    <x v="1"/>
    <s v="No"/>
    <x v="3"/>
    <n v="5"/>
    <x v="0"/>
    <x v="0"/>
    <s v="Yes"/>
    <x v="2"/>
    <x v="0"/>
    <x v="0"/>
    <s v="No"/>
    <s v="No"/>
    <x v="1"/>
    <s v="Software Development"/>
    <n v="1"/>
    <x v="2"/>
    <s v="Single"/>
    <x v="1"/>
    <s v="Bachelor"/>
    <x v="0"/>
    <n v="2.68"/>
    <s v="No"/>
    <n v="3.15"/>
    <n v="11"/>
    <n v="30000"/>
    <x v="0"/>
    <x v="0"/>
    <n v="54"/>
  </r>
  <r>
    <x v="1"/>
    <x v="0"/>
    <n v="23"/>
    <n v="2018"/>
    <x v="0"/>
    <n v="4"/>
    <x v="0"/>
    <s v="No"/>
    <x v="6"/>
    <n v="4"/>
    <x v="0"/>
    <x v="0"/>
    <s v="Yes"/>
    <x v="2"/>
    <x v="0"/>
    <x v="5"/>
    <s v="No"/>
    <s v="No"/>
    <x v="1"/>
    <s v="Software Development"/>
    <n v="2"/>
    <x v="2"/>
    <s v="Single"/>
    <x v="0"/>
    <s v="Bachelor"/>
    <x v="0"/>
    <n v="2.68"/>
    <s v="No"/>
    <n v="3.15"/>
    <n v="36"/>
    <n v="37000"/>
    <x v="0"/>
    <x v="0"/>
    <n v="70"/>
  </r>
  <r>
    <x v="3"/>
    <x v="0"/>
    <n v="20"/>
    <n v="2020"/>
    <x v="0"/>
    <n v="2"/>
    <x v="0"/>
    <s v="Yes"/>
    <x v="1"/>
    <n v="1"/>
    <x v="0"/>
    <x v="0"/>
    <s v="Yes"/>
    <x v="2"/>
    <x v="1"/>
    <x v="4"/>
    <s v="No"/>
    <s v="No"/>
    <x v="1"/>
    <s v="Software Development"/>
    <n v="1"/>
    <x v="2"/>
    <s v="Single"/>
    <x v="0"/>
    <s v="Family"/>
    <x v="0"/>
    <n v="2.68"/>
    <s v="No"/>
    <n v="3.15"/>
    <n v="11"/>
    <n v="35000"/>
    <x v="0"/>
    <x v="0"/>
    <n v="44"/>
  </r>
  <r>
    <x v="3"/>
    <x v="1"/>
    <n v="20"/>
    <n v="2020"/>
    <x v="0"/>
    <n v="2"/>
    <x v="0"/>
    <s v="Yes"/>
    <x v="0"/>
    <n v="1"/>
    <x v="1"/>
    <x v="0"/>
    <s v="No"/>
    <x v="3"/>
    <x v="0"/>
    <x v="2"/>
    <s v="No"/>
    <s v="No"/>
    <x v="1"/>
    <s v="Software Development"/>
    <n v="2"/>
    <x v="2"/>
    <s v="Single"/>
    <x v="0"/>
    <s v="Family"/>
    <x v="0"/>
    <n v="2.68"/>
    <s v="No"/>
    <n v="3.15"/>
    <n v="11"/>
    <n v="50000"/>
    <x v="0"/>
    <x v="0"/>
    <n v="47"/>
  </r>
  <r>
    <x v="3"/>
    <x v="1"/>
    <n v="21"/>
    <n v="2019"/>
    <x v="0"/>
    <n v="2"/>
    <x v="0"/>
    <s v="No"/>
    <x v="2"/>
    <n v="1"/>
    <x v="0"/>
    <x v="0"/>
    <s v="Yes"/>
    <x v="1"/>
    <x v="1"/>
    <x v="10"/>
    <s v="No"/>
    <s v="No"/>
    <x v="0"/>
    <s v="Software Development"/>
    <n v="2"/>
    <x v="3"/>
    <s v="Single"/>
    <x v="1"/>
    <s v="Bachelor"/>
    <x v="0"/>
    <n v="2.68"/>
    <s v="No"/>
    <n v="3.15"/>
    <n v="11"/>
    <n v="30000"/>
    <x v="0"/>
    <x v="0"/>
    <n v="51.6"/>
  </r>
  <r>
    <x v="4"/>
    <x v="0"/>
    <n v="24"/>
    <n v="2016"/>
    <x v="0"/>
    <n v="11"/>
    <x v="1"/>
    <s v="No"/>
    <x v="2"/>
    <n v="2"/>
    <x v="1"/>
    <x v="0"/>
    <s v="Yes"/>
    <x v="0"/>
    <x v="1"/>
    <x v="7"/>
    <s v="Yes"/>
    <s v="No"/>
    <x v="0"/>
    <s v="Software Development"/>
    <n v="4"/>
    <x v="2"/>
    <s v="Single"/>
    <x v="1"/>
    <s v="Bachelor"/>
    <x v="1"/>
    <n v="2.68"/>
    <s v="No"/>
    <n v="3.15"/>
    <n v="126"/>
    <n v="20000"/>
    <x v="0"/>
    <x v="0"/>
    <n v="46"/>
  </r>
  <r>
    <x v="3"/>
    <x v="1"/>
    <n v="20"/>
    <n v="2020"/>
    <x v="0"/>
    <n v="2"/>
    <x v="0"/>
    <s v="Yes"/>
    <x v="5"/>
    <n v="2"/>
    <x v="0"/>
    <x v="0"/>
    <s v="Yes"/>
    <x v="4"/>
    <x v="0"/>
    <x v="5"/>
    <s v="No"/>
    <s v="No"/>
    <x v="0"/>
    <s v="Software Development"/>
    <n v="1"/>
    <x v="2"/>
    <s v="Single"/>
    <x v="1"/>
    <s v="Family"/>
    <x v="0"/>
    <n v="2.68"/>
    <s v="No"/>
    <n v="3.15"/>
    <n v="11"/>
    <n v="80000"/>
    <x v="0"/>
    <x v="0"/>
    <n v="55"/>
  </r>
  <r>
    <x v="1"/>
    <x v="1"/>
    <n v="22"/>
    <n v="2019"/>
    <x v="0"/>
    <n v="2"/>
    <x v="0"/>
    <s v="Yes"/>
    <x v="3"/>
    <n v="2"/>
    <x v="0"/>
    <x v="0"/>
    <s v="Yes"/>
    <x v="1"/>
    <x v="2"/>
    <x v="8"/>
    <s v="No"/>
    <s v="No"/>
    <x v="0"/>
    <s v="Software Development"/>
    <n v="2"/>
    <x v="2"/>
    <s v="Single"/>
    <x v="0"/>
    <s v="Bachelor"/>
    <x v="0"/>
    <n v="2.68"/>
    <s v="No"/>
    <n v="3.15"/>
    <n v="11"/>
    <n v="40000"/>
    <x v="0"/>
    <x v="0"/>
    <n v="60.2"/>
  </r>
  <r>
    <x v="3"/>
    <x v="0"/>
    <n v="20"/>
    <n v="2020"/>
    <x v="0"/>
    <n v="2"/>
    <x v="0"/>
    <s v="No"/>
    <x v="3"/>
    <n v="5"/>
    <x v="0"/>
    <x v="0"/>
    <s v="Yes"/>
    <x v="5"/>
    <x v="1"/>
    <x v="5"/>
    <s v="No"/>
    <s v="No"/>
    <x v="0"/>
    <s v="Software Development"/>
    <n v="3"/>
    <x v="5"/>
    <s v="Single"/>
    <x v="1"/>
    <s v="Bachelor"/>
    <x v="0"/>
    <n v="2.68"/>
    <s v="No"/>
    <n v="3.15"/>
    <n v="11"/>
    <n v="20000"/>
    <x v="0"/>
    <x v="0"/>
    <n v="64"/>
  </r>
  <r>
    <x v="3"/>
    <x v="0"/>
    <n v="21"/>
    <n v="2020"/>
    <x v="0"/>
    <n v="2"/>
    <x v="1"/>
    <s v="No"/>
    <x v="0"/>
    <n v="2"/>
    <x v="0"/>
    <x v="0"/>
    <s v="Yes"/>
    <x v="2"/>
    <x v="1"/>
    <x v="6"/>
    <s v="No"/>
    <s v="No"/>
    <x v="0"/>
    <s v="Software Development"/>
    <n v="2"/>
    <x v="2"/>
    <s v="Single"/>
    <x v="0"/>
    <s v="Bachelor"/>
    <x v="0"/>
    <n v="2.68"/>
    <s v="No"/>
    <n v="3.15"/>
    <n v="11"/>
    <n v="10000"/>
    <x v="0"/>
    <x v="0"/>
    <n v="53.800000000000004"/>
  </r>
  <r>
    <x v="3"/>
    <x v="0"/>
    <n v="21"/>
    <n v="2020"/>
    <x v="0"/>
    <n v="2"/>
    <x v="0"/>
    <s v="Yes"/>
    <x v="0"/>
    <n v="3"/>
    <x v="0"/>
    <x v="0"/>
    <s v="Yes"/>
    <x v="3"/>
    <x v="1"/>
    <x v="8"/>
    <s v="No"/>
    <s v="No"/>
    <x v="0"/>
    <s v="Software Development"/>
    <n v="4"/>
    <x v="2"/>
    <s v="Single"/>
    <x v="1"/>
    <s v="Bachelor"/>
    <x v="0"/>
    <n v="2.68"/>
    <s v="No"/>
    <n v="3.15"/>
    <n v="11"/>
    <n v="10000"/>
    <x v="0"/>
    <x v="0"/>
    <n v="60.2"/>
  </r>
  <r>
    <x v="3"/>
    <x v="0"/>
    <n v="19"/>
    <n v="2020"/>
    <x v="0"/>
    <n v="2"/>
    <x v="0"/>
    <s v="Yes"/>
    <x v="3"/>
    <n v="3"/>
    <x v="1"/>
    <x v="0"/>
    <s v="Yes"/>
    <x v="5"/>
    <x v="0"/>
    <x v="0"/>
    <s v="No"/>
    <s v="No"/>
    <x v="0"/>
    <s v="Software Development"/>
    <n v="1"/>
    <x v="2"/>
    <s v="Single"/>
    <x v="0"/>
    <s v="Family"/>
    <x v="0"/>
    <n v="2.68"/>
    <s v="No"/>
    <n v="3.15"/>
    <n v="11"/>
    <n v="40000"/>
    <x v="0"/>
    <x v="0"/>
    <n v="54"/>
  </r>
  <r>
    <x v="3"/>
    <x v="0"/>
    <n v="19"/>
    <n v="2020"/>
    <x v="0"/>
    <n v="2"/>
    <x v="0"/>
    <s v="Yes"/>
    <x v="5"/>
    <n v="2"/>
    <x v="1"/>
    <x v="0"/>
    <s v="Yes"/>
    <x v="2"/>
    <x v="0"/>
    <x v="0"/>
    <s v="No"/>
    <s v="No"/>
    <x v="0"/>
    <s v="Software Development"/>
    <n v="2"/>
    <x v="2"/>
    <s v="Single"/>
    <x v="0"/>
    <s v="Family"/>
    <x v="0"/>
    <n v="2.68"/>
    <s v="No"/>
    <n v="3.15"/>
    <n v="11"/>
    <n v="40000"/>
    <x v="0"/>
    <x v="0"/>
    <n v="54"/>
  </r>
  <r>
    <x v="3"/>
    <x v="0"/>
    <n v="19"/>
    <n v="2020"/>
    <x v="0"/>
    <n v="2"/>
    <x v="0"/>
    <s v="No"/>
    <x v="5"/>
    <n v="2"/>
    <x v="0"/>
    <x v="0"/>
    <s v="Yes"/>
    <x v="3"/>
    <x v="1"/>
    <x v="4"/>
    <s v="No"/>
    <s v="No"/>
    <x v="0"/>
    <s v="Software Development"/>
    <n v="3"/>
    <x v="2"/>
    <s v="Single"/>
    <x v="1"/>
    <s v="Bachelor"/>
    <x v="0"/>
    <n v="2.68"/>
    <s v="No"/>
    <n v="3.15"/>
    <n v="11"/>
    <n v="25000"/>
    <x v="0"/>
    <x v="0"/>
    <n v="59"/>
  </r>
  <r>
    <x v="3"/>
    <x v="0"/>
    <n v="20"/>
    <n v="2020"/>
    <x v="0"/>
    <n v="2"/>
    <x v="0"/>
    <s v="No"/>
    <x v="3"/>
    <n v="2"/>
    <x v="0"/>
    <x v="0"/>
    <s v="Yes"/>
    <x v="1"/>
    <x v="0"/>
    <x v="4"/>
    <s v="No"/>
    <s v="No"/>
    <x v="0"/>
    <s v="Software Development"/>
    <n v="1"/>
    <x v="2"/>
    <s v="Single"/>
    <x v="0"/>
    <s v="Family"/>
    <x v="0"/>
    <n v="2.68"/>
    <s v="No"/>
    <n v="3.15"/>
    <n v="11"/>
    <n v="20000"/>
    <x v="0"/>
    <x v="0"/>
    <n v="56"/>
  </r>
  <r>
    <x v="3"/>
    <x v="0"/>
    <n v="19"/>
    <n v="2020"/>
    <x v="0"/>
    <n v="2"/>
    <x v="0"/>
    <s v="Yes"/>
    <x v="1"/>
    <n v="1"/>
    <x v="1"/>
    <x v="0"/>
    <s v="Yes"/>
    <x v="3"/>
    <x v="0"/>
    <x v="0"/>
    <s v="No"/>
    <s v="No"/>
    <x v="1"/>
    <s v="Software Development"/>
    <n v="2"/>
    <x v="2"/>
    <s v="Single"/>
    <x v="0"/>
    <s v="Family"/>
    <x v="0"/>
    <n v="2.68"/>
    <s v="No"/>
    <n v="3.15"/>
    <n v="11"/>
    <n v="22000"/>
    <x v="0"/>
    <x v="0"/>
    <n v="45"/>
  </r>
  <r>
    <x v="1"/>
    <x v="1"/>
    <n v="20"/>
    <n v="2020"/>
    <x v="0"/>
    <n v="4"/>
    <x v="1"/>
    <s v="No"/>
    <x v="2"/>
    <n v="2"/>
    <x v="0"/>
    <x v="0"/>
    <s v="Yes"/>
    <x v="1"/>
    <x v="1"/>
    <x v="10"/>
    <s v="No"/>
    <s v="No"/>
    <x v="1"/>
    <s v="Software Development"/>
    <n v="1"/>
    <x v="2"/>
    <s v="Single"/>
    <x v="1"/>
    <s v="Family"/>
    <x v="0"/>
    <n v="3.78"/>
    <s v="No"/>
    <n v="3.88"/>
    <n v="36"/>
    <n v="200000"/>
    <x v="1"/>
    <x v="0"/>
    <n v="48.6"/>
  </r>
  <r>
    <x v="3"/>
    <x v="0"/>
    <n v="20"/>
    <n v="2020"/>
    <x v="0"/>
    <n v="2"/>
    <x v="0"/>
    <s v="No"/>
    <x v="7"/>
    <n v="2"/>
    <x v="0"/>
    <x v="0"/>
    <s v="Yes"/>
    <x v="0"/>
    <x v="1"/>
    <x v="0"/>
    <s v="No"/>
    <s v="No"/>
    <x v="0"/>
    <s v="Software Development"/>
    <n v="2"/>
    <x v="2"/>
    <s v="Single"/>
    <x v="1"/>
    <s v="Family"/>
    <x v="1"/>
    <n v="2.68"/>
    <s v="No"/>
    <n v="3.15"/>
    <n v="11"/>
    <n v="39000"/>
    <x v="0"/>
    <x v="0"/>
    <n v="63"/>
  </r>
  <r>
    <x v="3"/>
    <x v="0"/>
    <n v="21"/>
    <n v="2020"/>
    <x v="0"/>
    <n v="2"/>
    <x v="0"/>
    <s v="Yes"/>
    <x v="2"/>
    <n v="1"/>
    <x v="1"/>
    <x v="0"/>
    <s v="Yes"/>
    <x v="1"/>
    <x v="0"/>
    <x v="0"/>
    <s v="No"/>
    <s v="No"/>
    <x v="1"/>
    <s v="Software Development"/>
    <n v="1"/>
    <x v="5"/>
    <s v="Single"/>
    <x v="1"/>
    <s v="Family"/>
    <x v="0"/>
    <n v="2.68"/>
    <s v="No"/>
    <n v="3.15"/>
    <n v="11"/>
    <n v="30000"/>
    <x v="0"/>
    <x v="0"/>
    <n v="45"/>
  </r>
  <r>
    <x v="3"/>
    <x v="0"/>
    <n v="21"/>
    <n v="2020"/>
    <x v="0"/>
    <n v="2"/>
    <x v="0"/>
    <s v="Yes"/>
    <x v="2"/>
    <n v="2"/>
    <x v="0"/>
    <x v="0"/>
    <s v="Yes"/>
    <x v="2"/>
    <x v="0"/>
    <x v="3"/>
    <s v="No"/>
    <s v="No"/>
    <x v="1"/>
    <s v="Software Development"/>
    <n v="2"/>
    <x v="2"/>
    <s v="Single"/>
    <x v="0"/>
    <s v="Family"/>
    <x v="0"/>
    <n v="4"/>
    <s v="No"/>
    <n v="4"/>
    <n v="11"/>
    <n v="20000"/>
    <x v="1"/>
    <x v="0"/>
    <n v="47.2"/>
  </r>
  <r>
    <x v="3"/>
    <x v="0"/>
    <n v="21"/>
    <n v="2020"/>
    <x v="0"/>
    <n v="2"/>
    <x v="0"/>
    <s v="Yes"/>
    <x v="3"/>
    <n v="2"/>
    <x v="0"/>
    <x v="0"/>
    <s v="Yes"/>
    <x v="3"/>
    <x v="0"/>
    <x v="4"/>
    <s v="No"/>
    <s v="No"/>
    <x v="0"/>
    <s v="Software Development"/>
    <n v="2"/>
    <x v="2"/>
    <s v="Single"/>
    <x v="0"/>
    <s v="Family"/>
    <x v="0"/>
    <n v="2.68"/>
    <s v="No"/>
    <n v="3.15"/>
    <n v="11"/>
    <n v="30000"/>
    <x v="0"/>
    <x v="0"/>
    <n v="59"/>
  </r>
  <r>
    <x v="3"/>
    <x v="0"/>
    <n v="20"/>
    <n v="2020"/>
    <x v="0"/>
    <n v="2"/>
    <x v="0"/>
    <s v="No"/>
    <x v="0"/>
    <n v="1"/>
    <x v="0"/>
    <x v="0"/>
    <s v="Yes"/>
    <x v="2"/>
    <x v="0"/>
    <x v="5"/>
    <s v="No"/>
    <s v="No"/>
    <x v="1"/>
    <s v="Software Development"/>
    <n v="1"/>
    <x v="2"/>
    <s v="Single"/>
    <x v="1"/>
    <s v="Family"/>
    <x v="0"/>
    <n v="3.9"/>
    <s v="No"/>
    <n v="3.9"/>
    <n v="12"/>
    <n v="60000"/>
    <x v="1"/>
    <x v="0"/>
    <n v="52"/>
  </r>
  <r>
    <x v="3"/>
    <x v="0"/>
    <n v="20"/>
    <n v="2020"/>
    <x v="0"/>
    <n v="2"/>
    <x v="0"/>
    <s v="Yes"/>
    <x v="2"/>
    <n v="2"/>
    <x v="0"/>
    <x v="0"/>
    <s v="Yes"/>
    <x v="3"/>
    <x v="1"/>
    <x v="5"/>
    <s v="No"/>
    <s v="No"/>
    <x v="0"/>
    <s v="Software Development"/>
    <n v="2"/>
    <x v="2"/>
    <s v="Single"/>
    <x v="1"/>
    <s v="Family"/>
    <x v="0"/>
    <n v="2.68"/>
    <s v="No"/>
    <n v="3.15"/>
    <n v="11"/>
    <n v="40000"/>
    <x v="0"/>
    <x v="0"/>
    <n v="52"/>
  </r>
  <r>
    <x v="3"/>
    <x v="0"/>
    <n v="22"/>
    <n v="2020"/>
    <x v="0"/>
    <n v="2"/>
    <x v="1"/>
    <s v="Yes"/>
    <x v="1"/>
    <n v="1"/>
    <x v="1"/>
    <x v="0"/>
    <s v="Yes"/>
    <x v="6"/>
    <x v="1"/>
    <x v="2"/>
    <s v="No"/>
    <s v="No"/>
    <x v="0"/>
    <s v="Networking"/>
    <n v="2"/>
    <x v="2"/>
    <s v="Single"/>
    <x v="0"/>
    <s v="Family"/>
    <x v="1"/>
    <n v="2.68"/>
    <s v="No"/>
    <n v="3.15"/>
    <n v="11"/>
    <n v="32000"/>
    <x v="0"/>
    <x v="0"/>
    <n v="41"/>
  </r>
  <r>
    <x v="1"/>
    <x v="0"/>
    <n v="20"/>
    <n v="2020"/>
    <x v="0"/>
    <n v="2"/>
    <x v="0"/>
    <s v="No"/>
    <x v="1"/>
    <n v="2"/>
    <x v="0"/>
    <x v="0"/>
    <s v="Yes"/>
    <x v="2"/>
    <x v="0"/>
    <x v="5"/>
    <s v="No"/>
    <s v="No"/>
    <x v="1"/>
    <s v="Software Development"/>
    <n v="1"/>
    <x v="3"/>
    <s v="Single"/>
    <x v="1"/>
    <s v="Family"/>
    <x v="0"/>
    <n v="2.68"/>
    <s v="No"/>
    <n v="3.15"/>
    <n v="11"/>
    <n v="30000"/>
    <x v="0"/>
    <x v="0"/>
    <n v="46"/>
  </r>
  <r>
    <x v="1"/>
    <x v="1"/>
    <n v="20"/>
    <n v="2020"/>
    <x v="0"/>
    <n v="2"/>
    <x v="0"/>
    <s v="Yes"/>
    <x v="1"/>
    <n v="2"/>
    <x v="0"/>
    <x v="0"/>
    <s v="Yes"/>
    <x v="3"/>
    <x v="0"/>
    <x v="8"/>
    <s v="No"/>
    <s v="No"/>
    <x v="1"/>
    <s v="Software Development"/>
    <n v="2"/>
    <x v="2"/>
    <s v="Single"/>
    <x v="0"/>
    <s v="Family"/>
    <x v="0"/>
    <n v="2.68"/>
    <s v="No"/>
    <n v="3.15"/>
    <n v="11"/>
    <n v="40000"/>
    <x v="0"/>
    <x v="0"/>
    <n v="48.2"/>
  </r>
  <r>
    <x v="3"/>
    <x v="0"/>
    <n v="20"/>
    <n v="2020"/>
    <x v="0"/>
    <n v="2"/>
    <x v="0"/>
    <s v="Yes"/>
    <x v="5"/>
    <n v="1"/>
    <x v="1"/>
    <x v="0"/>
    <s v="Yes"/>
    <x v="1"/>
    <x v="0"/>
    <x v="9"/>
    <s v="No"/>
    <s v="No"/>
    <x v="0"/>
    <s v="Software Development"/>
    <n v="2"/>
    <x v="2"/>
    <s v="Single"/>
    <x v="1"/>
    <s v="Family"/>
    <x v="0"/>
    <n v="2.68"/>
    <s v="No"/>
    <n v="3.15"/>
    <n v="11"/>
    <n v="30000"/>
    <x v="0"/>
    <x v="0"/>
    <n v="52"/>
  </r>
  <r>
    <x v="1"/>
    <x v="1"/>
    <n v="20"/>
    <n v="2020"/>
    <x v="0"/>
    <n v="2"/>
    <x v="0"/>
    <s v="Yes"/>
    <x v="2"/>
    <n v="1"/>
    <x v="0"/>
    <x v="0"/>
    <s v="Yes"/>
    <x v="4"/>
    <x v="0"/>
    <x v="10"/>
    <s v="No"/>
    <s v="No"/>
    <x v="1"/>
    <s v="Software Development"/>
    <n v="2"/>
    <x v="2"/>
    <s v="Single"/>
    <x v="0"/>
    <s v="Family"/>
    <x v="0"/>
    <n v="2.68"/>
    <s v="No"/>
    <n v="3.15"/>
    <n v="11"/>
    <n v="40000"/>
    <x v="0"/>
    <x v="0"/>
    <n v="51.6"/>
  </r>
  <r>
    <x v="3"/>
    <x v="0"/>
    <n v="20"/>
    <n v="2020"/>
    <x v="0"/>
    <n v="2"/>
    <x v="0"/>
    <s v="Yes"/>
    <x v="1"/>
    <n v="1"/>
    <x v="0"/>
    <x v="0"/>
    <s v="Yes"/>
    <x v="4"/>
    <x v="0"/>
    <x v="11"/>
    <s v="No"/>
    <s v="No"/>
    <x v="0"/>
    <s v="Software Development"/>
    <n v="1"/>
    <x v="2"/>
    <s v="Single"/>
    <x v="1"/>
    <s v="Family"/>
    <x v="0"/>
    <n v="2.68"/>
    <s v="No"/>
    <n v="3.15"/>
    <n v="11"/>
    <n v="35000"/>
    <x v="0"/>
    <x v="0"/>
    <n v="36"/>
  </r>
  <r>
    <x v="1"/>
    <x v="0"/>
    <n v="21"/>
    <n v="2020"/>
    <x v="0"/>
    <n v="4"/>
    <x v="0"/>
    <s v="Yes"/>
    <x v="0"/>
    <n v="2"/>
    <x v="0"/>
    <x v="0"/>
    <s v="Yes"/>
    <x v="4"/>
    <x v="0"/>
    <x v="9"/>
    <s v="No"/>
    <s v="No"/>
    <x v="0"/>
    <s v="Software Development"/>
    <n v="2"/>
    <x v="3"/>
    <s v="Relationship"/>
    <x v="1"/>
    <s v="Bachelor"/>
    <x v="0"/>
    <n v="2.68"/>
    <s v="No"/>
    <n v="3.15"/>
    <n v="36"/>
    <n v="40000"/>
    <x v="0"/>
    <x v="0"/>
    <n v="49"/>
  </r>
  <r>
    <x v="4"/>
    <x v="0"/>
    <n v="23"/>
    <n v="2017"/>
    <x v="0"/>
    <n v="11"/>
    <x v="1"/>
    <s v="Yes"/>
    <x v="1"/>
    <n v="2"/>
    <x v="0"/>
    <x v="0"/>
    <s v="Yes"/>
    <x v="2"/>
    <x v="0"/>
    <x v="5"/>
    <s v="No"/>
    <s v="No"/>
    <x v="1"/>
    <s v="Software Development"/>
    <n v="2"/>
    <x v="2"/>
    <s v="Single"/>
    <x v="0"/>
    <s v="Bachelor"/>
    <x v="0"/>
    <n v="2.68"/>
    <s v="No"/>
    <n v="3.15"/>
    <n v="126"/>
    <n v="15000"/>
    <x v="0"/>
    <x v="0"/>
    <n v="49"/>
  </r>
  <r>
    <x v="2"/>
    <x v="0"/>
    <n v="21"/>
    <n v="2019"/>
    <x v="0"/>
    <n v="8"/>
    <x v="0"/>
    <s v="No"/>
    <x v="0"/>
    <n v="2"/>
    <x v="0"/>
    <x v="0"/>
    <s v="Yes"/>
    <x v="0"/>
    <x v="0"/>
    <x v="4"/>
    <s v="No"/>
    <s v="No"/>
    <x v="0"/>
    <s v="Software Development"/>
    <n v="1"/>
    <x v="2"/>
    <s v="Single"/>
    <x v="1"/>
    <s v="Bachelor"/>
    <x v="0"/>
    <n v="3.84"/>
    <s v="No"/>
    <n v="3.8"/>
    <n v="80"/>
    <n v="23000"/>
    <x v="1"/>
    <x v="0"/>
    <n v="50"/>
  </r>
  <r>
    <x v="2"/>
    <x v="0"/>
    <n v="21"/>
    <n v="2019"/>
    <x v="0"/>
    <n v="8"/>
    <x v="1"/>
    <s v="Yes"/>
    <x v="0"/>
    <n v="2"/>
    <x v="0"/>
    <x v="0"/>
    <s v="Yes"/>
    <x v="2"/>
    <x v="2"/>
    <x v="4"/>
    <s v="No"/>
    <s v="No"/>
    <x v="0"/>
    <s v="Software Development"/>
    <n v="2"/>
    <x v="2"/>
    <s v="Single"/>
    <x v="0"/>
    <s v="Bachelor"/>
    <x v="0"/>
    <n v="2.68"/>
    <s v="No"/>
    <n v="3.15"/>
    <n v="88"/>
    <n v="62488"/>
    <x v="0"/>
    <x v="0"/>
    <n v="53"/>
  </r>
  <r>
    <x v="0"/>
    <x v="0"/>
    <n v="24"/>
    <n v="2016"/>
    <x v="0"/>
    <n v="12"/>
    <x v="0"/>
    <s v="No"/>
    <x v="2"/>
    <n v="2"/>
    <x v="0"/>
    <x v="0"/>
    <s v="Yes"/>
    <x v="4"/>
    <x v="0"/>
    <x v="7"/>
    <s v="No"/>
    <s v="No"/>
    <x v="0"/>
    <s v="Software Development"/>
    <n v="2"/>
    <x v="5"/>
    <s v="Single"/>
    <x v="0"/>
    <s v="Bachelor"/>
    <x v="0"/>
    <n v="3.31"/>
    <s v="No"/>
    <n v="3.52"/>
    <n v="132"/>
    <n v="350000"/>
    <x v="1"/>
    <x v="0"/>
    <n v="40"/>
  </r>
  <r>
    <x v="2"/>
    <x v="0"/>
    <n v="22"/>
    <n v="2019"/>
    <x v="0"/>
    <n v="8"/>
    <x v="1"/>
    <s v="No"/>
    <x v="0"/>
    <n v="2"/>
    <x v="1"/>
    <x v="0"/>
    <s v="Yes"/>
    <x v="4"/>
    <x v="0"/>
    <x v="5"/>
    <s v="No"/>
    <s v="No"/>
    <x v="0"/>
    <s v="Other"/>
    <n v="2"/>
    <x v="5"/>
    <s v="Single"/>
    <x v="1"/>
    <s v="Bachelor"/>
    <x v="0"/>
    <n v="2.68"/>
    <s v="No"/>
    <n v="3.15"/>
    <n v="88"/>
    <n v="50000"/>
    <x v="0"/>
    <x v="0"/>
    <n v="55"/>
  </r>
  <r>
    <x v="3"/>
    <x v="1"/>
    <n v="21"/>
    <n v="2020"/>
    <x v="0"/>
    <n v="2"/>
    <x v="0"/>
    <s v="No"/>
    <x v="0"/>
    <n v="1"/>
    <x v="1"/>
    <x v="0"/>
    <s v="Yes"/>
    <x v="2"/>
    <x v="2"/>
    <x v="4"/>
    <s v="No"/>
    <s v="No"/>
    <x v="0"/>
    <s v="Software Development"/>
    <n v="1"/>
    <x v="2"/>
    <s v="Single"/>
    <x v="1"/>
    <s v="Family"/>
    <x v="0"/>
    <n v="2.68"/>
    <s v="No"/>
    <n v="3.15"/>
    <n v="11"/>
    <n v="40000"/>
    <x v="0"/>
    <x v="0"/>
    <n v="50"/>
  </r>
  <r>
    <x v="3"/>
    <x v="0"/>
    <n v="20"/>
    <n v="2020"/>
    <x v="0"/>
    <n v="2"/>
    <x v="1"/>
    <s v="No"/>
    <x v="0"/>
    <n v="2"/>
    <x v="0"/>
    <x v="0"/>
    <s v="Yes"/>
    <x v="2"/>
    <x v="0"/>
    <x v="5"/>
    <s v="No"/>
    <s v="No"/>
    <x v="0"/>
    <s v="Software Development"/>
    <n v="5"/>
    <x v="2"/>
    <s v="Relationship"/>
    <x v="1"/>
    <s v="Bachelor"/>
    <x v="0"/>
    <n v="2.68"/>
    <s v="No"/>
    <n v="3.15"/>
    <n v="11"/>
    <n v="35000"/>
    <x v="0"/>
    <x v="0"/>
    <n v="64"/>
  </r>
  <r>
    <x v="2"/>
    <x v="1"/>
    <n v="21"/>
    <n v="2019"/>
    <x v="0"/>
    <n v="8"/>
    <x v="0"/>
    <s v="Yes"/>
    <x v="0"/>
    <n v="2"/>
    <x v="0"/>
    <x v="0"/>
    <s v="Yes"/>
    <x v="2"/>
    <x v="1"/>
    <x v="2"/>
    <s v="No"/>
    <s v="No"/>
    <x v="0"/>
    <s v="Software Development"/>
    <n v="2"/>
    <x v="2"/>
    <s v="Single"/>
    <x v="1"/>
    <s v="Family"/>
    <x v="0"/>
    <n v="2.68"/>
    <s v="No"/>
    <n v="3.15"/>
    <n v="88"/>
    <n v="35000"/>
    <x v="0"/>
    <x v="0"/>
    <n v="47"/>
  </r>
  <r>
    <x v="3"/>
    <x v="0"/>
    <n v="21"/>
    <n v="2020"/>
    <x v="0"/>
    <n v="2"/>
    <x v="1"/>
    <s v="No"/>
    <x v="6"/>
    <n v="2"/>
    <x v="1"/>
    <x v="0"/>
    <s v="Yes"/>
    <x v="3"/>
    <x v="1"/>
    <x v="5"/>
    <s v="No"/>
    <s v="No"/>
    <x v="0"/>
    <s v="Software Development"/>
    <n v="2"/>
    <x v="2"/>
    <s v="Single"/>
    <x v="0"/>
    <s v="Bachelor"/>
    <x v="0"/>
    <n v="2.68"/>
    <s v="No"/>
    <n v="3.15"/>
    <n v="11"/>
    <n v="30000"/>
    <x v="0"/>
    <x v="0"/>
    <n v="70"/>
  </r>
  <r>
    <x v="2"/>
    <x v="0"/>
    <n v="23"/>
    <n v="2018"/>
    <x v="0"/>
    <n v="8"/>
    <x v="0"/>
    <s v="Yes"/>
    <x v="2"/>
    <n v="2"/>
    <x v="1"/>
    <x v="0"/>
    <s v="Yes"/>
    <x v="3"/>
    <x v="0"/>
    <x v="0"/>
    <s v="No"/>
    <s v="No"/>
    <x v="0"/>
    <s v="Software Development"/>
    <n v="1"/>
    <x v="2"/>
    <s v="Single"/>
    <x v="1"/>
    <s v="Family"/>
    <x v="0"/>
    <n v="2.68"/>
    <s v="No"/>
    <n v="3.15"/>
    <n v="88"/>
    <n v="40000"/>
    <x v="0"/>
    <x v="0"/>
    <n v="45"/>
  </r>
  <r>
    <x v="3"/>
    <x v="0"/>
    <n v="20"/>
    <n v="2020"/>
    <x v="0"/>
    <n v="2"/>
    <x v="0"/>
    <s v="Yes"/>
    <x v="5"/>
    <n v="1"/>
    <x v="0"/>
    <x v="0"/>
    <s v="Yes"/>
    <x v="3"/>
    <x v="0"/>
    <x v="4"/>
    <s v="No"/>
    <s v="No"/>
    <x v="0"/>
    <s v="Software Development"/>
    <n v="1"/>
    <x v="2"/>
    <s v="Single"/>
    <x v="0"/>
    <s v="Family"/>
    <x v="0"/>
    <n v="2.68"/>
    <s v="No"/>
    <n v="3.15"/>
    <n v="11"/>
    <n v="35000"/>
    <x v="0"/>
    <x v="0"/>
    <n v="53"/>
  </r>
  <r>
    <x v="2"/>
    <x v="1"/>
    <n v="21"/>
    <n v="2019"/>
    <x v="0"/>
    <n v="8"/>
    <x v="1"/>
    <s v="Yes"/>
    <x v="1"/>
    <n v="1"/>
    <x v="1"/>
    <x v="0"/>
    <s v="Yes"/>
    <x v="2"/>
    <x v="0"/>
    <x v="4"/>
    <s v="No"/>
    <s v="No"/>
    <x v="1"/>
    <s v="Software Development"/>
    <n v="2"/>
    <x v="2"/>
    <s v="Single"/>
    <x v="1"/>
    <s v="Family"/>
    <x v="1"/>
    <n v="2.68"/>
    <s v="No"/>
    <n v="3.15"/>
    <n v="88"/>
    <n v="40000"/>
    <x v="0"/>
    <x v="0"/>
    <n v="47"/>
  </r>
  <r>
    <x v="0"/>
    <x v="1"/>
    <n v="24"/>
    <n v="2017"/>
    <x v="0"/>
    <n v="12"/>
    <x v="1"/>
    <s v="Yes"/>
    <x v="2"/>
    <n v="2"/>
    <x v="0"/>
    <x v="0"/>
    <s v="Yes"/>
    <x v="1"/>
    <x v="0"/>
    <x v="2"/>
    <s v="Yes"/>
    <s v="No"/>
    <x v="0"/>
    <s v="Networking"/>
    <n v="1"/>
    <x v="5"/>
    <s v="Married"/>
    <x v="0"/>
    <s v="Family"/>
    <x v="0"/>
    <n v="2.68"/>
    <s v="No"/>
    <n v="3.15"/>
    <n v="136"/>
    <n v="30000"/>
    <x v="0"/>
    <x v="0"/>
    <n v="41"/>
  </r>
  <r>
    <x v="2"/>
    <x v="0"/>
    <n v="22"/>
    <n v="2019"/>
    <x v="0"/>
    <n v="8"/>
    <x v="1"/>
    <s v="No"/>
    <x v="0"/>
    <n v="1"/>
    <x v="1"/>
    <x v="0"/>
    <s v="Yes"/>
    <x v="3"/>
    <x v="0"/>
    <x v="5"/>
    <s v="No"/>
    <s v="No"/>
    <x v="1"/>
    <s v="Software Development"/>
    <n v="8"/>
    <x v="2"/>
    <s v="Single"/>
    <x v="0"/>
    <s v="Bachelor"/>
    <x v="0"/>
    <n v="2.68"/>
    <s v="No"/>
    <n v="3.15"/>
    <n v="88"/>
    <n v="35000"/>
    <x v="0"/>
    <x v="0"/>
    <n v="73"/>
  </r>
  <r>
    <x v="2"/>
    <x v="0"/>
    <n v="21"/>
    <n v="2019"/>
    <x v="0"/>
    <n v="8"/>
    <x v="1"/>
    <s v="Yes"/>
    <x v="5"/>
    <n v="1"/>
    <x v="0"/>
    <x v="0"/>
    <s v="Yes"/>
    <x v="2"/>
    <x v="1"/>
    <x v="4"/>
    <s v="No"/>
    <s v="No"/>
    <x v="0"/>
    <s v="Software Development"/>
    <n v="2"/>
    <x v="2"/>
    <s v="Single"/>
    <x v="1"/>
    <s v="Bachelor"/>
    <x v="0"/>
    <n v="2.68"/>
    <s v="No"/>
    <n v="3.15"/>
    <n v="88"/>
    <n v="25000"/>
    <x v="0"/>
    <x v="0"/>
    <n v="56"/>
  </r>
  <r>
    <x v="3"/>
    <x v="1"/>
    <n v="20"/>
    <n v="2020"/>
    <x v="0"/>
    <n v="2"/>
    <x v="0"/>
    <s v="Yes"/>
    <x v="3"/>
    <n v="3"/>
    <x v="0"/>
    <x v="0"/>
    <s v="No"/>
    <x v="2"/>
    <x v="1"/>
    <x v="10"/>
    <s v="No"/>
    <s v="No"/>
    <x v="0"/>
    <s v="Software Development"/>
    <n v="2"/>
    <x v="2"/>
    <s v="Single"/>
    <x v="0"/>
    <s v="Family"/>
    <x v="1"/>
    <n v="2.68"/>
    <s v="No"/>
    <n v="3.15"/>
    <n v="11"/>
    <n v="600000"/>
    <x v="0"/>
    <x v="0"/>
    <n v="60.6"/>
  </r>
  <r>
    <x v="3"/>
    <x v="1"/>
    <n v="20"/>
    <n v="2019"/>
    <x v="0"/>
    <n v="2"/>
    <x v="0"/>
    <s v="Yes"/>
    <x v="5"/>
    <n v="3"/>
    <x v="0"/>
    <x v="0"/>
    <s v="Yes"/>
    <x v="4"/>
    <x v="1"/>
    <x v="5"/>
    <s v="No"/>
    <s v="No"/>
    <x v="0"/>
    <s v="Software Development"/>
    <n v="2"/>
    <x v="2"/>
    <s v="Engaged"/>
    <x v="1"/>
    <s v="Family"/>
    <x v="0"/>
    <n v="2.68"/>
    <s v="No"/>
    <n v="3.15"/>
    <n v="11"/>
    <n v="35000"/>
    <x v="0"/>
    <x v="0"/>
    <n v="58"/>
  </r>
  <r>
    <x v="2"/>
    <x v="1"/>
    <n v="20"/>
    <n v="2019"/>
    <x v="0"/>
    <n v="8"/>
    <x v="0"/>
    <s v="No"/>
    <x v="1"/>
    <n v="1"/>
    <x v="0"/>
    <x v="0"/>
    <s v="Yes"/>
    <x v="0"/>
    <x v="0"/>
    <x v="2"/>
    <s v="No"/>
    <s v="No"/>
    <x v="0"/>
    <s v="Software Development"/>
    <n v="2"/>
    <x v="2"/>
    <s v="Married"/>
    <x v="1"/>
    <s v="Bachelor"/>
    <x v="0"/>
    <n v="3.49"/>
    <s v="No"/>
    <n v="3.67"/>
    <n v="71"/>
    <n v="40000"/>
    <x v="1"/>
    <x v="0"/>
    <n v="41"/>
  </r>
  <r>
    <x v="2"/>
    <x v="0"/>
    <n v="21"/>
    <n v="2019"/>
    <x v="0"/>
    <n v="8"/>
    <x v="1"/>
    <s v="No"/>
    <x v="5"/>
    <n v="1"/>
    <x v="1"/>
    <x v="0"/>
    <s v="Yes"/>
    <x v="2"/>
    <x v="0"/>
    <x v="5"/>
    <s v="No"/>
    <s v="No"/>
    <x v="0"/>
    <s v="Software Development"/>
    <n v="2"/>
    <x v="4"/>
    <s v="Single"/>
    <x v="1"/>
    <s v="Bachelor"/>
    <x v="0"/>
    <n v="3.07"/>
    <s v="No"/>
    <n v="2.74"/>
    <n v="85"/>
    <n v="20000"/>
    <x v="0"/>
    <x v="0"/>
    <n v="58"/>
  </r>
  <r>
    <x v="4"/>
    <x v="0"/>
    <n v="21"/>
    <n v="2019"/>
    <x v="0"/>
    <n v="8"/>
    <x v="1"/>
    <s v="Yes"/>
    <x v="0"/>
    <n v="1"/>
    <x v="0"/>
    <x v="0"/>
    <s v="Yes"/>
    <x v="7"/>
    <x v="0"/>
    <x v="9"/>
    <s v="No"/>
    <s v="No"/>
    <x v="0"/>
    <s v="Graphics Designing"/>
    <n v="1"/>
    <x v="4"/>
    <s v="Single"/>
    <x v="1"/>
    <s v="Family"/>
    <x v="0"/>
    <n v="2.68"/>
    <s v="No"/>
    <n v="3.15"/>
    <n v="88"/>
    <n v="20000"/>
    <x v="0"/>
    <x v="0"/>
    <n v="46"/>
  </r>
  <r>
    <x v="4"/>
    <x v="1"/>
    <n v="21"/>
    <n v="2019"/>
    <x v="0"/>
    <n v="8"/>
    <x v="1"/>
    <s v="Yes"/>
    <x v="0"/>
    <n v="1"/>
    <x v="0"/>
    <x v="0"/>
    <s v="Yes"/>
    <x v="3"/>
    <x v="0"/>
    <x v="4"/>
    <s v="No"/>
    <s v="No"/>
    <x v="0"/>
    <s v="Software Development"/>
    <n v="1"/>
    <x v="4"/>
    <s v="Single"/>
    <x v="1"/>
    <s v="Family"/>
    <x v="0"/>
    <n v="3.76"/>
    <s v="No"/>
    <n v="3.5"/>
    <n v="83"/>
    <n v="92000"/>
    <x v="1"/>
    <x v="0"/>
    <n v="50"/>
  </r>
  <r>
    <x v="2"/>
    <x v="0"/>
    <n v="22"/>
    <n v="2019"/>
    <x v="0"/>
    <n v="8"/>
    <x v="1"/>
    <s v="Yes"/>
    <x v="0"/>
    <n v="1"/>
    <x v="0"/>
    <x v="1"/>
    <s v="Yes"/>
    <x v="3"/>
    <x v="0"/>
    <x v="8"/>
    <s v="No"/>
    <s v="No"/>
    <x v="1"/>
    <s v="Software Development"/>
    <n v="2"/>
    <x v="2"/>
    <s v="Single"/>
    <x v="1"/>
    <s v="Family"/>
    <x v="0"/>
    <n v="2.7"/>
    <s v="No"/>
    <n v="2.8"/>
    <n v="80"/>
    <n v="35000"/>
    <x v="0"/>
    <x v="0"/>
    <n v="54.2"/>
  </r>
  <r>
    <x v="2"/>
    <x v="0"/>
    <n v="22"/>
    <n v="2019"/>
    <x v="0"/>
    <n v="8"/>
    <x v="1"/>
    <s v="No"/>
    <x v="2"/>
    <n v="1"/>
    <x v="0"/>
    <x v="0"/>
    <s v="Yes"/>
    <x v="2"/>
    <x v="0"/>
    <x v="4"/>
    <s v="No"/>
    <s v="No"/>
    <x v="1"/>
    <s v="Software Development"/>
    <n v="2"/>
    <x v="4"/>
    <s v="Single"/>
    <x v="1"/>
    <s v="Bachelor"/>
    <x v="0"/>
    <n v="2.68"/>
    <s v="No"/>
    <n v="3.15"/>
    <n v="88"/>
    <n v="20000"/>
    <x v="0"/>
    <x v="0"/>
    <n v="50"/>
  </r>
  <r>
    <x v="2"/>
    <x v="0"/>
    <n v="23"/>
    <n v="2017"/>
    <x v="0"/>
    <n v="8"/>
    <x v="1"/>
    <s v="Yes"/>
    <x v="1"/>
    <n v="1"/>
    <x v="1"/>
    <x v="0"/>
    <s v="Yes"/>
    <x v="3"/>
    <x v="0"/>
    <x v="10"/>
    <s v="No"/>
    <s v="No"/>
    <x v="0"/>
    <s v="Software Development"/>
    <n v="2"/>
    <x v="2"/>
    <s v="Single"/>
    <x v="0"/>
    <s v="Family"/>
    <x v="0"/>
    <n v="2.68"/>
    <s v="No"/>
    <n v="3.15"/>
    <n v="88"/>
    <n v="15000"/>
    <x v="0"/>
    <x v="0"/>
    <n v="48.6"/>
  </r>
  <r>
    <x v="2"/>
    <x v="0"/>
    <n v="23"/>
    <n v="2017"/>
    <x v="0"/>
    <n v="8"/>
    <x v="0"/>
    <s v="Yes"/>
    <x v="2"/>
    <n v="1"/>
    <x v="1"/>
    <x v="0"/>
    <s v="Yes"/>
    <x v="3"/>
    <x v="0"/>
    <x v="1"/>
    <s v="No"/>
    <s v="No"/>
    <x v="1"/>
    <s v="Networking"/>
    <n v="2"/>
    <x v="4"/>
    <s v="Single"/>
    <x v="0"/>
    <s v="Family"/>
    <x v="0"/>
    <n v="2.68"/>
    <s v="No"/>
    <n v="3.15"/>
    <n v="88"/>
    <n v="30000"/>
    <x v="0"/>
    <x v="0"/>
    <n v="50.400000000000006"/>
  </r>
  <r>
    <x v="3"/>
    <x v="0"/>
    <n v="21"/>
    <n v="2020"/>
    <x v="0"/>
    <n v="2"/>
    <x v="1"/>
    <s v="Yes"/>
    <x v="0"/>
    <n v="1"/>
    <x v="0"/>
    <x v="0"/>
    <s v="Yes"/>
    <x v="3"/>
    <x v="0"/>
    <x v="4"/>
    <s v="No"/>
    <s v="No"/>
    <x v="0"/>
    <s v="Software Development"/>
    <n v="2"/>
    <x v="2"/>
    <s v="Single"/>
    <x v="0"/>
    <s v="Family"/>
    <x v="0"/>
    <n v="3.65"/>
    <s v="No"/>
    <n v="3.15"/>
    <n v="11"/>
    <n v="45000"/>
    <x v="0"/>
    <x v="0"/>
    <n v="53"/>
  </r>
  <r>
    <x v="2"/>
    <x v="0"/>
    <n v="22"/>
    <n v="2019"/>
    <x v="0"/>
    <n v="8"/>
    <x v="1"/>
    <s v="Yes"/>
    <x v="1"/>
    <n v="1"/>
    <x v="0"/>
    <x v="0"/>
    <s v="Yes"/>
    <x v="8"/>
    <x v="0"/>
    <x v="5"/>
    <s v="No"/>
    <s v="No"/>
    <x v="0"/>
    <s v="Software Development"/>
    <n v="1"/>
    <x v="6"/>
    <s v="Relationship"/>
    <x v="1"/>
    <s v="Family"/>
    <x v="0"/>
    <n v="2.68"/>
    <s v="No"/>
    <n v="3.15"/>
    <n v="88"/>
    <n v="90000"/>
    <x v="0"/>
    <x v="0"/>
    <n v="46"/>
  </r>
  <r>
    <x v="2"/>
    <x v="1"/>
    <n v="21"/>
    <n v="2019"/>
    <x v="0"/>
    <n v="8"/>
    <x v="1"/>
    <s v="No"/>
    <x v="2"/>
    <n v="2"/>
    <x v="0"/>
    <x v="0"/>
    <s v="Yes"/>
    <x v="2"/>
    <x v="1"/>
    <x v="2"/>
    <s v="No"/>
    <s v="No"/>
    <x v="1"/>
    <s v="Software Development"/>
    <n v="1"/>
    <x v="5"/>
    <s v="Single"/>
    <x v="1"/>
    <s v="Family"/>
    <x v="0"/>
    <n v="2.68"/>
    <s v="No"/>
    <n v="3.15"/>
    <n v="88"/>
    <n v="35000"/>
    <x v="0"/>
    <x v="0"/>
    <n v="41"/>
  </r>
  <r>
    <x v="2"/>
    <x v="0"/>
    <n v="20"/>
    <n v="2019"/>
    <x v="0"/>
    <n v="8"/>
    <x v="0"/>
    <s v="Yes"/>
    <x v="2"/>
    <n v="1"/>
    <x v="1"/>
    <x v="0"/>
    <s v="Yes"/>
    <x v="1"/>
    <x v="1"/>
    <x v="4"/>
    <s v="No"/>
    <s v="No"/>
    <x v="1"/>
    <s v="Software Development"/>
    <n v="3"/>
    <x v="2"/>
    <s v="Single"/>
    <x v="1"/>
    <s v="Bachelor"/>
    <x v="0"/>
    <n v="2.68"/>
    <s v="No"/>
    <n v="3.15"/>
    <n v="88"/>
    <n v="20000"/>
    <x v="0"/>
    <x v="0"/>
    <n v="53"/>
  </r>
  <r>
    <x v="1"/>
    <x v="0"/>
    <n v="21"/>
    <n v="2020"/>
    <x v="0"/>
    <n v="2"/>
    <x v="0"/>
    <s v="Yes"/>
    <x v="5"/>
    <n v="2"/>
    <x v="0"/>
    <x v="0"/>
    <s v="Yes"/>
    <x v="2"/>
    <x v="0"/>
    <x v="3"/>
    <s v="No"/>
    <s v="No"/>
    <x v="0"/>
    <s v="Software Development"/>
    <n v="2"/>
    <x v="2"/>
    <s v="Single"/>
    <x v="0"/>
    <s v="Bachelor"/>
    <x v="0"/>
    <n v="2.68"/>
    <s v="No"/>
    <n v="3.15"/>
    <n v="11"/>
    <n v="100000"/>
    <x v="0"/>
    <x v="0"/>
    <n v="53.2"/>
  </r>
  <r>
    <x v="4"/>
    <x v="0"/>
    <n v="23"/>
    <n v="2018"/>
    <x v="0"/>
    <n v="11"/>
    <x v="0"/>
    <s v="No"/>
    <x v="4"/>
    <n v="2"/>
    <x v="0"/>
    <x v="0"/>
    <s v="Yes"/>
    <x v="1"/>
    <x v="0"/>
    <x v="5"/>
    <s v="No"/>
    <s v="No"/>
    <x v="1"/>
    <s v="Software Development"/>
    <n v="2"/>
    <x v="2"/>
    <s v="Single"/>
    <x v="0"/>
    <s v="Bachelor"/>
    <x v="0"/>
    <n v="3.84"/>
    <s v="No"/>
    <n v="3.1"/>
    <n v="73"/>
    <n v="30000"/>
    <x v="0"/>
    <x v="0"/>
    <n v="64"/>
  </r>
  <r>
    <x v="3"/>
    <x v="1"/>
    <n v="20"/>
    <n v="2020"/>
    <x v="0"/>
    <n v="2"/>
    <x v="1"/>
    <s v="No"/>
    <x v="2"/>
    <n v="1"/>
    <x v="0"/>
    <x v="0"/>
    <s v="Yes"/>
    <x v="5"/>
    <x v="0"/>
    <x v="2"/>
    <s v="Yes"/>
    <s v="No"/>
    <x v="1"/>
    <s v="Software Development"/>
    <n v="2"/>
    <x v="2"/>
    <s v="Single"/>
    <x v="1"/>
    <s v="Bachelor"/>
    <x v="0"/>
    <n v="2.68"/>
    <s v="No"/>
    <n v="3.15"/>
    <n v="11"/>
    <n v="70000"/>
    <x v="0"/>
    <x v="0"/>
    <n v="44"/>
  </r>
  <r>
    <x v="0"/>
    <x v="1"/>
    <n v="24"/>
    <n v="2016"/>
    <x v="0"/>
    <n v="10"/>
    <x v="1"/>
    <s v="Yes"/>
    <x v="2"/>
    <n v="1"/>
    <x v="1"/>
    <x v="0"/>
    <s v="Yes"/>
    <x v="4"/>
    <x v="1"/>
    <x v="0"/>
    <s v="Yes"/>
    <s v="No"/>
    <x v="1"/>
    <s v="Software Development"/>
    <n v="4"/>
    <x v="2"/>
    <s v="Single"/>
    <x v="1"/>
    <s v="Family"/>
    <x v="0"/>
    <n v="2.68"/>
    <s v="No"/>
    <n v="3.15"/>
    <n v="113"/>
    <n v="40000"/>
    <x v="0"/>
    <x v="0"/>
    <n v="54"/>
  </r>
  <r>
    <x v="3"/>
    <x v="1"/>
    <n v="21"/>
    <n v="2020"/>
    <x v="0"/>
    <n v="2"/>
    <x v="0"/>
    <s v="No"/>
    <x v="2"/>
    <n v="4"/>
    <x v="0"/>
    <x v="0"/>
    <s v="Yes"/>
    <x v="3"/>
    <x v="1"/>
    <x v="5"/>
    <s v="No"/>
    <s v="No"/>
    <x v="0"/>
    <s v="Software Development"/>
    <n v="2"/>
    <x v="2"/>
    <s v="Engaged"/>
    <x v="0"/>
    <s v="Bachelor"/>
    <x v="0"/>
    <n v="2.68"/>
    <s v="No"/>
    <n v="3.15"/>
    <n v="11"/>
    <n v="10000"/>
    <x v="0"/>
    <x v="0"/>
    <n v="52"/>
  </r>
  <r>
    <x v="1"/>
    <x v="0"/>
    <n v="20"/>
    <n v="2020"/>
    <x v="0"/>
    <n v="4"/>
    <x v="0"/>
    <s v="Yes"/>
    <x v="2"/>
    <n v="1"/>
    <x v="0"/>
    <x v="0"/>
    <s v="Yes"/>
    <x v="2"/>
    <x v="2"/>
    <x v="12"/>
    <s v="No"/>
    <s v="No"/>
    <x v="0"/>
    <s v="Software Development"/>
    <n v="4"/>
    <x v="2"/>
    <s v="Relationship"/>
    <x v="1"/>
    <s v="Bachelor"/>
    <x v="0"/>
    <n v="2.68"/>
    <s v="No"/>
    <n v="3.15"/>
    <n v="36"/>
    <n v="40000"/>
    <x v="0"/>
    <x v="0"/>
    <n v="50.800000000000004"/>
  </r>
  <r>
    <x v="1"/>
    <x v="0"/>
    <n v="22"/>
    <n v="2020"/>
    <x v="0"/>
    <n v="4"/>
    <x v="0"/>
    <s v="Yes"/>
    <x v="1"/>
    <n v="1"/>
    <x v="0"/>
    <x v="0"/>
    <s v="Yes"/>
    <x v="3"/>
    <x v="0"/>
    <x v="0"/>
    <s v="No"/>
    <s v="No"/>
    <x v="1"/>
    <s v="Software Development"/>
    <n v="0"/>
    <x v="2"/>
    <s v="Single"/>
    <x v="1"/>
    <s v="Family"/>
    <x v="0"/>
    <n v="2.68"/>
    <s v="No"/>
    <n v="3.15"/>
    <n v="36"/>
    <n v="20000"/>
    <x v="0"/>
    <x v="0"/>
    <n v="39"/>
  </r>
  <r>
    <x v="1"/>
    <x v="0"/>
    <n v="20"/>
    <n v="2019"/>
    <x v="0"/>
    <n v="5"/>
    <x v="1"/>
    <s v="No"/>
    <x v="0"/>
    <n v="2"/>
    <x v="0"/>
    <x v="0"/>
    <s v="Yes"/>
    <x v="3"/>
    <x v="0"/>
    <x v="8"/>
    <s v="No"/>
    <s v="No"/>
    <x v="1"/>
    <s v="Software Development"/>
    <n v="8"/>
    <x v="5"/>
    <s v="Single"/>
    <x v="0"/>
    <s v="Bachelor"/>
    <x v="0"/>
    <n v="2.68"/>
    <s v="No"/>
    <n v="3.15"/>
    <n v="50"/>
    <n v="22000"/>
    <x v="0"/>
    <x v="0"/>
    <n v="72.2"/>
  </r>
  <r>
    <x v="4"/>
    <x v="0"/>
    <n v="23"/>
    <n v="2017"/>
    <x v="0"/>
    <n v="11"/>
    <x v="1"/>
    <s v="Yes"/>
    <x v="0"/>
    <n v="2"/>
    <x v="1"/>
    <x v="0"/>
    <s v="Yes"/>
    <x v="3"/>
    <x v="0"/>
    <x v="9"/>
    <s v="Yes"/>
    <s v="No"/>
    <x v="0"/>
    <s v="Software Development"/>
    <n v="2"/>
    <x v="2"/>
    <s v="Single"/>
    <x v="1"/>
    <s v="Bachelor"/>
    <x v="1"/>
    <n v="2.68"/>
    <s v="No"/>
    <n v="3.15"/>
    <n v="126"/>
    <n v="45000"/>
    <x v="0"/>
    <x v="0"/>
    <n v="49"/>
  </r>
  <r>
    <x v="2"/>
    <x v="1"/>
    <n v="21"/>
    <n v="2019"/>
    <x v="0"/>
    <n v="8"/>
    <x v="1"/>
    <s v="Yes"/>
    <x v="5"/>
    <n v="1"/>
    <x v="0"/>
    <x v="0"/>
    <s v="Yes"/>
    <x v="1"/>
    <x v="0"/>
    <x v="0"/>
    <s v="No"/>
    <s v="No"/>
    <x v="0"/>
    <s v="Software Development"/>
    <n v="1"/>
    <x v="2"/>
    <s v="Single"/>
    <x v="1"/>
    <s v="Family"/>
    <x v="0"/>
    <n v="2.68"/>
    <s v="No"/>
    <n v="3.15"/>
    <n v="88"/>
    <n v="40000"/>
    <x v="0"/>
    <x v="0"/>
    <n v="51"/>
  </r>
  <r>
    <x v="3"/>
    <x v="1"/>
    <n v="20"/>
    <n v="2020"/>
    <x v="0"/>
    <n v="2"/>
    <x v="0"/>
    <s v="Yes"/>
    <x v="2"/>
    <n v="1"/>
    <x v="0"/>
    <x v="0"/>
    <s v="Yes"/>
    <x v="0"/>
    <x v="0"/>
    <x v="0"/>
    <s v="No"/>
    <s v="No"/>
    <x v="0"/>
    <s v="Software Development"/>
    <n v="1"/>
    <x v="2"/>
    <s v="Single"/>
    <x v="1"/>
    <s v="Family"/>
    <x v="1"/>
    <n v="2.68"/>
    <s v="No"/>
    <n v="3.15"/>
    <n v="11"/>
    <n v="50000"/>
    <x v="0"/>
    <x v="0"/>
    <n v="45"/>
  </r>
  <r>
    <x v="2"/>
    <x v="1"/>
    <n v="22"/>
    <n v="2019"/>
    <x v="0"/>
    <n v="8"/>
    <x v="0"/>
    <s v="No"/>
    <x v="0"/>
    <n v="1"/>
    <x v="0"/>
    <x v="0"/>
    <s v="Yes"/>
    <x v="4"/>
    <x v="0"/>
    <x v="0"/>
    <s v="No"/>
    <s v="No"/>
    <x v="0"/>
    <s v="Software Development"/>
    <n v="2"/>
    <x v="2"/>
    <s v="Single"/>
    <x v="1"/>
    <s v="Bachelor"/>
    <x v="0"/>
    <n v="2.68"/>
    <s v="No"/>
    <n v="3.15"/>
    <n v="88"/>
    <n v="50000"/>
    <x v="0"/>
    <x v="0"/>
    <n v="51"/>
  </r>
  <r>
    <x v="0"/>
    <x v="0"/>
    <n v="23"/>
    <n v="2017"/>
    <x v="0"/>
    <n v="13"/>
    <x v="1"/>
    <s v="No"/>
    <x v="2"/>
    <n v="4"/>
    <x v="0"/>
    <x v="0"/>
    <s v="Yes"/>
    <x v="5"/>
    <x v="1"/>
    <x v="3"/>
    <s v="Yes"/>
    <s v="No"/>
    <x v="0"/>
    <s v="Networking"/>
    <n v="1"/>
    <x v="2"/>
    <s v="Relationship"/>
    <x v="1"/>
    <s v="Bachelor"/>
    <x v="0"/>
    <n v="2.68"/>
    <s v="No"/>
    <n v="3.15"/>
    <n v="112"/>
    <n v="30000"/>
    <x v="0"/>
    <x v="0"/>
    <n v="44.2"/>
  </r>
  <r>
    <x v="3"/>
    <x v="0"/>
    <n v="20"/>
    <n v="2020"/>
    <x v="0"/>
    <n v="2"/>
    <x v="0"/>
    <s v="No"/>
    <x v="0"/>
    <n v="4"/>
    <x v="0"/>
    <x v="0"/>
    <s v="Yes"/>
    <x v="3"/>
    <x v="1"/>
    <x v="4"/>
    <s v="No"/>
    <s v="No"/>
    <x v="0"/>
    <s v="Software Development"/>
    <n v="5"/>
    <x v="2"/>
    <s v="Single"/>
    <x v="1"/>
    <s v="Bachelor"/>
    <x v="0"/>
    <n v="2.68"/>
    <s v="No"/>
    <n v="3.15"/>
    <n v="11"/>
    <n v="40000"/>
    <x v="0"/>
    <x v="0"/>
    <n v="62"/>
  </r>
  <r>
    <x v="1"/>
    <x v="0"/>
    <n v="19"/>
    <n v="2020"/>
    <x v="0"/>
    <n v="4"/>
    <x v="0"/>
    <s v="No"/>
    <x v="1"/>
    <n v="1"/>
    <x v="0"/>
    <x v="0"/>
    <s v="No"/>
    <x v="3"/>
    <x v="0"/>
    <x v="4"/>
    <s v="No"/>
    <s v="No"/>
    <x v="0"/>
    <s v="Software Development"/>
    <n v="1"/>
    <x v="2"/>
    <s v="Single"/>
    <x v="0"/>
    <s v="Family"/>
    <x v="0"/>
    <n v="3.5"/>
    <s v="No"/>
    <n v="3.58"/>
    <n v="35"/>
    <n v="30000"/>
    <x v="1"/>
    <x v="0"/>
    <n v="44"/>
  </r>
  <r>
    <x v="1"/>
    <x v="0"/>
    <n v="21"/>
    <n v="2019"/>
    <x v="0"/>
    <n v="4"/>
    <x v="0"/>
    <s v="Yes"/>
    <x v="5"/>
    <n v="2"/>
    <x v="0"/>
    <x v="0"/>
    <s v="Yes"/>
    <x v="3"/>
    <x v="0"/>
    <x v="0"/>
    <s v="No"/>
    <s v="No"/>
    <x v="1"/>
    <s v="Software Development"/>
    <n v="2"/>
    <x v="2"/>
    <s v="Single"/>
    <x v="0"/>
    <s v="Family"/>
    <x v="0"/>
    <n v="3.38"/>
    <s v="No"/>
    <n v="3.82"/>
    <n v="27"/>
    <n v="40000"/>
    <x v="1"/>
    <x v="0"/>
    <n v="54"/>
  </r>
  <r>
    <x v="2"/>
    <x v="0"/>
    <n v="21"/>
    <n v="2019"/>
    <x v="0"/>
    <n v="8"/>
    <x v="1"/>
    <s v="No"/>
    <x v="2"/>
    <n v="2"/>
    <x v="0"/>
    <x v="0"/>
    <s v="Yes"/>
    <x v="3"/>
    <x v="0"/>
    <x v="0"/>
    <s v="Yes"/>
    <s v="Yes"/>
    <x v="0"/>
    <s v="Software Development"/>
    <n v="1"/>
    <x v="5"/>
    <s v="Single"/>
    <x v="1"/>
    <s v="Bachelor"/>
    <x v="0"/>
    <n v="2.68"/>
    <s v="No"/>
    <n v="3.15"/>
    <n v="88"/>
    <n v="30000"/>
    <x v="0"/>
    <x v="0"/>
    <n v="45"/>
  </r>
  <r>
    <x v="4"/>
    <x v="1"/>
    <n v="22"/>
    <n v="2017"/>
    <x v="0"/>
    <n v="10"/>
    <x v="1"/>
    <s v="No"/>
    <x v="8"/>
    <n v="3"/>
    <x v="1"/>
    <x v="0"/>
    <s v="Yes"/>
    <x v="3"/>
    <x v="0"/>
    <x v="3"/>
    <s v="Yes"/>
    <s v="No"/>
    <x v="1"/>
    <s v="Database"/>
    <n v="1"/>
    <x v="6"/>
    <s v="Single"/>
    <x v="1"/>
    <s v="Bachelor"/>
    <x v="0"/>
    <n v="2.68"/>
    <s v="No"/>
    <n v="3.15"/>
    <n v="113"/>
    <n v="62488"/>
    <x v="0"/>
    <x v="0"/>
    <n v="65.2"/>
  </r>
  <r>
    <x v="3"/>
    <x v="1"/>
    <n v="19"/>
    <n v="2020"/>
    <x v="0"/>
    <n v="2"/>
    <x v="0"/>
    <s v="Yes"/>
    <x v="0"/>
    <n v="2"/>
    <x v="0"/>
    <x v="0"/>
    <s v="Yes"/>
    <x v="2"/>
    <x v="1"/>
    <x v="5"/>
    <s v="No"/>
    <s v="No"/>
    <x v="0"/>
    <s v="Software Development"/>
    <n v="3"/>
    <x v="2"/>
    <s v="Single"/>
    <x v="0"/>
    <s v="Family"/>
    <x v="0"/>
    <n v="2.68"/>
    <s v="No"/>
    <n v="3.15"/>
    <n v="11"/>
    <n v="35000"/>
    <x v="0"/>
    <x v="0"/>
    <n v="58"/>
  </r>
  <r>
    <x v="3"/>
    <x v="1"/>
    <n v="22"/>
    <n v="2022"/>
    <x v="0"/>
    <n v="4"/>
    <x v="0"/>
    <s v="No"/>
    <x v="1"/>
    <n v="1"/>
    <x v="0"/>
    <x v="0"/>
    <s v="Yes"/>
    <x v="9"/>
    <x v="1"/>
    <x v="2"/>
    <s v="Yes"/>
    <s v="No"/>
    <x v="1"/>
    <s v="Software Development"/>
    <n v="2"/>
    <x v="2"/>
    <s v="Single"/>
    <x v="1"/>
    <s v="Family"/>
    <x v="0"/>
    <n v="2.68"/>
    <s v="No"/>
    <n v="3.15"/>
    <n v="36"/>
    <n v="100000"/>
    <x v="0"/>
    <x v="0"/>
    <n v="41"/>
  </r>
  <r>
    <x v="1"/>
    <x v="0"/>
    <n v="22"/>
    <n v="2018"/>
    <x v="0"/>
    <n v="4"/>
    <x v="0"/>
    <s v="No"/>
    <x v="0"/>
    <n v="2"/>
    <x v="0"/>
    <x v="0"/>
    <s v="Yes"/>
    <x v="1"/>
    <x v="0"/>
    <x v="2"/>
    <s v="No"/>
    <s v="No"/>
    <x v="0"/>
    <s v="Networking"/>
    <n v="3"/>
    <x v="5"/>
    <s v="Single"/>
    <x v="1"/>
    <s v="Bachelor"/>
    <x v="0"/>
    <n v="2.68"/>
    <s v="No"/>
    <n v="3.15"/>
    <n v="36"/>
    <n v="30000"/>
    <x v="0"/>
    <x v="0"/>
    <n v="50"/>
  </r>
  <r>
    <x v="4"/>
    <x v="1"/>
    <n v="21"/>
    <n v="2019"/>
    <x v="0"/>
    <n v="9"/>
    <x v="1"/>
    <s v="No"/>
    <x v="2"/>
    <n v="3"/>
    <x v="0"/>
    <x v="0"/>
    <s v="Yes"/>
    <x v="1"/>
    <x v="1"/>
    <x v="13"/>
    <s v="Yes"/>
    <s v="No"/>
    <x v="0"/>
    <s v="Software Development"/>
    <n v="1"/>
    <x v="2"/>
    <s v="Single"/>
    <x v="0"/>
    <s v="Bachelor"/>
    <x v="0"/>
    <n v="1.89"/>
    <s v="No"/>
    <n v="2.69"/>
    <n v="86"/>
    <n v="20000"/>
    <x v="0"/>
    <x v="0"/>
    <n v="45.800000000000004"/>
  </r>
  <r>
    <x v="1"/>
    <x v="1"/>
    <n v="19"/>
    <n v="2020"/>
    <x v="0"/>
    <n v="4"/>
    <x v="0"/>
    <s v="No"/>
    <x v="7"/>
    <n v="3"/>
    <x v="0"/>
    <x v="0"/>
    <s v="No"/>
    <x v="1"/>
    <x v="2"/>
    <x v="0"/>
    <s v="No"/>
    <s v="No"/>
    <x v="0"/>
    <s v="Software Development"/>
    <n v="1"/>
    <x v="2"/>
    <s v="Single"/>
    <x v="0"/>
    <s v="Family"/>
    <x v="0"/>
    <n v="3.7"/>
    <s v="No"/>
    <n v="3.77"/>
    <n v="35"/>
    <n v="62488"/>
    <x v="1"/>
    <x v="0"/>
    <n v="60"/>
  </r>
  <r>
    <x v="3"/>
    <x v="0"/>
    <n v="19"/>
    <n v="2020"/>
    <x v="0"/>
    <n v="2"/>
    <x v="0"/>
    <s v="No"/>
    <x v="5"/>
    <n v="2"/>
    <x v="0"/>
    <x v="0"/>
    <s v="Yes"/>
    <x v="2"/>
    <x v="0"/>
    <x v="4"/>
    <s v="No"/>
    <s v="No"/>
    <x v="0"/>
    <s v="Software Development"/>
    <n v="2"/>
    <x v="2"/>
    <s v="Single"/>
    <x v="0"/>
    <s v="Family"/>
    <x v="0"/>
    <n v="2.68"/>
    <s v="No"/>
    <n v="3.15"/>
    <n v="11"/>
    <n v="30000"/>
    <x v="0"/>
    <x v="0"/>
    <n v="56"/>
  </r>
  <r>
    <x v="3"/>
    <x v="0"/>
    <n v="21"/>
    <n v="2019"/>
    <x v="0"/>
    <n v="2"/>
    <x v="0"/>
    <s v="No"/>
    <x v="3"/>
    <n v="2"/>
    <x v="0"/>
    <x v="0"/>
    <s v="Yes"/>
    <x v="1"/>
    <x v="0"/>
    <x v="4"/>
    <s v="No"/>
    <s v="No"/>
    <x v="1"/>
    <s v="Software Development"/>
    <n v="2"/>
    <x v="2"/>
    <s v="Single"/>
    <x v="1"/>
    <s v="Bachelor"/>
    <x v="0"/>
    <n v="2.68"/>
    <s v="No"/>
    <n v="3.15"/>
    <n v="11"/>
    <n v="20000"/>
    <x v="0"/>
    <x v="0"/>
    <n v="59"/>
  </r>
  <r>
    <x v="4"/>
    <x v="0"/>
    <n v="25"/>
    <n v="2018"/>
    <x v="0"/>
    <n v="11"/>
    <x v="0"/>
    <s v="No"/>
    <x v="2"/>
    <n v="1"/>
    <x v="0"/>
    <x v="0"/>
    <s v="Yes"/>
    <x v="2"/>
    <x v="0"/>
    <x v="7"/>
    <s v="Yes"/>
    <s v="No"/>
    <x v="1"/>
    <s v="Software Development"/>
    <n v="4"/>
    <x v="2"/>
    <s v="Single"/>
    <x v="1"/>
    <s v="Bachelor"/>
    <x v="1"/>
    <n v="0"/>
    <s v="No"/>
    <n v="2.5299999999999998"/>
    <n v="91"/>
    <n v="30000"/>
    <x v="0"/>
    <x v="0"/>
    <n v="46"/>
  </r>
  <r>
    <x v="4"/>
    <x v="1"/>
    <n v="22"/>
    <n v="2019"/>
    <x v="0"/>
    <n v="9"/>
    <x v="1"/>
    <s v="Yes"/>
    <x v="0"/>
    <n v="3"/>
    <x v="1"/>
    <x v="0"/>
    <s v="No"/>
    <x v="2"/>
    <x v="1"/>
    <x v="10"/>
    <s v="No"/>
    <s v="No"/>
    <x v="0"/>
    <s v="Software Development"/>
    <n v="2"/>
    <x v="0"/>
    <s v="Single"/>
    <x v="1"/>
    <s v="Family"/>
    <x v="1"/>
    <n v="2.68"/>
    <s v="No"/>
    <n v="3.15"/>
    <n v="100"/>
    <n v="20000"/>
    <x v="0"/>
    <x v="0"/>
    <n v="54.6"/>
  </r>
  <r>
    <x v="0"/>
    <x v="0"/>
    <n v="24"/>
    <n v="2017"/>
    <x v="0"/>
    <n v="13"/>
    <x v="1"/>
    <s v="No"/>
    <x v="2"/>
    <n v="2"/>
    <x v="0"/>
    <x v="0"/>
    <s v="Yes"/>
    <x v="4"/>
    <x v="1"/>
    <x v="14"/>
    <s v="Yes"/>
    <s v="Yes"/>
    <x v="0"/>
    <s v="Software Development"/>
    <n v="5"/>
    <x v="2"/>
    <s v="Married"/>
    <x v="0"/>
    <s v="Bachelor"/>
    <x v="0"/>
    <n v="2.2000000000000002"/>
    <s v="No"/>
    <n v="2.66"/>
    <n v="110"/>
    <n v="60000"/>
    <x v="0"/>
    <x v="0"/>
    <n v="41"/>
  </r>
  <r>
    <x v="5"/>
    <x v="0"/>
    <n v="22"/>
    <n v="2017"/>
    <x v="0"/>
    <n v="15"/>
    <x v="0"/>
    <s v="No"/>
    <x v="1"/>
    <n v="1"/>
    <x v="0"/>
    <x v="0"/>
    <s v="Yes"/>
    <x v="4"/>
    <x v="2"/>
    <x v="5"/>
    <s v="Yes"/>
    <s v="No"/>
    <x v="0"/>
    <s v="Software Development"/>
    <n v="4"/>
    <x v="2"/>
    <s v="Single"/>
    <x v="1"/>
    <s v="Bachelor"/>
    <x v="1"/>
    <n v="2.6"/>
    <s v="No"/>
    <n v="2.6"/>
    <n v="90"/>
    <n v="62488"/>
    <x v="0"/>
    <x v="0"/>
    <n v="55"/>
  </r>
  <r>
    <x v="4"/>
    <x v="1"/>
    <n v="22"/>
    <n v="2018"/>
    <x v="0"/>
    <n v="11"/>
    <x v="1"/>
    <s v="Yes"/>
    <x v="0"/>
    <n v="1"/>
    <x v="0"/>
    <x v="0"/>
    <s v="Yes"/>
    <x v="1"/>
    <x v="0"/>
    <x v="4"/>
    <s v="No"/>
    <s v="No"/>
    <x v="0"/>
    <s v="Networking"/>
    <n v="0"/>
    <x v="2"/>
    <s v="Married"/>
    <x v="1"/>
    <s v="Family"/>
    <x v="1"/>
    <n v="2.7"/>
    <s v="No"/>
    <n v="2.91"/>
    <n v="120"/>
    <n v="150000"/>
    <x v="0"/>
    <x v="0"/>
    <n v="47"/>
  </r>
  <r>
    <x v="0"/>
    <x v="0"/>
    <n v="23"/>
    <n v="2017"/>
    <x v="0"/>
    <n v="14"/>
    <x v="1"/>
    <s v="No"/>
    <x v="2"/>
    <n v="2"/>
    <x v="1"/>
    <x v="0"/>
    <s v="Yes"/>
    <x v="3"/>
    <x v="0"/>
    <x v="0"/>
    <s v="Yes"/>
    <s v="Yes"/>
    <x v="0"/>
    <s v="Software Development"/>
    <n v="2"/>
    <x v="2"/>
    <s v="Single"/>
    <x v="0"/>
    <s v="Family"/>
    <x v="0"/>
    <n v="2.87"/>
    <s v="No"/>
    <n v="2.99"/>
    <n v="120"/>
    <n v="30000"/>
    <x v="0"/>
    <x v="0"/>
    <n v="48"/>
  </r>
  <r>
    <x v="1"/>
    <x v="0"/>
    <n v="20"/>
    <n v="2019"/>
    <x v="0"/>
    <n v="5"/>
    <x v="1"/>
    <s v="No"/>
    <x v="5"/>
    <n v="4"/>
    <x v="0"/>
    <x v="0"/>
    <s v="Yes"/>
    <x v="3"/>
    <x v="0"/>
    <x v="4"/>
    <s v="Yes"/>
    <s v="No"/>
    <x v="1"/>
    <s v="Software Development"/>
    <n v="4"/>
    <x v="2"/>
    <s v="Single"/>
    <x v="1"/>
    <s v="Bachelor"/>
    <x v="0"/>
    <n v="2.68"/>
    <s v="No"/>
    <n v="3.15"/>
    <n v="50"/>
    <n v="25000"/>
    <x v="0"/>
    <x v="0"/>
    <n v="62"/>
  </r>
  <r>
    <x v="4"/>
    <x v="0"/>
    <n v="23"/>
    <n v="2017"/>
    <x v="0"/>
    <n v="9"/>
    <x v="1"/>
    <s v="Yes"/>
    <x v="2"/>
    <n v="1"/>
    <x v="1"/>
    <x v="0"/>
    <s v="Yes"/>
    <x v="4"/>
    <x v="0"/>
    <x v="7"/>
    <s v="No"/>
    <s v="No"/>
    <x v="0"/>
    <s v="Cyber security"/>
    <n v="4"/>
    <x v="4"/>
    <s v="Relationship"/>
    <x v="0"/>
    <s v="Family"/>
    <x v="0"/>
    <n v="2.68"/>
    <s v="No"/>
    <n v="3.15"/>
    <n v="100"/>
    <n v="200000"/>
    <x v="0"/>
    <x v="0"/>
    <n v="46"/>
  </r>
  <r>
    <x v="6"/>
    <x v="0"/>
    <n v="26"/>
    <n v="2012"/>
    <x v="0"/>
    <n v="21"/>
    <x v="1"/>
    <s v="No"/>
    <x v="1"/>
    <n v="1"/>
    <x v="0"/>
    <x v="0"/>
    <s v="Yes"/>
    <x v="3"/>
    <x v="1"/>
    <x v="9"/>
    <s v="Yes"/>
    <s v="No"/>
    <x v="1"/>
    <s v="Software Development"/>
    <n v="1"/>
    <x v="6"/>
    <s v="Single"/>
    <x v="1"/>
    <s v="Bachelor"/>
    <x v="1"/>
    <n v="2.68"/>
    <s v="Yes"/>
    <n v="3.15"/>
    <n v="77"/>
    <n v="50000"/>
    <x v="0"/>
    <x v="0"/>
    <n v="40"/>
  </r>
  <r>
    <x v="4"/>
    <x v="0"/>
    <n v="22"/>
    <n v="2019"/>
    <x v="0"/>
    <n v="9"/>
    <x v="1"/>
    <s v="No"/>
    <x v="0"/>
    <n v="5"/>
    <x v="1"/>
    <x v="0"/>
    <s v="Yes"/>
    <x v="3"/>
    <x v="0"/>
    <x v="10"/>
    <s v="No"/>
    <s v="No"/>
    <x v="1"/>
    <s v="Software Development"/>
    <n v="3"/>
    <x v="2"/>
    <s v="Single"/>
    <x v="1"/>
    <s v="Bachelor"/>
    <x v="0"/>
    <n v="2.68"/>
    <s v="No"/>
    <n v="3.15"/>
    <n v="100"/>
    <n v="40000"/>
    <x v="0"/>
    <x v="0"/>
    <n v="57.6"/>
  </r>
  <r>
    <x v="4"/>
    <x v="0"/>
    <n v="23"/>
    <n v="2018"/>
    <x v="0"/>
    <n v="9"/>
    <x v="1"/>
    <s v="Yes"/>
    <x v="1"/>
    <n v="1"/>
    <x v="0"/>
    <x v="0"/>
    <s v="Yes"/>
    <x v="3"/>
    <x v="0"/>
    <x v="7"/>
    <s v="No"/>
    <s v="No"/>
    <x v="1"/>
    <s v="Software Development"/>
    <n v="1"/>
    <x v="6"/>
    <s v="Relationship"/>
    <x v="0"/>
    <s v="Family"/>
    <x v="1"/>
    <n v="2.7"/>
    <s v="No"/>
    <n v="2.92"/>
    <n v="76"/>
    <n v="15000"/>
    <x v="0"/>
    <x v="0"/>
    <n v="34"/>
  </r>
  <r>
    <x v="4"/>
    <x v="0"/>
    <n v="21"/>
    <n v="2018"/>
    <x v="0"/>
    <n v="11"/>
    <x v="1"/>
    <s v="Yes"/>
    <x v="2"/>
    <n v="1"/>
    <x v="0"/>
    <x v="0"/>
    <s v="Yes"/>
    <x v="3"/>
    <x v="0"/>
    <x v="15"/>
    <s v="No"/>
    <s v="No"/>
    <x v="0"/>
    <s v="Software Development"/>
    <n v="2"/>
    <x v="4"/>
    <s v="Single"/>
    <x v="1"/>
    <s v="Family"/>
    <x v="0"/>
    <n v="2.68"/>
    <s v="No"/>
    <n v="3.15"/>
    <n v="126"/>
    <n v="75000"/>
    <x v="0"/>
    <x v="0"/>
    <n v="41.2"/>
  </r>
  <r>
    <x v="4"/>
    <x v="0"/>
    <n v="22"/>
    <n v="2018"/>
    <x v="0"/>
    <n v="11"/>
    <x v="1"/>
    <s v="No"/>
    <x v="2"/>
    <n v="2"/>
    <x v="1"/>
    <x v="0"/>
    <s v="Yes"/>
    <x v="3"/>
    <x v="0"/>
    <x v="5"/>
    <s v="Yes"/>
    <s v="Yes"/>
    <x v="0"/>
    <s v="Software Development"/>
    <n v="2"/>
    <x v="2"/>
    <s v="Single"/>
    <x v="1"/>
    <s v="Bachelor"/>
    <x v="1"/>
    <n v="2.68"/>
    <s v="No"/>
    <n v="3.15"/>
    <n v="126"/>
    <n v="40000"/>
    <x v="0"/>
    <x v="0"/>
    <n v="52"/>
  </r>
  <r>
    <x v="0"/>
    <x v="1"/>
    <n v="23"/>
    <n v="2016"/>
    <x v="0"/>
    <n v="14"/>
    <x v="1"/>
    <s v="Yes"/>
    <x v="0"/>
    <n v="2"/>
    <x v="0"/>
    <x v="0"/>
    <s v="Yes"/>
    <x v="3"/>
    <x v="1"/>
    <x v="7"/>
    <s v="Yes"/>
    <s v="No"/>
    <x v="1"/>
    <s v="Software Development"/>
    <n v="2"/>
    <x v="6"/>
    <s v="Single"/>
    <x v="1"/>
    <s v="Bachelor"/>
    <x v="1"/>
    <n v="2.98"/>
    <s v="Yes"/>
    <n v="2.96"/>
    <n v="118"/>
    <n v="20000"/>
    <x v="0"/>
    <x v="0"/>
    <n v="43"/>
  </r>
  <r>
    <x v="4"/>
    <x v="1"/>
    <n v="21"/>
    <n v="2018"/>
    <x v="0"/>
    <n v="11"/>
    <x v="1"/>
    <s v="No"/>
    <x v="1"/>
    <n v="1"/>
    <x v="0"/>
    <x v="0"/>
    <s v="Yes"/>
    <x v="2"/>
    <x v="2"/>
    <x v="11"/>
    <s v="No"/>
    <s v="No"/>
    <x v="0"/>
    <s v="Software Development"/>
    <n v="2"/>
    <x v="2"/>
    <s v="Relationship"/>
    <x v="1"/>
    <s v="Family"/>
    <x v="0"/>
    <n v="2.68"/>
    <s v="No"/>
    <n v="3.15"/>
    <n v="126"/>
    <n v="40000"/>
    <x v="0"/>
    <x v="0"/>
    <n v="39"/>
  </r>
  <r>
    <x v="1"/>
    <x v="1"/>
    <n v="20"/>
    <n v="2019"/>
    <x v="0"/>
    <n v="2"/>
    <x v="0"/>
    <s v="No"/>
    <x v="3"/>
    <n v="2"/>
    <x v="0"/>
    <x v="0"/>
    <s v="Yes"/>
    <x v="6"/>
    <x v="1"/>
    <x v="2"/>
    <s v="No"/>
    <s v="No"/>
    <x v="1"/>
    <s v="Software Development"/>
    <n v="2"/>
    <x v="2"/>
    <s v="Single"/>
    <x v="0"/>
    <s v="Bachelor"/>
    <x v="1"/>
    <n v="2.68"/>
    <s v="No"/>
    <n v="3.15"/>
    <n v="11"/>
    <n v="62488"/>
    <x v="0"/>
    <x v="0"/>
    <n v="53"/>
  </r>
  <r>
    <x v="4"/>
    <x v="1"/>
    <n v="21"/>
    <n v="2019"/>
    <x v="0"/>
    <n v="9"/>
    <x v="1"/>
    <s v="No"/>
    <x v="4"/>
    <n v="3"/>
    <x v="0"/>
    <x v="0"/>
    <s v="Yes"/>
    <x v="2"/>
    <x v="0"/>
    <x v="3"/>
    <s v="No"/>
    <s v="No"/>
    <x v="0"/>
    <s v="Software Development"/>
    <n v="4"/>
    <x v="2"/>
    <s v="Single"/>
    <x v="1"/>
    <s v="Bachelor"/>
    <x v="0"/>
    <n v="2.68"/>
    <s v="No"/>
    <n v="3.15"/>
    <n v="100"/>
    <n v="62488"/>
    <x v="0"/>
    <x v="0"/>
    <n v="65.2"/>
  </r>
  <r>
    <x v="4"/>
    <x v="0"/>
    <n v="22"/>
    <n v="2019"/>
    <x v="0"/>
    <n v="9"/>
    <x v="1"/>
    <s v="No"/>
    <x v="0"/>
    <n v="4"/>
    <x v="0"/>
    <x v="0"/>
    <s v="Yes"/>
    <x v="2"/>
    <x v="0"/>
    <x v="10"/>
    <s v="No"/>
    <s v="No"/>
    <x v="1"/>
    <s v="Software Development"/>
    <n v="7"/>
    <x v="2"/>
    <s v="Single"/>
    <x v="1"/>
    <s v="Bachelor"/>
    <x v="0"/>
    <n v="3.52"/>
    <s v="No"/>
    <n v="2.9"/>
    <n v="100"/>
    <n v="15000"/>
    <x v="0"/>
    <x v="0"/>
    <n v="69.599999999999994"/>
  </r>
  <r>
    <x v="2"/>
    <x v="0"/>
    <n v="23"/>
    <n v="2018"/>
    <x v="0"/>
    <n v="8"/>
    <x v="0"/>
    <s v="Yes"/>
    <x v="5"/>
    <n v="5"/>
    <x v="0"/>
    <x v="0"/>
    <s v="Yes"/>
    <x v="1"/>
    <x v="0"/>
    <x v="5"/>
    <s v="No"/>
    <s v="No"/>
    <x v="0"/>
    <s v="Software Development"/>
    <n v="2"/>
    <x v="2"/>
    <s v="Single"/>
    <x v="0"/>
    <s v="Bachelor"/>
    <x v="0"/>
    <n v="3.48"/>
    <s v="No"/>
    <n v="3.08"/>
    <n v="68"/>
    <n v="20000"/>
    <x v="0"/>
    <x v="0"/>
    <n v="58"/>
  </r>
  <r>
    <x v="7"/>
    <x v="0"/>
    <n v="25"/>
    <n v="2014"/>
    <x v="0"/>
    <n v="11"/>
    <x v="0"/>
    <s v="Yes"/>
    <x v="2"/>
    <n v="1"/>
    <x v="1"/>
    <x v="0"/>
    <s v="Yes"/>
    <x v="1"/>
    <x v="2"/>
    <x v="0"/>
    <s v="Yes"/>
    <s v="No"/>
    <x v="0"/>
    <s v="Software Development"/>
    <n v="3"/>
    <x v="2"/>
    <s v="Single"/>
    <x v="0"/>
    <s v="Family"/>
    <x v="0"/>
    <n v="2.68"/>
    <s v="No"/>
    <n v="3.15"/>
    <n v="126"/>
    <n v="63000"/>
    <x v="0"/>
    <x v="0"/>
    <n v="51"/>
  </r>
  <r>
    <x v="4"/>
    <x v="1"/>
    <n v="22"/>
    <n v="2018"/>
    <x v="0"/>
    <n v="11"/>
    <x v="0"/>
    <s v="Yes"/>
    <x v="1"/>
    <n v="2"/>
    <x v="1"/>
    <x v="0"/>
    <s v="Yes"/>
    <x v="1"/>
    <x v="1"/>
    <x v="2"/>
    <s v="No"/>
    <s v="No"/>
    <x v="1"/>
    <s v="Software Development"/>
    <n v="3"/>
    <x v="4"/>
    <s v="Single"/>
    <x v="1"/>
    <s v="Family"/>
    <x v="0"/>
    <n v="2.68"/>
    <s v="No"/>
    <n v="3.15"/>
    <n v="126"/>
    <n v="50000"/>
    <x v="0"/>
    <x v="0"/>
    <n v="44"/>
  </r>
  <r>
    <x v="2"/>
    <x v="0"/>
    <n v="20"/>
    <n v="2019"/>
    <x v="0"/>
    <n v="6"/>
    <x v="1"/>
    <s v="No"/>
    <x v="2"/>
    <n v="2"/>
    <x v="1"/>
    <x v="0"/>
    <s v="Yes"/>
    <x v="0"/>
    <x v="1"/>
    <x v="0"/>
    <s v="Yes"/>
    <s v="No"/>
    <x v="1"/>
    <s v="Networking"/>
    <n v="2"/>
    <x v="4"/>
    <s v="Single"/>
    <x v="1"/>
    <s v="Family"/>
    <x v="0"/>
    <n v="2.68"/>
    <s v="No"/>
    <n v="3.15"/>
    <n v="65"/>
    <n v="40000"/>
    <x v="0"/>
    <x v="0"/>
    <n v="48"/>
  </r>
  <r>
    <x v="0"/>
    <x v="0"/>
    <n v="25"/>
    <n v="2016"/>
    <x v="0"/>
    <n v="14"/>
    <x v="1"/>
    <s v="No"/>
    <x v="4"/>
    <n v="4"/>
    <x v="1"/>
    <x v="0"/>
    <s v="Yes"/>
    <x v="2"/>
    <x v="2"/>
    <x v="16"/>
    <s v="Yes"/>
    <s v="No"/>
    <x v="0"/>
    <s v="Software Development"/>
    <n v="4"/>
    <x v="2"/>
    <s v="Single"/>
    <x v="0"/>
    <s v="Family"/>
    <x v="0"/>
    <n v="3.16"/>
    <s v="No"/>
    <n v="2.68"/>
    <n v="121"/>
    <n v="60000"/>
    <x v="0"/>
    <x v="0"/>
    <n v="30.8"/>
  </r>
  <r>
    <x v="1"/>
    <x v="1"/>
    <n v="21"/>
    <n v="2019"/>
    <x v="0"/>
    <n v="5"/>
    <x v="1"/>
    <s v="No"/>
    <x v="2"/>
    <n v="3"/>
    <x v="0"/>
    <x v="0"/>
    <s v="Yes"/>
    <x v="3"/>
    <x v="1"/>
    <x v="17"/>
    <s v="Yes"/>
    <s v="No"/>
    <x v="0"/>
    <s v="Software Development"/>
    <n v="1"/>
    <x v="7"/>
    <s v="Married"/>
    <x v="1"/>
    <s v="Family"/>
    <x v="0"/>
    <n v="1.92"/>
    <s v="No"/>
    <n v="2.42"/>
    <n v="39"/>
    <n v="60000"/>
    <x v="2"/>
    <x v="0"/>
    <n v="43.800000000000004"/>
  </r>
  <r>
    <x v="1"/>
    <x v="0"/>
    <n v="20"/>
    <n v="2020"/>
    <x v="0"/>
    <n v="4"/>
    <x v="1"/>
    <s v="Yes"/>
    <x v="2"/>
    <n v="1"/>
    <x v="0"/>
    <x v="0"/>
    <s v="Yes"/>
    <x v="2"/>
    <x v="0"/>
    <x v="2"/>
    <s v="No"/>
    <s v="No"/>
    <x v="0"/>
    <s v="Software Development"/>
    <n v="4"/>
    <x v="8"/>
    <s v="Single"/>
    <x v="1"/>
    <s v="Family"/>
    <x v="1"/>
    <n v="2.68"/>
    <s v="No"/>
    <n v="3.15"/>
    <n v="36"/>
    <n v="30000"/>
    <x v="0"/>
    <x v="0"/>
    <n v="50"/>
  </r>
  <r>
    <x v="6"/>
    <x v="0"/>
    <n v="27"/>
    <n v="2014"/>
    <x v="0"/>
    <n v="10"/>
    <x v="1"/>
    <s v="Yes"/>
    <x v="3"/>
    <n v="2"/>
    <x v="1"/>
    <x v="0"/>
    <s v="Yes"/>
    <x v="5"/>
    <x v="1"/>
    <x v="14"/>
    <s v="Yes"/>
    <s v="No"/>
    <x v="0"/>
    <s v="Networking"/>
    <n v="2"/>
    <x v="4"/>
    <s v="Single"/>
    <x v="1"/>
    <s v="Family"/>
    <x v="0"/>
    <n v="2.68"/>
    <s v="No"/>
    <n v="3.15"/>
    <n v="113"/>
    <n v="7000"/>
    <x v="0"/>
    <x v="0"/>
    <n v="41"/>
  </r>
  <r>
    <x v="4"/>
    <x v="1"/>
    <n v="22"/>
    <n v="2018"/>
    <x v="0"/>
    <n v="11"/>
    <x v="1"/>
    <s v="No"/>
    <x v="6"/>
    <n v="3"/>
    <x v="1"/>
    <x v="0"/>
    <s v="Yes"/>
    <x v="4"/>
    <x v="0"/>
    <x v="10"/>
    <s v="No"/>
    <s v="No"/>
    <x v="0"/>
    <s v="Software Development"/>
    <n v="4"/>
    <x v="2"/>
    <s v="Single"/>
    <x v="1"/>
    <s v="Bachelor"/>
    <x v="0"/>
    <n v="2.68"/>
    <s v="No"/>
    <n v="3.15"/>
    <n v="126"/>
    <n v="20000"/>
    <x v="0"/>
    <x v="0"/>
    <n v="75.599999999999994"/>
  </r>
  <r>
    <x v="3"/>
    <x v="0"/>
    <n v="20"/>
    <n v="2020"/>
    <x v="0"/>
    <n v="2"/>
    <x v="1"/>
    <s v="Yes"/>
    <x v="0"/>
    <n v="3"/>
    <x v="0"/>
    <x v="0"/>
    <s v="Yes"/>
    <x v="3"/>
    <x v="0"/>
    <x v="10"/>
    <s v="No"/>
    <s v="No"/>
    <x v="1"/>
    <s v="Software Development"/>
    <n v="1"/>
    <x v="2"/>
    <s v="Single"/>
    <x v="1"/>
    <s v="Family"/>
    <x v="0"/>
    <n v="2.68"/>
    <s v="No"/>
    <n v="3.15"/>
    <n v="11"/>
    <n v="20000"/>
    <x v="0"/>
    <x v="0"/>
    <n v="51.6"/>
  </r>
  <r>
    <x v="2"/>
    <x v="0"/>
    <n v="22"/>
    <n v="2018"/>
    <x v="0"/>
    <n v="7"/>
    <x v="1"/>
    <s v="Yes"/>
    <x v="1"/>
    <n v="1"/>
    <x v="0"/>
    <x v="0"/>
    <s v="Yes"/>
    <x v="0"/>
    <x v="1"/>
    <x v="7"/>
    <s v="Yes"/>
    <s v="No"/>
    <x v="0"/>
    <s v="Networking"/>
    <n v="1"/>
    <x v="4"/>
    <s v="Single"/>
    <x v="1"/>
    <s v="Family"/>
    <x v="0"/>
    <n v="2.68"/>
    <s v="No"/>
    <n v="3.15"/>
    <n v="77"/>
    <n v="20000"/>
    <x v="0"/>
    <x v="0"/>
    <n v="34"/>
  </r>
  <r>
    <x v="3"/>
    <x v="0"/>
    <n v="21"/>
    <n v="2020"/>
    <x v="0"/>
    <n v="2"/>
    <x v="0"/>
    <s v="Yes"/>
    <x v="7"/>
    <n v="2"/>
    <x v="1"/>
    <x v="0"/>
    <s v="Yes"/>
    <x v="3"/>
    <x v="0"/>
    <x v="5"/>
    <s v="No"/>
    <s v="No"/>
    <x v="0"/>
    <s v="Software Development"/>
    <n v="3"/>
    <x v="2"/>
    <s v="Single"/>
    <x v="0"/>
    <s v="Family"/>
    <x v="0"/>
    <n v="2.68"/>
    <s v="No"/>
    <n v="3.15"/>
    <n v="11"/>
    <n v="30000"/>
    <x v="0"/>
    <x v="0"/>
    <n v="70"/>
  </r>
  <r>
    <x v="0"/>
    <x v="0"/>
    <n v="23"/>
    <n v="2017"/>
    <x v="0"/>
    <n v="13"/>
    <x v="1"/>
    <s v="No"/>
    <x v="2"/>
    <n v="1"/>
    <x v="0"/>
    <x v="0"/>
    <s v="Yes"/>
    <x v="3"/>
    <x v="1"/>
    <x v="11"/>
    <s v="Yes"/>
    <s v="Yes"/>
    <x v="0"/>
    <s v="Software Development"/>
    <n v="3"/>
    <x v="2"/>
    <s v="Single"/>
    <x v="1"/>
    <s v="Bachelor"/>
    <x v="0"/>
    <n v="2.68"/>
    <s v="No"/>
    <n v="3.15"/>
    <n v="136"/>
    <n v="35000"/>
    <x v="0"/>
    <x v="0"/>
    <n v="45"/>
  </r>
  <r>
    <x v="2"/>
    <x v="1"/>
    <n v="23"/>
    <n v="2020"/>
    <x v="0"/>
    <n v="8"/>
    <x v="0"/>
    <s v="No"/>
    <x v="4"/>
    <n v="3"/>
    <x v="0"/>
    <x v="0"/>
    <s v="Yes"/>
    <x v="5"/>
    <x v="0"/>
    <x v="5"/>
    <s v="No"/>
    <s v="No"/>
    <x v="0"/>
    <s v="Software Development"/>
    <n v="2"/>
    <x v="2"/>
    <s v="Single"/>
    <x v="1"/>
    <s v="Bachelor"/>
    <x v="0"/>
    <n v="2.68"/>
    <s v="No"/>
    <n v="3.15"/>
    <n v="88"/>
    <n v="62488"/>
    <x v="0"/>
    <x v="0"/>
    <n v="64"/>
  </r>
  <r>
    <x v="5"/>
    <x v="1"/>
    <n v="25"/>
    <n v="2015"/>
    <x v="0"/>
    <n v="8"/>
    <x v="1"/>
    <s v="No"/>
    <x v="2"/>
    <n v="2"/>
    <x v="0"/>
    <x v="0"/>
    <s v="Yes"/>
    <x v="3"/>
    <x v="0"/>
    <x v="5"/>
    <s v="No"/>
    <s v="No"/>
    <x v="0"/>
    <s v="Networking"/>
    <n v="2"/>
    <x v="4"/>
    <s v="Married"/>
    <x v="1"/>
    <s v="Family"/>
    <x v="0"/>
    <n v="2.68"/>
    <s v="No"/>
    <n v="3.15"/>
    <n v="88"/>
    <n v="60000"/>
    <x v="0"/>
    <x v="0"/>
    <n v="52"/>
  </r>
  <r>
    <x v="3"/>
    <x v="1"/>
    <n v="20"/>
    <n v="2020"/>
    <x v="0"/>
    <n v="2"/>
    <x v="1"/>
    <s v="Yes"/>
    <x v="5"/>
    <n v="3"/>
    <x v="0"/>
    <x v="0"/>
    <s v="No"/>
    <x v="2"/>
    <x v="0"/>
    <x v="3"/>
    <s v="No"/>
    <s v="No"/>
    <x v="0"/>
    <s v="Software Development"/>
    <n v="3"/>
    <x v="2"/>
    <s v="Single"/>
    <x v="1"/>
    <s v="Bachelor"/>
    <x v="0"/>
    <n v="2.68"/>
    <s v="No"/>
    <n v="3.15"/>
    <n v="11"/>
    <n v="60000"/>
    <x v="0"/>
    <x v="0"/>
    <n v="56.2"/>
  </r>
  <r>
    <x v="1"/>
    <x v="0"/>
    <n v="21"/>
    <n v="2020"/>
    <x v="0"/>
    <n v="4"/>
    <x v="0"/>
    <s v="Yes"/>
    <x v="2"/>
    <n v="2"/>
    <x v="0"/>
    <x v="0"/>
    <s v="Yes"/>
    <x v="2"/>
    <x v="2"/>
    <x v="2"/>
    <s v="No"/>
    <s v="No"/>
    <x v="0"/>
    <s v="Software Development"/>
    <n v="2"/>
    <x v="2"/>
    <s v="Relationship"/>
    <x v="0"/>
    <s v="Family"/>
    <x v="0"/>
    <n v="2.68"/>
    <s v="No"/>
    <n v="3.15"/>
    <n v="36"/>
    <n v="50000"/>
    <x v="0"/>
    <x v="0"/>
    <n v="44"/>
  </r>
  <r>
    <x v="6"/>
    <x v="1"/>
    <n v="26"/>
    <n v="2014"/>
    <x v="0"/>
    <n v="22"/>
    <x v="1"/>
    <s v="Yes"/>
    <x v="2"/>
    <n v="2"/>
    <x v="1"/>
    <x v="0"/>
    <s v="Yes"/>
    <x v="1"/>
    <x v="0"/>
    <x v="2"/>
    <s v="Yes"/>
    <s v="Yes"/>
    <x v="1"/>
    <s v="Software Development"/>
    <n v="2"/>
    <x v="2"/>
    <s v="Married"/>
    <x v="0"/>
    <s v="Family"/>
    <x v="1"/>
    <n v="2.68"/>
    <s v="No"/>
    <n v="3.15"/>
    <n v="77"/>
    <n v="30000"/>
    <x v="0"/>
    <x v="0"/>
    <n v="44"/>
  </r>
  <r>
    <x v="4"/>
    <x v="0"/>
    <n v="23"/>
    <n v="2018"/>
    <x v="0"/>
    <n v="11"/>
    <x v="1"/>
    <s v="Yes"/>
    <x v="3"/>
    <n v="5"/>
    <x v="0"/>
    <x v="0"/>
    <s v="Yes"/>
    <x v="1"/>
    <x v="0"/>
    <x v="0"/>
    <s v="No"/>
    <s v="No"/>
    <x v="0"/>
    <s v="Networking"/>
    <n v="2"/>
    <x v="4"/>
    <s v="Single"/>
    <x v="1"/>
    <s v="Bachelor"/>
    <x v="0"/>
    <n v="3.29"/>
    <s v="No"/>
    <n v="3.23"/>
    <n v="114"/>
    <n v="28000"/>
    <x v="0"/>
    <x v="0"/>
    <n v="57"/>
  </r>
  <r>
    <x v="4"/>
    <x v="1"/>
    <n v="22"/>
    <n v="2018"/>
    <x v="0"/>
    <n v="11"/>
    <x v="1"/>
    <s v="Yes"/>
    <x v="0"/>
    <n v="1"/>
    <x v="0"/>
    <x v="0"/>
    <s v="Yes"/>
    <x v="1"/>
    <x v="0"/>
    <x v="5"/>
    <s v="No"/>
    <s v="No"/>
    <x v="0"/>
    <s v="App development"/>
    <n v="3"/>
    <x v="5"/>
    <s v="Single"/>
    <x v="0"/>
    <s v="Family"/>
    <x v="0"/>
    <n v="2.68"/>
    <s v="No"/>
    <n v="3.15"/>
    <n v="126"/>
    <n v="60000"/>
    <x v="0"/>
    <x v="0"/>
    <n v="58"/>
  </r>
  <r>
    <x v="5"/>
    <x v="0"/>
    <n v="23"/>
    <n v="2017"/>
    <x v="0"/>
    <n v="12"/>
    <x v="1"/>
    <s v="No"/>
    <x v="2"/>
    <n v="2"/>
    <x v="0"/>
    <x v="0"/>
    <s v="Yes"/>
    <x v="3"/>
    <x v="2"/>
    <x v="5"/>
    <s v="Yes"/>
    <s v="No"/>
    <x v="0"/>
    <s v="Networking"/>
    <n v="3"/>
    <x v="2"/>
    <s v="Single"/>
    <x v="1"/>
    <s v="Bachelor"/>
    <x v="0"/>
    <n v="2.68"/>
    <s v="No"/>
    <n v="3.15"/>
    <n v="136"/>
    <n v="90000"/>
    <x v="0"/>
    <x v="0"/>
    <n v="55"/>
  </r>
  <r>
    <x v="5"/>
    <x v="0"/>
    <n v="24"/>
    <n v="2017"/>
    <x v="0"/>
    <n v="15"/>
    <x v="1"/>
    <s v="No"/>
    <x v="0"/>
    <n v="2"/>
    <x v="1"/>
    <x v="0"/>
    <s v="Yes"/>
    <x v="1"/>
    <x v="2"/>
    <x v="2"/>
    <s v="Yes"/>
    <s v="No"/>
    <x v="0"/>
    <s v="Software Development"/>
    <n v="4"/>
    <x v="2"/>
    <s v="Single"/>
    <x v="1"/>
    <s v="Bachelor"/>
    <x v="0"/>
    <n v="2.68"/>
    <s v="No"/>
    <n v="3.15"/>
    <n v="113"/>
    <n v="200000"/>
    <x v="0"/>
    <x v="0"/>
    <n v="53"/>
  </r>
  <r>
    <x v="2"/>
    <x v="1"/>
    <n v="21"/>
    <n v="2019"/>
    <x v="0"/>
    <n v="8"/>
    <x v="1"/>
    <s v="No"/>
    <x v="5"/>
    <n v="2"/>
    <x v="0"/>
    <x v="0"/>
    <s v="Yes"/>
    <x v="3"/>
    <x v="0"/>
    <x v="5"/>
    <s v="No"/>
    <s v="No"/>
    <x v="1"/>
    <s v="Software Development"/>
    <n v="1"/>
    <x v="2"/>
    <s v="Single"/>
    <x v="0"/>
    <s v="Family"/>
    <x v="0"/>
    <n v="2.68"/>
    <s v="No"/>
    <n v="3.15"/>
    <n v="88"/>
    <n v="50000"/>
    <x v="0"/>
    <x v="0"/>
    <n v="55"/>
  </r>
  <r>
    <x v="4"/>
    <x v="1"/>
    <n v="22"/>
    <n v="2018"/>
    <x v="0"/>
    <n v="9"/>
    <x v="1"/>
    <s v="Yes"/>
    <x v="0"/>
    <n v="1"/>
    <x v="0"/>
    <x v="0"/>
    <s v="Yes"/>
    <x v="0"/>
    <x v="1"/>
    <x v="2"/>
    <s v="Yes"/>
    <s v="No"/>
    <x v="1"/>
    <s v="Software Development"/>
    <n v="3"/>
    <x v="2"/>
    <s v="Married"/>
    <x v="1"/>
    <s v="Bachelor"/>
    <x v="1"/>
    <n v="2"/>
    <s v="No"/>
    <n v="2.2200000000000002"/>
    <n v="77"/>
    <n v="4000"/>
    <x v="2"/>
    <x v="0"/>
    <n v="50"/>
  </r>
  <r>
    <x v="3"/>
    <x v="0"/>
    <n v="19"/>
    <n v="2020"/>
    <x v="0"/>
    <n v="2"/>
    <x v="0"/>
    <s v="Yes"/>
    <x v="0"/>
    <n v="2"/>
    <x v="0"/>
    <x v="0"/>
    <s v="Yes"/>
    <x v="1"/>
    <x v="1"/>
    <x v="0"/>
    <s v="No"/>
    <s v="No"/>
    <x v="0"/>
    <s v="Software Development"/>
    <n v="1"/>
    <x v="2"/>
    <s v="Single"/>
    <x v="1"/>
    <s v="Family"/>
    <x v="0"/>
    <n v="2.68"/>
    <s v="No"/>
    <n v="3.15"/>
    <n v="11"/>
    <n v="40000"/>
    <x v="0"/>
    <x v="0"/>
    <n v="48"/>
  </r>
  <r>
    <x v="4"/>
    <x v="1"/>
    <n v="21"/>
    <n v="2018"/>
    <x v="0"/>
    <n v="10"/>
    <x v="1"/>
    <s v="No"/>
    <x v="3"/>
    <n v="1"/>
    <x v="0"/>
    <x v="0"/>
    <s v="Yes"/>
    <x v="1"/>
    <x v="0"/>
    <x v="2"/>
    <s v="Yes"/>
    <s v="No"/>
    <x v="0"/>
    <s v="Software Development"/>
    <n v="2"/>
    <x v="2"/>
    <s v="Single"/>
    <x v="1"/>
    <s v="Bachelor"/>
    <x v="1"/>
    <n v="3.3"/>
    <s v="No"/>
    <n v="3.24"/>
    <n v="105"/>
    <n v="80000"/>
    <x v="0"/>
    <x v="0"/>
    <n v="53"/>
  </r>
  <r>
    <x v="4"/>
    <x v="0"/>
    <n v="23"/>
    <n v="2017"/>
    <x v="0"/>
    <n v="10"/>
    <x v="1"/>
    <s v="Yes"/>
    <x v="0"/>
    <n v="2"/>
    <x v="1"/>
    <x v="0"/>
    <s v="Yes"/>
    <x v="2"/>
    <x v="1"/>
    <x v="0"/>
    <s v="No"/>
    <s v="No"/>
    <x v="0"/>
    <s v="Software Development"/>
    <n v="3"/>
    <x v="2"/>
    <s v="Single"/>
    <x v="1"/>
    <s v="Bachelor"/>
    <x v="1"/>
    <n v="2.68"/>
    <s v="No"/>
    <n v="3.15"/>
    <n v="113"/>
    <n v="35000"/>
    <x v="0"/>
    <x v="0"/>
    <n v="54"/>
  </r>
  <r>
    <x v="4"/>
    <x v="0"/>
    <n v="21"/>
    <n v="2018"/>
    <x v="0"/>
    <n v="9"/>
    <x v="1"/>
    <s v="No"/>
    <x v="1"/>
    <n v="1"/>
    <x v="1"/>
    <x v="0"/>
    <s v="Yes"/>
    <x v="10"/>
    <x v="0"/>
    <x v="0"/>
    <s v="No"/>
    <s v="No"/>
    <x v="0"/>
    <s v="Software Development"/>
    <n v="6"/>
    <x v="2"/>
    <s v="Single"/>
    <x v="1"/>
    <s v="Bachelor"/>
    <x v="0"/>
    <n v="3.01"/>
    <s v="No"/>
    <n v="2.76"/>
    <n v="79"/>
    <n v="65000"/>
    <x v="0"/>
    <x v="0"/>
    <n v="57"/>
  </r>
  <r>
    <x v="0"/>
    <x v="0"/>
    <n v="23"/>
    <n v="2017"/>
    <x v="0"/>
    <n v="12"/>
    <x v="1"/>
    <s v="No"/>
    <x v="5"/>
    <n v="1"/>
    <x v="0"/>
    <x v="0"/>
    <s v="Yes"/>
    <x v="2"/>
    <x v="0"/>
    <x v="6"/>
    <s v="No"/>
    <s v="No"/>
    <x v="0"/>
    <s v="Software Development"/>
    <n v="4"/>
    <x v="2"/>
    <s v="Single"/>
    <x v="1"/>
    <s v="Bachelor"/>
    <x v="0"/>
    <n v="2.68"/>
    <s v="No"/>
    <n v="3.15"/>
    <n v="136"/>
    <n v="20000"/>
    <x v="0"/>
    <x v="0"/>
    <n v="62.800000000000004"/>
  </r>
  <r>
    <x v="4"/>
    <x v="0"/>
    <n v="22"/>
    <n v="2018"/>
    <x v="0"/>
    <n v="9"/>
    <x v="1"/>
    <s v="No"/>
    <x v="0"/>
    <n v="2"/>
    <x v="0"/>
    <x v="0"/>
    <s v="Yes"/>
    <x v="1"/>
    <x v="1"/>
    <x v="4"/>
    <s v="No"/>
    <s v="No"/>
    <x v="0"/>
    <s v="Software Development"/>
    <n v="2"/>
    <x v="0"/>
    <s v="Single"/>
    <x v="1"/>
    <s v="Bachelor"/>
    <x v="0"/>
    <n v="3.2"/>
    <s v="No"/>
    <n v="3.3"/>
    <n v="103"/>
    <n v="40000"/>
    <x v="0"/>
    <x v="0"/>
    <n v="53"/>
  </r>
  <r>
    <x v="0"/>
    <x v="1"/>
    <n v="23"/>
    <n v="2017"/>
    <x v="0"/>
    <n v="12"/>
    <x v="1"/>
    <s v="No"/>
    <x v="0"/>
    <n v="2"/>
    <x v="1"/>
    <x v="0"/>
    <s v="Yes"/>
    <x v="2"/>
    <x v="2"/>
    <x v="2"/>
    <s v="Yes"/>
    <s v="No"/>
    <x v="0"/>
    <s v="Software Development"/>
    <n v="2"/>
    <x v="2"/>
    <s v="Single"/>
    <x v="0"/>
    <s v="Family"/>
    <x v="0"/>
    <n v="2.68"/>
    <s v="No"/>
    <n v="3.15"/>
    <n v="136"/>
    <n v="100000"/>
    <x v="0"/>
    <x v="0"/>
    <n v="47"/>
  </r>
  <r>
    <x v="3"/>
    <x v="1"/>
    <n v="20"/>
    <n v="2020"/>
    <x v="0"/>
    <n v="2"/>
    <x v="0"/>
    <s v="No"/>
    <x v="5"/>
    <n v="1"/>
    <x v="0"/>
    <x v="0"/>
    <s v="Yes"/>
    <x v="5"/>
    <x v="1"/>
    <x v="0"/>
    <s v="No"/>
    <s v="No"/>
    <x v="0"/>
    <s v="Software Development"/>
    <n v="2"/>
    <x v="2"/>
    <s v="Single"/>
    <x v="1"/>
    <s v="Bachelor"/>
    <x v="0"/>
    <n v="2.68"/>
    <s v="No"/>
    <n v="3.15"/>
    <n v="11"/>
    <n v="50000"/>
    <x v="0"/>
    <x v="0"/>
    <n v="54"/>
  </r>
  <r>
    <x v="0"/>
    <x v="0"/>
    <n v="25"/>
    <n v="2015"/>
    <x v="0"/>
    <n v="12"/>
    <x v="0"/>
    <s v="No"/>
    <x v="1"/>
    <n v="3"/>
    <x v="0"/>
    <x v="1"/>
    <s v="Yes"/>
    <x v="3"/>
    <x v="0"/>
    <x v="0"/>
    <s v="No"/>
    <s v="No"/>
    <x v="1"/>
    <s v="Software Development"/>
    <n v="1"/>
    <x v="2"/>
    <s v="Single"/>
    <x v="1"/>
    <s v="Bachelor"/>
    <x v="0"/>
    <n v="2.68"/>
    <s v="No"/>
    <n v="3.15"/>
    <n v="136"/>
    <n v="20000"/>
    <x v="0"/>
    <x v="0"/>
    <n v="42"/>
  </r>
  <r>
    <x v="3"/>
    <x v="0"/>
    <n v="20"/>
    <n v="2020"/>
    <x v="0"/>
    <n v="2"/>
    <x v="0"/>
    <s v="Yes"/>
    <x v="0"/>
    <n v="2"/>
    <x v="0"/>
    <x v="0"/>
    <s v="Yes"/>
    <x v="4"/>
    <x v="0"/>
    <x v="0"/>
    <s v="No"/>
    <s v="No"/>
    <x v="0"/>
    <s v="Software Development"/>
    <n v="2"/>
    <x v="2"/>
    <s v="Single"/>
    <x v="0"/>
    <s v="Family"/>
    <x v="0"/>
    <n v="2.68"/>
    <s v="No"/>
    <n v="3.15"/>
    <n v="11"/>
    <n v="30000"/>
    <x v="0"/>
    <x v="0"/>
    <n v="51"/>
  </r>
  <r>
    <x v="2"/>
    <x v="1"/>
    <n v="23"/>
    <n v="2018"/>
    <x v="0"/>
    <n v="7"/>
    <x v="1"/>
    <s v="Yes"/>
    <x v="0"/>
    <n v="2"/>
    <x v="0"/>
    <x v="0"/>
    <s v="Yes"/>
    <x v="4"/>
    <x v="1"/>
    <x v="18"/>
    <s v="Yes"/>
    <s v="Yes"/>
    <x v="0"/>
    <s v="Software Development"/>
    <n v="2"/>
    <x v="2"/>
    <s v="Married"/>
    <x v="0"/>
    <s v="Family"/>
    <x v="0"/>
    <n v="2.4"/>
    <s v="No"/>
    <n v="2.4"/>
    <n v="70"/>
    <n v="60000"/>
    <x v="2"/>
    <x v="0"/>
    <n v="31"/>
  </r>
  <r>
    <x v="2"/>
    <x v="0"/>
    <n v="23"/>
    <n v="2018"/>
    <x v="0"/>
    <n v="8"/>
    <x v="1"/>
    <s v="No"/>
    <x v="5"/>
    <n v="2"/>
    <x v="1"/>
    <x v="0"/>
    <s v="Yes"/>
    <x v="2"/>
    <x v="0"/>
    <x v="0"/>
    <s v="No"/>
    <s v="No"/>
    <x v="1"/>
    <s v="Software Development"/>
    <n v="1"/>
    <x v="5"/>
    <s v="Single"/>
    <x v="0"/>
    <s v="Bachelor"/>
    <x v="0"/>
    <n v="2.68"/>
    <s v="No"/>
    <n v="3.15"/>
    <n v="88"/>
    <n v="50000"/>
    <x v="0"/>
    <x v="0"/>
    <n v="51"/>
  </r>
  <r>
    <x v="1"/>
    <x v="0"/>
    <n v="22"/>
    <n v="2020"/>
    <x v="0"/>
    <n v="4"/>
    <x v="0"/>
    <s v="Yes"/>
    <x v="5"/>
    <n v="2"/>
    <x v="0"/>
    <x v="0"/>
    <s v="Yes"/>
    <x v="2"/>
    <x v="0"/>
    <x v="0"/>
    <s v="No"/>
    <s v="No"/>
    <x v="1"/>
    <s v="Software Development"/>
    <n v="2"/>
    <x v="2"/>
    <s v="Single"/>
    <x v="0"/>
    <s v="Family"/>
    <x v="0"/>
    <n v="2.16"/>
    <s v="No"/>
    <n v="2.75"/>
    <n v="35"/>
    <n v="40000"/>
    <x v="0"/>
    <x v="0"/>
    <n v="54"/>
  </r>
  <r>
    <x v="4"/>
    <x v="0"/>
    <n v="22"/>
    <n v="2018"/>
    <x v="0"/>
    <n v="9"/>
    <x v="0"/>
    <s v="No"/>
    <x v="6"/>
    <n v="3"/>
    <x v="0"/>
    <x v="0"/>
    <s v="Yes"/>
    <x v="1"/>
    <x v="0"/>
    <x v="0"/>
    <s v="No"/>
    <s v="No"/>
    <x v="0"/>
    <s v="Software Development"/>
    <n v="2"/>
    <x v="2"/>
    <s v="Single"/>
    <x v="1"/>
    <s v="Bachelor"/>
    <x v="0"/>
    <n v="2.68"/>
    <s v="No"/>
    <n v="3.15"/>
    <n v="100"/>
    <n v="40000"/>
    <x v="0"/>
    <x v="0"/>
    <n v="66"/>
  </r>
  <r>
    <x v="2"/>
    <x v="0"/>
    <n v="23"/>
    <n v="2018"/>
    <x v="0"/>
    <n v="8"/>
    <x v="0"/>
    <s v="Yes"/>
    <x v="3"/>
    <n v="3"/>
    <x v="0"/>
    <x v="1"/>
    <s v="Yes"/>
    <x v="2"/>
    <x v="0"/>
    <x v="19"/>
    <s v="Yes"/>
    <s v="No"/>
    <x v="0"/>
    <s v="Software Development"/>
    <n v="2"/>
    <x v="2"/>
    <s v="Single"/>
    <x v="0"/>
    <s v="Bachelor"/>
    <x v="0"/>
    <n v="2.68"/>
    <s v="No"/>
    <n v="3.15"/>
    <n v="88"/>
    <n v="12000"/>
    <x v="0"/>
    <x v="0"/>
    <n v="23"/>
  </r>
  <r>
    <x v="1"/>
    <x v="0"/>
    <n v="21"/>
    <n v="2020"/>
    <x v="0"/>
    <n v="5"/>
    <x v="1"/>
    <s v="No"/>
    <x v="3"/>
    <n v="3"/>
    <x v="0"/>
    <x v="1"/>
    <s v="Yes"/>
    <x v="2"/>
    <x v="0"/>
    <x v="6"/>
    <s v="Yes"/>
    <s v="No"/>
    <x v="0"/>
    <s v="Software Development"/>
    <n v="4"/>
    <x v="2"/>
    <s v="Single"/>
    <x v="1"/>
    <s v="Bachelor"/>
    <x v="0"/>
    <n v="0"/>
    <s v="No"/>
    <n v="2.31"/>
    <n v="46"/>
    <n v="50000"/>
    <x v="2"/>
    <x v="0"/>
    <n v="65.800000000000011"/>
  </r>
  <r>
    <x v="1"/>
    <x v="1"/>
    <n v="20"/>
    <n v="2020"/>
    <x v="0"/>
    <n v="5"/>
    <x v="1"/>
    <s v="Yes"/>
    <x v="2"/>
    <n v="3"/>
    <x v="0"/>
    <x v="0"/>
    <s v="Yes"/>
    <x v="1"/>
    <x v="1"/>
    <x v="2"/>
    <s v="No"/>
    <s v="No"/>
    <x v="1"/>
    <s v="Software Development"/>
    <n v="3"/>
    <x v="2"/>
    <s v="Single"/>
    <x v="1"/>
    <s v="Family"/>
    <x v="1"/>
    <n v="1.75"/>
    <s v="Yes"/>
    <n v="2.5099999999999998"/>
    <n v="50"/>
    <n v="50000"/>
    <x v="0"/>
    <x v="0"/>
    <n v="47"/>
  </r>
  <r>
    <x v="2"/>
    <x v="1"/>
    <n v="22"/>
    <n v="2019"/>
    <x v="0"/>
    <n v="8"/>
    <x v="1"/>
    <s v="No"/>
    <x v="5"/>
    <n v="2"/>
    <x v="0"/>
    <x v="0"/>
    <s v="No"/>
    <x v="4"/>
    <x v="0"/>
    <x v="0"/>
    <s v="No"/>
    <s v="No"/>
    <x v="0"/>
    <s v="Software Development"/>
    <n v="2"/>
    <x v="5"/>
    <s v="Single"/>
    <x v="1"/>
    <s v="Family"/>
    <x v="0"/>
    <n v="2.68"/>
    <s v="No"/>
    <n v="3.15"/>
    <n v="88"/>
    <n v="10000"/>
    <x v="0"/>
    <x v="0"/>
    <n v="54"/>
  </r>
  <r>
    <x v="2"/>
    <x v="0"/>
    <n v="22"/>
    <n v="2018"/>
    <x v="0"/>
    <n v="8"/>
    <x v="1"/>
    <s v="No"/>
    <x v="2"/>
    <n v="2"/>
    <x v="0"/>
    <x v="0"/>
    <s v="Yes"/>
    <x v="4"/>
    <x v="0"/>
    <x v="0"/>
    <s v="Yes"/>
    <s v="No"/>
    <x v="1"/>
    <s v="Nothing"/>
    <n v="0"/>
    <x v="3"/>
    <s v="Single"/>
    <x v="1"/>
    <s v="Bachelor"/>
    <x v="0"/>
    <n v="2.68"/>
    <s v="No"/>
    <n v="3.15"/>
    <n v="88"/>
    <n v="50000"/>
    <x v="0"/>
    <x v="0"/>
    <n v="42"/>
  </r>
  <r>
    <x v="3"/>
    <x v="1"/>
    <n v="22"/>
    <n v="2019"/>
    <x v="0"/>
    <n v="2"/>
    <x v="0"/>
    <s v="No"/>
    <x v="0"/>
    <n v="2"/>
    <x v="1"/>
    <x v="0"/>
    <s v="Yes"/>
    <x v="11"/>
    <x v="1"/>
    <x v="13"/>
    <s v="No"/>
    <s v="Yes"/>
    <x v="0"/>
    <s v="Nothing specially"/>
    <n v="3"/>
    <x v="9"/>
    <s v="Single"/>
    <x v="1"/>
    <s v="Family"/>
    <x v="0"/>
    <n v="2.68"/>
    <s v="No"/>
    <n v="3.15"/>
    <n v="11"/>
    <n v="100000"/>
    <x v="0"/>
    <x v="0"/>
    <n v="54.800000000000004"/>
  </r>
  <r>
    <x v="4"/>
    <x v="1"/>
    <n v="21"/>
    <n v="2018"/>
    <x v="0"/>
    <n v="8"/>
    <x v="1"/>
    <s v="No"/>
    <x v="4"/>
    <n v="3"/>
    <x v="1"/>
    <x v="0"/>
    <s v="Yes"/>
    <x v="2"/>
    <x v="0"/>
    <x v="5"/>
    <s v="No"/>
    <s v="No"/>
    <x v="1"/>
    <s v="Networking"/>
    <n v="1"/>
    <x v="3"/>
    <s v="Single"/>
    <x v="0"/>
    <s v="Bachelor"/>
    <x v="1"/>
    <n v="2.68"/>
    <s v="No"/>
    <n v="3.15"/>
    <n v="88"/>
    <n v="30000"/>
    <x v="0"/>
    <x v="0"/>
    <n v="61"/>
  </r>
  <r>
    <x v="2"/>
    <x v="1"/>
    <n v="21"/>
    <n v="2019"/>
    <x v="0"/>
    <n v="8"/>
    <x v="0"/>
    <s v="Yes"/>
    <x v="2"/>
    <n v="1"/>
    <x v="0"/>
    <x v="0"/>
    <s v="Yes"/>
    <x v="4"/>
    <x v="1"/>
    <x v="3"/>
    <s v="No"/>
    <s v="No"/>
    <x v="1"/>
    <s v="Software Development"/>
    <n v="3"/>
    <x v="2"/>
    <s v="Single"/>
    <x v="1"/>
    <s v="Family"/>
    <x v="0"/>
    <n v="2.68"/>
    <s v="No"/>
    <n v="3.15"/>
    <n v="88"/>
    <n v="40000"/>
    <x v="0"/>
    <x v="0"/>
    <n v="50.2"/>
  </r>
  <r>
    <x v="3"/>
    <x v="0"/>
    <n v="19"/>
    <n v="2020"/>
    <x v="0"/>
    <n v="1"/>
    <x v="0"/>
    <s v="Yes"/>
    <x v="1"/>
    <n v="1"/>
    <x v="0"/>
    <x v="0"/>
    <s v="Yes"/>
    <x v="5"/>
    <x v="0"/>
    <x v="4"/>
    <s v="No"/>
    <s v="No"/>
    <x v="1"/>
    <s v="Software Development"/>
    <n v="1"/>
    <x v="2"/>
    <s v="Single"/>
    <x v="0"/>
    <s v="Family"/>
    <x v="0"/>
    <n v="2.68"/>
    <s v="No"/>
    <n v="3.15"/>
    <n v="0"/>
    <n v="50000"/>
    <x v="0"/>
    <x v="0"/>
    <n v="44"/>
  </r>
  <r>
    <x v="2"/>
    <x v="1"/>
    <n v="20"/>
    <n v="2018"/>
    <x v="0"/>
    <n v="8"/>
    <x v="1"/>
    <s v="No"/>
    <x v="0"/>
    <n v="2"/>
    <x v="0"/>
    <x v="0"/>
    <s v="Yes"/>
    <x v="2"/>
    <x v="2"/>
    <x v="8"/>
    <s v="No"/>
    <s v="No"/>
    <x v="0"/>
    <s v="Software Development"/>
    <n v="2"/>
    <x v="6"/>
    <s v="Single"/>
    <x v="1"/>
    <s v="Family"/>
    <x v="0"/>
    <n v="2.6"/>
    <s v="No"/>
    <n v="2.81"/>
    <n v="75"/>
    <n v="500000"/>
    <x v="0"/>
    <x v="0"/>
    <n v="54.2"/>
  </r>
  <r>
    <x v="1"/>
    <x v="0"/>
    <n v="20"/>
    <n v="2020"/>
    <x v="0"/>
    <n v="4"/>
    <x v="0"/>
    <s v="No"/>
    <x v="7"/>
    <n v="2"/>
    <x v="0"/>
    <x v="0"/>
    <s v="Yes"/>
    <x v="3"/>
    <x v="0"/>
    <x v="0"/>
    <s v="No"/>
    <s v="No"/>
    <x v="1"/>
    <s v="Software Development"/>
    <n v="9"/>
    <x v="4"/>
    <s v="Relationship"/>
    <x v="1"/>
    <s v="Bachelor"/>
    <x v="0"/>
    <n v="3.33"/>
    <s v="No"/>
    <n v="3.5"/>
    <n v="33"/>
    <n v="40000"/>
    <x v="1"/>
    <x v="0"/>
    <n v="84"/>
  </r>
  <r>
    <x v="1"/>
    <x v="0"/>
    <n v="24"/>
    <n v="2017"/>
    <x v="0"/>
    <n v="4"/>
    <x v="1"/>
    <s v="No"/>
    <x v="0"/>
    <n v="2"/>
    <x v="0"/>
    <x v="0"/>
    <s v="Yes"/>
    <x v="2"/>
    <x v="0"/>
    <x v="0"/>
    <s v="No"/>
    <s v="No"/>
    <x v="1"/>
    <s v="Software Development"/>
    <n v="2"/>
    <x v="2"/>
    <s v="Relationship"/>
    <x v="0"/>
    <s v="Bachelor"/>
    <x v="0"/>
    <n v="4"/>
    <s v="No"/>
    <n v="3.92"/>
    <n v="34"/>
    <n v="40000"/>
    <x v="1"/>
    <x v="0"/>
    <n v="51"/>
  </r>
  <r>
    <x v="1"/>
    <x v="0"/>
    <n v="22"/>
    <n v="2020"/>
    <x v="0"/>
    <n v="2"/>
    <x v="0"/>
    <s v="Yes"/>
    <x v="4"/>
    <n v="3"/>
    <x v="0"/>
    <x v="0"/>
    <s v="Yes"/>
    <x v="2"/>
    <x v="1"/>
    <x v="5"/>
    <s v="No"/>
    <s v="No"/>
    <x v="0"/>
    <s v="Cyber security"/>
    <n v="3"/>
    <x v="4"/>
    <s v="Single"/>
    <x v="0"/>
    <s v="Family"/>
    <x v="0"/>
    <n v="3.25"/>
    <s v="No"/>
    <n v="3.25"/>
    <n v="11"/>
    <n v="30000"/>
    <x v="0"/>
    <x v="0"/>
    <n v="67"/>
  </r>
  <r>
    <x v="4"/>
    <x v="0"/>
    <n v="22"/>
    <n v="2018"/>
    <x v="0"/>
    <n v="11"/>
    <x v="0"/>
    <s v="No"/>
    <x v="1"/>
    <n v="1"/>
    <x v="0"/>
    <x v="0"/>
    <s v="Yes"/>
    <x v="3"/>
    <x v="1"/>
    <x v="5"/>
    <s v="No"/>
    <s v="No"/>
    <x v="0"/>
    <s v="Cyber security"/>
    <n v="2"/>
    <x v="2"/>
    <s v="Single"/>
    <x v="0"/>
    <s v="Family"/>
    <x v="0"/>
    <n v="3.46"/>
    <s v="No"/>
    <n v="3.1"/>
    <n v="102"/>
    <n v="40000"/>
    <x v="0"/>
    <x v="0"/>
    <n v="49"/>
  </r>
  <r>
    <x v="3"/>
    <x v="0"/>
    <n v="19"/>
    <n v="2020"/>
    <x v="0"/>
    <n v="2"/>
    <x v="0"/>
    <s v="No"/>
    <x v="1"/>
    <n v="2"/>
    <x v="0"/>
    <x v="0"/>
    <s v="Yes"/>
    <x v="2"/>
    <x v="0"/>
    <x v="9"/>
    <s v="No"/>
    <s v="No"/>
    <x v="1"/>
    <s v="Software Development"/>
    <n v="1"/>
    <x v="2"/>
    <s v="Single"/>
    <x v="1"/>
    <s v="Bachelor"/>
    <x v="0"/>
    <n v="3.73"/>
    <s v="No"/>
    <n v="3.73"/>
    <n v="11"/>
    <n v="20000"/>
    <x v="1"/>
    <x v="0"/>
    <n v="40"/>
  </r>
  <r>
    <x v="8"/>
    <x v="0"/>
    <n v="26"/>
    <n v="2014"/>
    <x v="0"/>
    <n v="22"/>
    <x v="1"/>
    <s v="Yes"/>
    <x v="0"/>
    <n v="2"/>
    <x v="1"/>
    <x v="0"/>
    <s v="Yes"/>
    <x v="3"/>
    <x v="1"/>
    <x v="5"/>
    <s v="Yes"/>
    <s v="No"/>
    <x v="0"/>
    <s v="Cyber security"/>
    <n v="5"/>
    <x v="4"/>
    <s v="Single"/>
    <x v="1"/>
    <s v="Family"/>
    <x v="0"/>
    <n v="2"/>
    <s v="No"/>
    <n v="2"/>
    <n v="80"/>
    <n v="25000"/>
    <x v="2"/>
    <x v="0"/>
    <n v="64"/>
  </r>
  <r>
    <x v="4"/>
    <x v="0"/>
    <n v="25"/>
    <n v="2017"/>
    <x v="0"/>
    <n v="11"/>
    <x v="0"/>
    <s v="Yes"/>
    <x v="2"/>
    <n v="1"/>
    <x v="0"/>
    <x v="0"/>
    <s v="Yes"/>
    <x v="0"/>
    <x v="0"/>
    <x v="2"/>
    <s v="No"/>
    <s v="No"/>
    <x v="0"/>
    <s v="Basic"/>
    <n v="2"/>
    <x v="2"/>
    <s v="Single"/>
    <x v="0"/>
    <s v="Bachelor"/>
    <x v="0"/>
    <n v="3.78"/>
    <s v="No"/>
    <n v="3.56"/>
    <n v="132"/>
    <n v="20000"/>
    <x v="1"/>
    <x v="0"/>
    <n v="44"/>
  </r>
  <r>
    <x v="5"/>
    <x v="0"/>
    <n v="24"/>
    <n v="2015"/>
    <x v="0"/>
    <n v="15"/>
    <x v="0"/>
    <s v="Yes"/>
    <x v="4"/>
    <n v="4"/>
    <x v="0"/>
    <x v="0"/>
    <s v="Yes"/>
    <x v="3"/>
    <x v="0"/>
    <x v="5"/>
    <s v="No"/>
    <s v="No"/>
    <x v="0"/>
    <s v="Software Development"/>
    <n v="2"/>
    <x v="2"/>
    <s v="Single"/>
    <x v="0"/>
    <s v="Family"/>
    <x v="0"/>
    <n v="3.42"/>
    <s v="No"/>
    <n v="3.02"/>
    <n v="136"/>
    <n v="50000"/>
    <x v="0"/>
    <x v="0"/>
    <n v="64"/>
  </r>
  <r>
    <x v="0"/>
    <x v="1"/>
    <n v="21"/>
    <n v="2017"/>
    <x v="0"/>
    <n v="14"/>
    <x v="1"/>
    <s v="No"/>
    <x v="5"/>
    <n v="5"/>
    <x v="1"/>
    <x v="0"/>
    <s v="Yes"/>
    <x v="0"/>
    <x v="2"/>
    <x v="4"/>
    <s v="Yes"/>
    <s v="No"/>
    <x v="0"/>
    <s v="Software Development"/>
    <n v="1"/>
    <x v="2"/>
    <s v="Single"/>
    <x v="1"/>
    <s v="Bachelor"/>
    <x v="1"/>
    <n v="3.5"/>
    <s v="No"/>
    <n v="3.2"/>
    <n v="122"/>
    <n v="15000"/>
    <x v="0"/>
    <x v="0"/>
    <n v="53"/>
  </r>
  <r>
    <x v="3"/>
    <x v="0"/>
    <n v="21"/>
    <n v="2020"/>
    <x v="0"/>
    <n v="2"/>
    <x v="0"/>
    <s v="No"/>
    <x v="2"/>
    <n v="1"/>
    <x v="0"/>
    <x v="0"/>
    <s v="Yes"/>
    <x v="1"/>
    <x v="0"/>
    <x v="0"/>
    <s v="No"/>
    <s v="No"/>
    <x v="0"/>
    <s v="Software Development"/>
    <n v="2"/>
    <x v="2"/>
    <s v="Single"/>
    <x v="0"/>
    <s v="Bachelor"/>
    <x v="0"/>
    <n v="3.26"/>
    <s v="No"/>
    <n v="3.26"/>
    <n v="11"/>
    <n v="22000"/>
    <x v="0"/>
    <x v="0"/>
    <n v="48"/>
  </r>
  <r>
    <x v="3"/>
    <x v="1"/>
    <n v="21"/>
    <n v="2020"/>
    <x v="0"/>
    <n v="2"/>
    <x v="0"/>
    <s v="Yes"/>
    <x v="2"/>
    <n v="2"/>
    <x v="0"/>
    <x v="0"/>
    <s v="Yes"/>
    <x v="2"/>
    <x v="1"/>
    <x v="7"/>
    <s v="Yes"/>
    <s v="No"/>
    <x v="1"/>
    <s v="Cyber security"/>
    <n v="1"/>
    <x v="3"/>
    <s v="Single"/>
    <x v="1"/>
    <s v="Family"/>
    <x v="0"/>
    <n v="3.9"/>
    <s v="No"/>
    <n v="3.8"/>
    <n v="12"/>
    <n v="25000"/>
    <x v="1"/>
    <x v="0"/>
    <n v="37"/>
  </r>
  <r>
    <x v="4"/>
    <x v="1"/>
    <n v="21"/>
    <n v="2018"/>
    <x v="0"/>
    <n v="9"/>
    <x v="0"/>
    <s v="Yes"/>
    <x v="2"/>
    <n v="1"/>
    <x v="1"/>
    <x v="0"/>
    <s v="Yes"/>
    <x v="0"/>
    <x v="0"/>
    <x v="4"/>
    <s v="No"/>
    <s v="No"/>
    <x v="1"/>
    <s v="Software Development"/>
    <n v="1"/>
    <x v="2"/>
    <s v="Single"/>
    <x v="1"/>
    <s v="Family"/>
    <x v="0"/>
    <n v="3.7"/>
    <s v="No"/>
    <n v="3.68"/>
    <n v="105"/>
    <n v="50000"/>
    <x v="1"/>
    <x v="0"/>
    <n v="47"/>
  </r>
  <r>
    <x v="4"/>
    <x v="1"/>
    <n v="22"/>
    <n v="2018"/>
    <x v="0"/>
    <n v="11"/>
    <x v="1"/>
    <s v="No"/>
    <x v="0"/>
    <n v="2"/>
    <x v="0"/>
    <x v="0"/>
    <s v="Yes"/>
    <x v="1"/>
    <x v="0"/>
    <x v="5"/>
    <s v="No"/>
    <s v="No"/>
    <x v="1"/>
    <s v="Software Development"/>
    <n v="2"/>
    <x v="2"/>
    <s v="Single"/>
    <x v="1"/>
    <s v="Bachelor"/>
    <x v="0"/>
    <n v="3.82"/>
    <s v="No"/>
    <n v="3.65"/>
    <n v="78"/>
    <n v="30000"/>
    <x v="1"/>
    <x v="0"/>
    <n v="55"/>
  </r>
  <r>
    <x v="4"/>
    <x v="1"/>
    <n v="21"/>
    <n v="2018"/>
    <x v="0"/>
    <n v="11"/>
    <x v="0"/>
    <s v="No"/>
    <x v="3"/>
    <n v="2"/>
    <x v="0"/>
    <x v="0"/>
    <s v="Yes"/>
    <x v="0"/>
    <x v="2"/>
    <x v="10"/>
    <s v="No"/>
    <s v="No"/>
    <x v="1"/>
    <s v="Software Development"/>
    <n v="2"/>
    <x v="5"/>
    <s v="Single"/>
    <x v="0"/>
    <s v="Family"/>
    <x v="0"/>
    <n v="3.85"/>
    <s v="No"/>
    <n v="3.72"/>
    <n v="126"/>
    <n v="100000"/>
    <x v="1"/>
    <x v="0"/>
    <n v="60.6"/>
  </r>
  <r>
    <x v="7"/>
    <x v="0"/>
    <n v="24"/>
    <n v="2016"/>
    <x v="0"/>
    <n v="18"/>
    <x v="1"/>
    <s v="Yes"/>
    <x v="2"/>
    <n v="2"/>
    <x v="0"/>
    <x v="0"/>
    <s v="Yes"/>
    <x v="1"/>
    <x v="2"/>
    <x v="4"/>
    <s v="Yes"/>
    <s v="No"/>
    <x v="0"/>
    <s v="Software Development"/>
    <n v="3"/>
    <x v="2"/>
    <s v="Married"/>
    <x v="0"/>
    <s v="Bachelor"/>
    <x v="0"/>
    <n v="3.1"/>
    <s v="No"/>
    <n v="2.84"/>
    <n v="133"/>
    <n v="20000"/>
    <x v="0"/>
    <x v="0"/>
    <n v="53"/>
  </r>
  <r>
    <x v="3"/>
    <x v="1"/>
    <n v="20"/>
    <n v="2020"/>
    <x v="0"/>
    <n v="2"/>
    <x v="0"/>
    <s v="No"/>
    <x v="2"/>
    <n v="2"/>
    <x v="1"/>
    <x v="0"/>
    <s v="No"/>
    <x v="5"/>
    <x v="0"/>
    <x v="0"/>
    <s v="No"/>
    <s v="No"/>
    <x v="0"/>
    <s v="Networking"/>
    <n v="0"/>
    <x v="2"/>
    <s v="Single"/>
    <x v="1"/>
    <s v="Bachelor"/>
    <x v="0"/>
    <n v="2.67"/>
    <s v="No"/>
    <n v="2.67"/>
    <n v="12"/>
    <n v="35000"/>
    <x v="0"/>
    <x v="0"/>
    <n v="42"/>
  </r>
  <r>
    <x v="4"/>
    <x v="1"/>
    <n v="23"/>
    <n v="2017"/>
    <x v="0"/>
    <n v="9"/>
    <x v="1"/>
    <s v="Yes"/>
    <x v="0"/>
    <n v="2"/>
    <x v="0"/>
    <x v="0"/>
    <s v="Yes"/>
    <x v="3"/>
    <x v="0"/>
    <x v="2"/>
    <s v="No"/>
    <s v="No"/>
    <x v="1"/>
    <s v="Software Development"/>
    <n v="1"/>
    <x v="5"/>
    <s v="Single"/>
    <x v="1"/>
    <s v="Bachelor"/>
    <x v="0"/>
    <n v="3.82"/>
    <s v="No"/>
    <n v="3.6"/>
    <n v="84"/>
    <n v="30000"/>
    <x v="1"/>
    <x v="0"/>
    <n v="44"/>
  </r>
  <r>
    <x v="3"/>
    <x v="0"/>
    <n v="20"/>
    <n v="2020"/>
    <x v="0"/>
    <n v="2"/>
    <x v="0"/>
    <s v="Yes"/>
    <x v="5"/>
    <n v="3"/>
    <x v="0"/>
    <x v="0"/>
    <s v="Yes"/>
    <x v="2"/>
    <x v="1"/>
    <x v="5"/>
    <s v="No"/>
    <s v="No"/>
    <x v="1"/>
    <s v="Software Development"/>
    <n v="2"/>
    <x v="2"/>
    <s v="Single"/>
    <x v="0"/>
    <s v="Family"/>
    <x v="0"/>
    <n v="3.72"/>
    <s v="No"/>
    <n v="3.72"/>
    <n v="11"/>
    <n v="40000"/>
    <x v="1"/>
    <x v="0"/>
    <n v="58"/>
  </r>
  <r>
    <x v="9"/>
    <x v="1"/>
    <n v="21"/>
    <n v="2018"/>
    <x v="0"/>
    <n v="10"/>
    <x v="1"/>
    <s v="Yes"/>
    <x v="2"/>
    <n v="1"/>
    <x v="0"/>
    <x v="0"/>
    <s v="Yes"/>
    <x v="2"/>
    <x v="0"/>
    <x v="0"/>
    <s v="No"/>
    <s v="No"/>
    <x v="0"/>
    <s v="Software Development"/>
    <n v="1"/>
    <x v="3"/>
    <s v="Single"/>
    <x v="1"/>
    <s v="Family"/>
    <x v="0"/>
    <n v="3.51"/>
    <s v="No"/>
    <n v="3.56"/>
    <n v="125"/>
    <n v="40000"/>
    <x v="1"/>
    <x v="0"/>
    <n v="45"/>
  </r>
  <r>
    <x v="2"/>
    <x v="0"/>
    <n v="22"/>
    <n v="2018"/>
    <x v="0"/>
    <n v="8"/>
    <x v="1"/>
    <s v="No"/>
    <x v="6"/>
    <n v="7"/>
    <x v="1"/>
    <x v="0"/>
    <s v="No"/>
    <x v="4"/>
    <x v="0"/>
    <x v="0"/>
    <s v="No"/>
    <s v="No"/>
    <x v="0"/>
    <s v="Software Development"/>
    <n v="5"/>
    <x v="2"/>
    <s v="Single"/>
    <x v="1"/>
    <s v="Bachelor"/>
    <x v="1"/>
    <n v="3.48"/>
    <s v="No"/>
    <n v="3.35"/>
    <n v="75"/>
    <n v="40000"/>
    <x v="0"/>
    <x v="0"/>
    <n v="75"/>
  </r>
  <r>
    <x v="4"/>
    <x v="0"/>
    <n v="22"/>
    <n v="2018"/>
    <x v="0"/>
    <n v="11"/>
    <x v="1"/>
    <s v="No"/>
    <x v="0"/>
    <n v="2"/>
    <x v="0"/>
    <x v="0"/>
    <s v="Yes"/>
    <x v="12"/>
    <x v="1"/>
    <x v="0"/>
    <s v="No"/>
    <s v="No"/>
    <x v="0"/>
    <s v="Software Development"/>
    <n v="1"/>
    <x v="5"/>
    <s v="Single"/>
    <x v="1"/>
    <s v="Bachelor"/>
    <x v="0"/>
    <n v="2.65"/>
    <s v="No"/>
    <n v="2.99"/>
    <n v="121"/>
    <n v="50000"/>
    <x v="0"/>
    <x v="0"/>
    <n v="48"/>
  </r>
  <r>
    <x v="4"/>
    <x v="0"/>
    <n v="22"/>
    <n v="2018"/>
    <x v="0"/>
    <n v="11"/>
    <x v="1"/>
    <s v="Yes"/>
    <x v="4"/>
    <n v="3"/>
    <x v="1"/>
    <x v="0"/>
    <s v="Yes"/>
    <x v="2"/>
    <x v="0"/>
    <x v="5"/>
    <s v="No"/>
    <s v="No"/>
    <x v="0"/>
    <s v="Software Development"/>
    <n v="5"/>
    <x v="2"/>
    <s v="Relationship"/>
    <x v="0"/>
    <s v="Bachelor"/>
    <x v="0"/>
    <n v="3.72"/>
    <s v="No"/>
    <n v="3.42"/>
    <n v="131"/>
    <n v="62488"/>
    <x v="0"/>
    <x v="0"/>
    <n v="73"/>
  </r>
  <r>
    <x v="1"/>
    <x v="0"/>
    <n v="23"/>
    <n v="2018"/>
    <x v="0"/>
    <n v="2"/>
    <x v="0"/>
    <s v="No"/>
    <x v="0"/>
    <n v="2"/>
    <x v="1"/>
    <x v="0"/>
    <s v="No"/>
    <x v="1"/>
    <x v="1"/>
    <x v="9"/>
    <s v="Yes"/>
    <s v="No"/>
    <x v="0"/>
    <s v="Software Development"/>
    <n v="1"/>
    <x v="2"/>
    <s v="Single"/>
    <x v="1"/>
    <s v="Bachelor"/>
    <x v="0"/>
    <n v="1.96"/>
    <s v="No"/>
    <n v="1.96"/>
    <n v="11"/>
    <n v="62488"/>
    <x v="2"/>
    <x v="0"/>
    <n v="46"/>
  </r>
  <r>
    <x v="4"/>
    <x v="1"/>
    <n v="23"/>
    <n v="2017"/>
    <x v="0"/>
    <n v="10"/>
    <x v="0"/>
    <s v="Yes"/>
    <x v="2"/>
    <n v="2"/>
    <x v="0"/>
    <x v="0"/>
    <s v="Yes"/>
    <x v="3"/>
    <x v="2"/>
    <x v="4"/>
    <s v="No"/>
    <s v="No"/>
    <x v="0"/>
    <s v="Networking"/>
    <n v="2"/>
    <x v="4"/>
    <s v="Married"/>
    <x v="0"/>
    <s v="Family"/>
    <x v="0"/>
    <n v="3.38"/>
    <s v="No"/>
    <n v="3.6"/>
    <n v="120"/>
    <n v="50000"/>
    <x v="1"/>
    <x v="0"/>
    <n v="50"/>
  </r>
  <r>
    <x v="0"/>
    <x v="0"/>
    <n v="23"/>
    <n v="2017"/>
    <x v="0"/>
    <n v="14"/>
    <x v="1"/>
    <s v="Yes"/>
    <x v="7"/>
    <n v="2"/>
    <x v="1"/>
    <x v="0"/>
    <s v="Yes"/>
    <x v="2"/>
    <x v="0"/>
    <x v="2"/>
    <s v="Yes"/>
    <s v="No"/>
    <x v="1"/>
    <s v="Software Development"/>
    <n v="2"/>
    <x v="2"/>
    <s v="Relationship"/>
    <x v="0"/>
    <s v="Family"/>
    <x v="0"/>
    <n v="2.8"/>
    <s v="No"/>
    <n v="2.8"/>
    <n v="130"/>
    <n v="18000"/>
    <x v="0"/>
    <x v="0"/>
    <n v="59"/>
  </r>
  <r>
    <x v="4"/>
    <x v="1"/>
    <n v="21"/>
    <n v="2018"/>
    <x v="0"/>
    <n v="9"/>
    <x v="1"/>
    <s v="No"/>
    <x v="3"/>
    <n v="2"/>
    <x v="1"/>
    <x v="0"/>
    <s v="Yes"/>
    <x v="4"/>
    <x v="0"/>
    <x v="5"/>
    <s v="No"/>
    <s v="No"/>
    <x v="0"/>
    <s v="Software Development"/>
    <n v="2"/>
    <x v="2"/>
    <s v="Single"/>
    <x v="1"/>
    <s v="Family"/>
    <x v="1"/>
    <n v="3.36"/>
    <s v="No"/>
    <n v="3.59"/>
    <n v="100"/>
    <n v="40000"/>
    <x v="1"/>
    <x v="0"/>
    <n v="61"/>
  </r>
  <r>
    <x v="2"/>
    <x v="0"/>
    <n v="22"/>
    <n v="2028"/>
    <x v="0"/>
    <n v="8"/>
    <x v="1"/>
    <s v="No"/>
    <x v="2"/>
    <n v="2"/>
    <x v="0"/>
    <x v="0"/>
    <s v="Yes"/>
    <x v="4"/>
    <x v="0"/>
    <x v="9"/>
    <s v="No"/>
    <s v="No"/>
    <x v="0"/>
    <s v="Software Development"/>
    <n v="1"/>
    <x v="2"/>
    <s v="Single"/>
    <x v="1"/>
    <s v="Bachelor"/>
    <x v="0"/>
    <n v="3.33"/>
    <s v="No"/>
    <n v="3.1"/>
    <n v="80"/>
    <n v="62488"/>
    <x v="0"/>
    <x v="0"/>
    <n v="43"/>
  </r>
  <r>
    <x v="5"/>
    <x v="0"/>
    <n v="25"/>
    <n v="2016"/>
    <x v="0"/>
    <n v="15"/>
    <x v="1"/>
    <s v="No"/>
    <x v="1"/>
    <n v="1"/>
    <x v="1"/>
    <x v="0"/>
    <s v="Yes"/>
    <x v="2"/>
    <x v="0"/>
    <x v="0"/>
    <s v="Yes"/>
    <s v="No"/>
    <x v="0"/>
    <s v="Networking, MIS"/>
    <n v="2"/>
    <x v="6"/>
    <s v="Single"/>
    <x v="0"/>
    <s v="Family"/>
    <x v="1"/>
    <n v="2.11"/>
    <s v="Yes"/>
    <n v="2.54"/>
    <n v="126"/>
    <n v="80000"/>
    <x v="0"/>
    <x v="0"/>
    <n v="45"/>
  </r>
  <r>
    <x v="1"/>
    <x v="0"/>
    <n v="21"/>
    <n v="2020"/>
    <x v="0"/>
    <n v="4"/>
    <x v="1"/>
    <s v="No"/>
    <x v="1"/>
    <n v="1"/>
    <x v="0"/>
    <x v="0"/>
    <s v="Yes"/>
    <x v="5"/>
    <x v="1"/>
    <x v="20"/>
    <s v="No"/>
    <s v="No"/>
    <x v="0"/>
    <s v="Software Development"/>
    <n v="1"/>
    <x v="2"/>
    <s v="Single"/>
    <x v="1"/>
    <s v="Family"/>
    <x v="1"/>
    <n v="2.83"/>
    <s v="No"/>
    <n v="3.05"/>
    <n v="37"/>
    <n v="20000"/>
    <x v="0"/>
    <x v="0"/>
    <n v="26.8"/>
  </r>
  <r>
    <x v="1"/>
    <x v="0"/>
    <n v="21"/>
    <n v="2019"/>
    <x v="0"/>
    <n v="4"/>
    <x v="0"/>
    <s v="Yes"/>
    <x v="0"/>
    <n v="2"/>
    <x v="1"/>
    <x v="0"/>
    <s v="Yes"/>
    <x v="4"/>
    <x v="0"/>
    <x v="3"/>
    <s v="Yes"/>
    <s v="No"/>
    <x v="1"/>
    <s v="Software Development"/>
    <n v="2"/>
    <x v="2"/>
    <s v="Single"/>
    <x v="0"/>
    <s v="Family"/>
    <x v="0"/>
    <n v="2.2000000000000002"/>
    <s v="No"/>
    <n v="2.2000000000000002"/>
    <n v="30"/>
    <n v="62488"/>
    <x v="2"/>
    <x v="0"/>
    <n v="50.2"/>
  </r>
  <r>
    <x v="4"/>
    <x v="0"/>
    <n v="23"/>
    <n v="2018"/>
    <x v="0"/>
    <n v="11"/>
    <x v="1"/>
    <s v="Yes"/>
    <x v="4"/>
    <n v="3"/>
    <x v="0"/>
    <x v="0"/>
    <s v="Yes"/>
    <x v="5"/>
    <x v="0"/>
    <x v="8"/>
    <s v="No"/>
    <s v="No"/>
    <x v="0"/>
    <s v="Software Development"/>
    <n v="3"/>
    <x v="2"/>
    <s v="Single"/>
    <x v="0"/>
    <s v="Family"/>
    <x v="0"/>
    <n v="3.2"/>
    <s v="No"/>
    <n v="3.22"/>
    <n v="110"/>
    <n v="50000"/>
    <x v="0"/>
    <x v="0"/>
    <n v="66.2"/>
  </r>
  <r>
    <x v="4"/>
    <x v="0"/>
    <n v="26"/>
    <n v="2014"/>
    <x v="0"/>
    <n v="10"/>
    <x v="1"/>
    <s v="No"/>
    <x v="5"/>
    <n v="2"/>
    <x v="0"/>
    <x v="0"/>
    <s v="Yes"/>
    <x v="3"/>
    <x v="0"/>
    <x v="7"/>
    <s v="Yes"/>
    <s v="No"/>
    <x v="0"/>
    <s v="Software Development"/>
    <n v="2"/>
    <x v="2"/>
    <s v="Single"/>
    <x v="0"/>
    <s v="Bachelor"/>
    <x v="0"/>
    <n v="2.81"/>
    <s v="No"/>
    <n v="3.2"/>
    <n v="104"/>
    <n v="12000"/>
    <x v="0"/>
    <x v="0"/>
    <n v="46"/>
  </r>
  <r>
    <x v="3"/>
    <x v="0"/>
    <n v="20"/>
    <n v="2020"/>
    <x v="0"/>
    <n v="2"/>
    <x v="1"/>
    <s v="No"/>
    <x v="3"/>
    <n v="3"/>
    <x v="0"/>
    <x v="1"/>
    <s v="Yes"/>
    <x v="2"/>
    <x v="1"/>
    <x v="5"/>
    <s v="No"/>
    <s v="No"/>
    <x v="1"/>
    <s v="Software Development"/>
    <n v="5"/>
    <x v="2"/>
    <s v="Single"/>
    <x v="0"/>
    <s v="Bachelor"/>
    <x v="0"/>
    <n v="3.48"/>
    <s v="No"/>
    <n v="3.48"/>
    <n v="11"/>
    <n v="20000"/>
    <x v="0"/>
    <x v="0"/>
    <n v="70"/>
  </r>
  <r>
    <x v="3"/>
    <x v="1"/>
    <n v="20"/>
    <n v="2020"/>
    <x v="0"/>
    <n v="2"/>
    <x v="0"/>
    <s v="No"/>
    <x v="3"/>
    <n v="1"/>
    <x v="0"/>
    <x v="0"/>
    <s v="Yes"/>
    <x v="5"/>
    <x v="0"/>
    <x v="0"/>
    <s v="No"/>
    <s v="No"/>
    <x v="1"/>
    <s v="Software Development"/>
    <n v="5"/>
    <x v="2"/>
    <s v="Single"/>
    <x v="1"/>
    <s v="Family"/>
    <x v="1"/>
    <n v="4"/>
    <s v="No"/>
    <n v="0"/>
    <n v="11"/>
    <n v="50000"/>
    <x v="2"/>
    <x v="0"/>
    <n v="66"/>
  </r>
  <r>
    <x v="3"/>
    <x v="0"/>
    <n v="20"/>
    <n v="2020"/>
    <x v="0"/>
    <n v="1"/>
    <x v="0"/>
    <s v="Yes"/>
    <x v="2"/>
    <n v="7"/>
    <x v="0"/>
    <x v="0"/>
    <s v="Yes"/>
    <x v="5"/>
    <x v="1"/>
    <x v="5"/>
    <s v="Yes"/>
    <s v="No"/>
    <x v="1"/>
    <s v="Software Development"/>
    <n v="4"/>
    <x v="2"/>
    <s v="Single"/>
    <x v="1"/>
    <s v="Family"/>
    <x v="0"/>
    <n v="4"/>
    <s v="No"/>
    <n v="4"/>
    <n v="14"/>
    <n v="62488"/>
    <x v="1"/>
    <x v="0"/>
    <n v="58"/>
  </r>
  <r>
    <x v="4"/>
    <x v="0"/>
    <n v="23"/>
    <n v="2017"/>
    <x v="0"/>
    <n v="9"/>
    <x v="0"/>
    <s v="Yes"/>
    <x v="5"/>
    <n v="2"/>
    <x v="0"/>
    <x v="0"/>
    <s v="Yes"/>
    <x v="5"/>
    <x v="0"/>
    <x v="0"/>
    <s v="No"/>
    <s v="No"/>
    <x v="1"/>
    <s v="Software Development"/>
    <n v="1"/>
    <x v="5"/>
    <s v="Single"/>
    <x v="1"/>
    <s v="Bachelor"/>
    <x v="0"/>
    <n v="3.7"/>
    <s v="No"/>
    <n v="3.5"/>
    <n v="89"/>
    <n v="50000"/>
    <x v="1"/>
    <x v="0"/>
    <n v="51"/>
  </r>
  <r>
    <x v="3"/>
    <x v="0"/>
    <n v="20"/>
    <n v="2020"/>
    <x v="0"/>
    <n v="1"/>
    <x v="0"/>
    <s v="Yes"/>
    <x v="0"/>
    <n v="1"/>
    <x v="0"/>
    <x v="0"/>
    <s v="No"/>
    <x v="5"/>
    <x v="1"/>
    <x v="5"/>
    <s v="No"/>
    <s v="No"/>
    <x v="0"/>
    <s v="Software Development"/>
    <n v="0"/>
    <x v="2"/>
    <s v="Relationship"/>
    <x v="0"/>
    <s v="Family"/>
    <x v="0"/>
    <n v="0"/>
    <s v="No"/>
    <n v="0"/>
    <n v="11"/>
    <n v="25000"/>
    <x v="2"/>
    <x v="0"/>
    <n v="49"/>
  </r>
  <r>
    <x v="3"/>
    <x v="1"/>
    <n v="21"/>
    <n v="2019"/>
    <x v="0"/>
    <n v="2"/>
    <x v="0"/>
    <s v="Yes"/>
    <x v="5"/>
    <n v="3"/>
    <x v="0"/>
    <x v="0"/>
    <s v="Yes"/>
    <x v="0"/>
    <x v="0"/>
    <x v="0"/>
    <s v="No"/>
    <s v="No"/>
    <x v="1"/>
    <s v="Software Development"/>
    <n v="3"/>
    <x v="2"/>
    <s v="Single"/>
    <x v="1"/>
    <s v="Family"/>
    <x v="0"/>
    <n v="3.68"/>
    <s v="No"/>
    <n v="0"/>
    <n v="11"/>
    <n v="25000"/>
    <x v="2"/>
    <x v="0"/>
    <n v="57"/>
  </r>
  <r>
    <x v="3"/>
    <x v="0"/>
    <n v="21"/>
    <n v="2020"/>
    <x v="0"/>
    <n v="1"/>
    <x v="0"/>
    <s v="No"/>
    <x v="3"/>
    <n v="2"/>
    <x v="0"/>
    <x v="0"/>
    <s v="Yes"/>
    <x v="2"/>
    <x v="0"/>
    <x v="4"/>
    <s v="No"/>
    <s v="No"/>
    <x v="1"/>
    <s v="Software Development"/>
    <n v="2"/>
    <x v="2"/>
    <s v="Single"/>
    <x v="1"/>
    <s v="Bachelor"/>
    <x v="0"/>
    <n v="3.3"/>
    <s v="No"/>
    <n v="3.3"/>
    <n v="11"/>
    <n v="50000"/>
    <x v="0"/>
    <x v="0"/>
    <n v="59"/>
  </r>
  <r>
    <x v="0"/>
    <x v="0"/>
    <n v="22"/>
    <n v="2016"/>
    <x v="0"/>
    <n v="12"/>
    <x v="1"/>
    <s v="No"/>
    <x v="5"/>
    <n v="2"/>
    <x v="1"/>
    <x v="0"/>
    <s v="Yes"/>
    <x v="2"/>
    <x v="0"/>
    <x v="3"/>
    <s v="No"/>
    <s v="No"/>
    <x v="0"/>
    <s v="Cyber security"/>
    <n v="6"/>
    <x v="6"/>
    <s v="Single"/>
    <x v="0"/>
    <s v="Bachelor"/>
    <x v="0"/>
    <n v="3.85"/>
    <s v="No"/>
    <n v="3.1"/>
    <n v="115"/>
    <n v="62488"/>
    <x v="0"/>
    <x v="0"/>
    <n v="65.2"/>
  </r>
  <r>
    <x v="4"/>
    <x v="0"/>
    <n v="21"/>
    <n v="2018"/>
    <x v="0"/>
    <n v="11"/>
    <x v="0"/>
    <s v="No"/>
    <x v="2"/>
    <n v="2"/>
    <x v="1"/>
    <x v="0"/>
    <s v="Yes"/>
    <x v="1"/>
    <x v="0"/>
    <x v="0"/>
    <s v="No"/>
    <s v="No"/>
    <x v="0"/>
    <s v="Software Development"/>
    <n v="5"/>
    <x v="2"/>
    <s v="Single"/>
    <x v="1"/>
    <s v="Bachelor"/>
    <x v="0"/>
    <n v="4"/>
    <s v="No"/>
    <n v="3.78"/>
    <n v="120"/>
    <n v="50000"/>
    <x v="1"/>
    <x v="0"/>
    <n v="57"/>
  </r>
  <r>
    <x v="0"/>
    <x v="1"/>
    <n v="24"/>
    <n v="2018"/>
    <x v="0"/>
    <n v="12"/>
    <x v="1"/>
    <s v="No"/>
    <x v="5"/>
    <n v="2"/>
    <x v="0"/>
    <x v="0"/>
    <s v="Yes"/>
    <x v="3"/>
    <x v="0"/>
    <x v="6"/>
    <s v="No"/>
    <s v="No"/>
    <x v="1"/>
    <s v="Software Development"/>
    <n v="2"/>
    <x v="5"/>
    <s v="Single"/>
    <x v="0"/>
    <s v="Family"/>
    <x v="0"/>
    <n v="2.98"/>
    <s v="No"/>
    <n v="2.91"/>
    <n v="136"/>
    <n v="20000"/>
    <x v="0"/>
    <x v="0"/>
    <n v="56.800000000000004"/>
  </r>
  <r>
    <x v="2"/>
    <x v="1"/>
    <n v="22"/>
    <n v="2018"/>
    <x v="0"/>
    <n v="8"/>
    <x v="0"/>
    <s v="Yes"/>
    <x v="3"/>
    <n v="3"/>
    <x v="0"/>
    <x v="0"/>
    <s v="Yes"/>
    <x v="8"/>
    <x v="2"/>
    <x v="5"/>
    <s v="No"/>
    <s v="No"/>
    <x v="1"/>
    <s v="Software Development"/>
    <n v="4"/>
    <x v="6"/>
    <s v="Single"/>
    <x v="0"/>
    <s v="Family"/>
    <x v="0"/>
    <n v="3.64"/>
    <s v="No"/>
    <n v="3.75"/>
    <n v="88"/>
    <n v="34000"/>
    <x v="1"/>
    <x v="0"/>
    <n v="67"/>
  </r>
  <r>
    <x v="3"/>
    <x v="1"/>
    <n v="19"/>
    <n v="2020"/>
    <x v="0"/>
    <n v="2"/>
    <x v="0"/>
    <s v="No"/>
    <x v="4"/>
    <n v="5"/>
    <x v="0"/>
    <x v="0"/>
    <s v="Yes"/>
    <x v="3"/>
    <x v="0"/>
    <x v="4"/>
    <s v="No"/>
    <s v="No"/>
    <x v="1"/>
    <s v="Software Development"/>
    <n v="2"/>
    <x v="2"/>
    <s v="Single"/>
    <x v="1"/>
    <s v="Bachelor"/>
    <x v="0"/>
    <n v="3.56"/>
    <s v="No"/>
    <n v="3.58"/>
    <n v="11"/>
    <n v="10000"/>
    <x v="1"/>
    <x v="0"/>
    <n v="62"/>
  </r>
  <r>
    <x v="4"/>
    <x v="0"/>
    <n v="23"/>
    <n v="2018"/>
    <x v="0"/>
    <n v="11"/>
    <x v="1"/>
    <s v="Yes"/>
    <x v="1"/>
    <n v="1"/>
    <x v="0"/>
    <x v="0"/>
    <s v="Yes"/>
    <x v="2"/>
    <x v="2"/>
    <x v="21"/>
    <s v="No"/>
    <s v="No"/>
    <x v="0"/>
    <s v="Digital Marketing"/>
    <n v="1"/>
    <x v="6"/>
    <s v="Relationship"/>
    <x v="1"/>
    <s v="Family"/>
    <x v="0"/>
    <n v="1.68"/>
    <s v="No"/>
    <n v="3.1"/>
    <n v="120"/>
    <n v="30000"/>
    <x v="0"/>
    <x v="0"/>
    <n v="32"/>
  </r>
  <r>
    <x v="3"/>
    <x v="0"/>
    <n v="20"/>
    <n v="2020"/>
    <x v="0"/>
    <n v="2"/>
    <x v="1"/>
    <s v="Yes"/>
    <x v="0"/>
    <n v="3"/>
    <x v="1"/>
    <x v="0"/>
    <s v="Yes"/>
    <x v="0"/>
    <x v="1"/>
    <x v="2"/>
    <s v="No"/>
    <s v="No"/>
    <x v="1"/>
    <s v="Software Development"/>
    <n v="2"/>
    <x v="4"/>
    <s v="Single"/>
    <x v="1"/>
    <s v="Bachelor"/>
    <x v="0"/>
    <n v="2.54"/>
    <s v="No"/>
    <n v="2.54"/>
    <n v="11"/>
    <n v="40000"/>
    <x v="0"/>
    <x v="0"/>
    <n v="47"/>
  </r>
  <r>
    <x v="3"/>
    <x v="0"/>
    <n v="20"/>
    <n v="2020"/>
    <x v="0"/>
    <n v="2"/>
    <x v="1"/>
    <s v="No"/>
    <x v="7"/>
    <n v="3"/>
    <x v="0"/>
    <x v="0"/>
    <s v="Yes"/>
    <x v="3"/>
    <x v="1"/>
    <x v="4"/>
    <s v="No"/>
    <s v="No"/>
    <x v="1"/>
    <s v="Software Development"/>
    <n v="1"/>
    <x v="2"/>
    <s v="Single"/>
    <x v="1"/>
    <s v="Bachelor"/>
    <x v="0"/>
    <n v="3.9"/>
    <s v="No"/>
    <n v="3.9"/>
    <n v="11"/>
    <n v="50000"/>
    <x v="1"/>
    <x v="0"/>
    <n v="62"/>
  </r>
  <r>
    <x v="4"/>
    <x v="1"/>
    <n v="22"/>
    <n v="2019"/>
    <x v="0"/>
    <n v="9"/>
    <x v="0"/>
    <s v="Yes"/>
    <x v="4"/>
    <n v="3"/>
    <x v="0"/>
    <x v="0"/>
    <s v="Yes"/>
    <x v="1"/>
    <x v="1"/>
    <x v="0"/>
    <s v="No"/>
    <s v="No"/>
    <x v="0"/>
    <s v="Networking"/>
    <n v="1"/>
    <x v="4"/>
    <s v="Single"/>
    <x v="1"/>
    <s v="Family"/>
    <x v="0"/>
    <n v="3.84"/>
    <s v="No"/>
    <n v="3.77"/>
    <n v="99"/>
    <n v="60000"/>
    <x v="1"/>
    <x v="0"/>
    <n v="57"/>
  </r>
  <r>
    <x v="4"/>
    <x v="0"/>
    <n v="22"/>
    <n v="2018"/>
    <x v="0"/>
    <n v="10"/>
    <x v="0"/>
    <s v="Yes"/>
    <x v="1"/>
    <n v="2"/>
    <x v="0"/>
    <x v="0"/>
    <s v="Yes"/>
    <x v="3"/>
    <x v="0"/>
    <x v="7"/>
    <s v="No"/>
    <s v="No"/>
    <x v="0"/>
    <s v="Software Development"/>
    <n v="6"/>
    <x v="2"/>
    <s v="Single"/>
    <x v="0"/>
    <s v="Bachelor"/>
    <x v="1"/>
    <n v="3.68"/>
    <s v="No"/>
    <n v="3.39"/>
    <n v="117"/>
    <n v="16000"/>
    <x v="0"/>
    <x v="0"/>
    <n v="49"/>
  </r>
  <r>
    <x v="0"/>
    <x v="1"/>
    <n v="23"/>
    <n v="2016"/>
    <x v="0"/>
    <n v="9"/>
    <x v="0"/>
    <s v="Yes"/>
    <x v="2"/>
    <n v="1"/>
    <x v="0"/>
    <x v="0"/>
    <s v="Yes"/>
    <x v="2"/>
    <x v="2"/>
    <x v="4"/>
    <s v="No"/>
    <s v="No"/>
    <x v="1"/>
    <s v="Software Development"/>
    <n v="2"/>
    <x v="5"/>
    <s v="Single"/>
    <x v="1"/>
    <s v="Family"/>
    <x v="0"/>
    <n v="3.14"/>
    <s v="No"/>
    <n v="3.14"/>
    <n v="101"/>
    <n v="40000"/>
    <x v="0"/>
    <x v="0"/>
    <n v="50"/>
  </r>
  <r>
    <x v="4"/>
    <x v="0"/>
    <n v="23"/>
    <n v="2018"/>
    <x v="0"/>
    <n v="11"/>
    <x v="1"/>
    <s v="No"/>
    <x v="5"/>
    <n v="2"/>
    <x v="0"/>
    <x v="0"/>
    <s v="Yes"/>
    <x v="4"/>
    <x v="0"/>
    <x v="4"/>
    <s v="No"/>
    <s v="No"/>
    <x v="0"/>
    <s v="Software Development"/>
    <n v="1"/>
    <x v="4"/>
    <s v="Single"/>
    <x v="1"/>
    <s v="Bachelor"/>
    <x v="0"/>
    <n v="3.69"/>
    <s v="No"/>
    <n v="3.23"/>
    <n v="125"/>
    <n v="30000"/>
    <x v="0"/>
    <x v="0"/>
    <n v="53"/>
  </r>
  <r>
    <x v="5"/>
    <x v="0"/>
    <n v="26"/>
    <n v="2014"/>
    <x v="0"/>
    <n v="17"/>
    <x v="1"/>
    <s v="No"/>
    <x v="0"/>
    <n v="2"/>
    <x v="1"/>
    <x v="0"/>
    <s v="Yes"/>
    <x v="3"/>
    <x v="0"/>
    <x v="4"/>
    <s v="No"/>
    <s v="No"/>
    <x v="0"/>
    <s v="Software Development"/>
    <n v="6"/>
    <x v="2"/>
    <s v="Single"/>
    <x v="1"/>
    <s v="Bachelor"/>
    <x v="0"/>
    <n v="2.73"/>
    <s v="No"/>
    <n v="3.08"/>
    <n v="110"/>
    <n v="25000"/>
    <x v="0"/>
    <x v="0"/>
    <n v="65"/>
  </r>
  <r>
    <x v="4"/>
    <x v="0"/>
    <n v="24"/>
    <n v="2018"/>
    <x v="0"/>
    <n v="11"/>
    <x v="1"/>
    <s v="No"/>
    <x v="2"/>
    <n v="2"/>
    <x v="1"/>
    <x v="0"/>
    <s v="Yes"/>
    <x v="3"/>
    <x v="0"/>
    <x v="2"/>
    <s v="No"/>
    <s v="No"/>
    <x v="1"/>
    <s v="Software Development"/>
    <n v="4"/>
    <x v="2"/>
    <s v="Single"/>
    <x v="1"/>
    <s v="Bachelor"/>
    <x v="0"/>
    <n v="3.48"/>
    <s v="No"/>
    <n v="3"/>
    <n v="123"/>
    <n v="62488"/>
    <x v="0"/>
    <x v="0"/>
    <n v="50"/>
  </r>
  <r>
    <x v="3"/>
    <x v="0"/>
    <n v="20"/>
    <n v="2020"/>
    <x v="0"/>
    <n v="2"/>
    <x v="0"/>
    <s v="Yes"/>
    <x v="3"/>
    <n v="2"/>
    <x v="1"/>
    <x v="0"/>
    <s v="Yes"/>
    <x v="10"/>
    <x v="0"/>
    <x v="11"/>
    <s v="No"/>
    <s v="No"/>
    <x v="0"/>
    <s v="Software Development"/>
    <n v="2"/>
    <x v="2"/>
    <s v="Single"/>
    <x v="0"/>
    <s v="Family"/>
    <x v="0"/>
    <n v="2.61"/>
    <s v="No"/>
    <n v="2.61"/>
    <n v="11"/>
    <n v="40000"/>
    <x v="0"/>
    <x v="0"/>
    <n v="51"/>
  </r>
  <r>
    <x v="3"/>
    <x v="1"/>
    <n v="19"/>
    <n v="2020"/>
    <x v="0"/>
    <n v="1"/>
    <x v="1"/>
    <s v="No"/>
    <x v="7"/>
    <n v="2"/>
    <x v="0"/>
    <x v="0"/>
    <s v="Yes"/>
    <x v="2"/>
    <x v="0"/>
    <x v="5"/>
    <s v="No"/>
    <s v="No"/>
    <x v="0"/>
    <s v="Software Development"/>
    <n v="2"/>
    <x v="2"/>
    <s v="Single"/>
    <x v="0"/>
    <s v="Bachelor"/>
    <x v="0"/>
    <n v="0"/>
    <s v="No"/>
    <n v="0"/>
    <n v="0"/>
    <n v="70000"/>
    <x v="2"/>
    <x v="0"/>
    <n v="67"/>
  </r>
  <r>
    <x v="0"/>
    <x v="0"/>
    <n v="23"/>
    <n v="2018"/>
    <x v="0"/>
    <n v="12"/>
    <x v="1"/>
    <s v="No"/>
    <x v="1"/>
    <n v="1"/>
    <x v="0"/>
    <x v="0"/>
    <s v="Yes"/>
    <x v="2"/>
    <x v="0"/>
    <x v="3"/>
    <s v="Yes"/>
    <s v="No"/>
    <x v="0"/>
    <s v="Software Development"/>
    <n v="1"/>
    <x v="2"/>
    <s v="Single"/>
    <x v="0"/>
    <s v="Bachelor"/>
    <x v="0"/>
    <n v="2.8"/>
    <s v="No"/>
    <n v="2.68"/>
    <n v="84"/>
    <n v="50000"/>
    <x v="0"/>
    <x v="0"/>
    <n v="41.2"/>
  </r>
  <r>
    <x v="2"/>
    <x v="0"/>
    <n v="23"/>
    <n v="2019"/>
    <x v="0"/>
    <n v="7"/>
    <x v="1"/>
    <s v="No"/>
    <x v="1"/>
    <n v="3"/>
    <x v="0"/>
    <x v="0"/>
    <s v="Yes"/>
    <x v="3"/>
    <x v="1"/>
    <x v="0"/>
    <s v="Yes"/>
    <s v="No"/>
    <x v="0"/>
    <s v="Software Development"/>
    <n v="2"/>
    <x v="2"/>
    <s v="Single"/>
    <x v="1"/>
    <s v="Bachelor"/>
    <x v="0"/>
    <n v="1.52"/>
    <s v="No"/>
    <n v="2.15"/>
    <n v="70"/>
    <n v="36000"/>
    <x v="2"/>
    <x v="0"/>
    <n v="45"/>
  </r>
  <r>
    <x v="2"/>
    <x v="0"/>
    <n v="22"/>
    <n v="2019"/>
    <x v="0"/>
    <n v="8"/>
    <x v="1"/>
    <s v="No"/>
    <x v="2"/>
    <n v="1"/>
    <x v="0"/>
    <x v="0"/>
    <s v="Yes"/>
    <x v="1"/>
    <x v="0"/>
    <x v="9"/>
    <s v="No"/>
    <s v="No"/>
    <x v="0"/>
    <s v="Software Development"/>
    <n v="3"/>
    <x v="2"/>
    <s v="Single"/>
    <x v="0"/>
    <s v="Bachelor"/>
    <x v="0"/>
    <n v="3.12"/>
    <s v="No"/>
    <n v="3.08"/>
    <n v="83"/>
    <n v="30000"/>
    <x v="0"/>
    <x v="0"/>
    <n v="49"/>
  </r>
  <r>
    <x v="0"/>
    <x v="0"/>
    <n v="24"/>
    <n v="2017"/>
    <x v="0"/>
    <n v="12"/>
    <x v="1"/>
    <s v="No"/>
    <x v="3"/>
    <n v="2"/>
    <x v="0"/>
    <x v="0"/>
    <s v="Yes"/>
    <x v="3"/>
    <x v="0"/>
    <x v="0"/>
    <s v="No"/>
    <s v="No"/>
    <x v="0"/>
    <s v="Networking"/>
    <n v="3"/>
    <x v="4"/>
    <s v="Relationship"/>
    <x v="1"/>
    <s v="Family"/>
    <x v="0"/>
    <n v="3.68"/>
    <s v="No"/>
    <n v="3.33"/>
    <n v="118"/>
    <n v="20000"/>
    <x v="0"/>
    <x v="0"/>
    <n v="60"/>
  </r>
  <r>
    <x v="4"/>
    <x v="0"/>
    <n v="24"/>
    <n v="2018"/>
    <x v="0"/>
    <n v="11"/>
    <x v="0"/>
    <s v="No"/>
    <x v="5"/>
    <n v="2"/>
    <x v="1"/>
    <x v="0"/>
    <s v="No"/>
    <x v="3"/>
    <x v="0"/>
    <x v="9"/>
    <s v="Yes"/>
    <s v="Yes"/>
    <x v="0"/>
    <s v="Software Development, Networking"/>
    <n v="1"/>
    <x v="4"/>
    <s v="Single"/>
    <x v="1"/>
    <s v="Family"/>
    <x v="0"/>
    <n v="2.25"/>
    <s v="No"/>
    <n v="2.64"/>
    <n v="103"/>
    <n v="20000"/>
    <x v="0"/>
    <x v="0"/>
    <n v="49"/>
  </r>
  <r>
    <x v="4"/>
    <x v="0"/>
    <n v="22"/>
    <n v="2018"/>
    <x v="0"/>
    <n v="11"/>
    <x v="0"/>
    <s v="No"/>
    <x v="1"/>
    <n v="2"/>
    <x v="1"/>
    <x v="0"/>
    <s v="Yes"/>
    <x v="3"/>
    <x v="0"/>
    <x v="0"/>
    <s v="No"/>
    <s v="No"/>
    <x v="0"/>
    <s v="Software Development"/>
    <n v="1"/>
    <x v="2"/>
    <s v="Relationship"/>
    <x v="1"/>
    <s v="Family"/>
    <x v="0"/>
    <n v="3.5"/>
    <s v="No"/>
    <n v="3.43"/>
    <n v="126"/>
    <n v="100000"/>
    <x v="0"/>
    <x v="0"/>
    <n v="42"/>
  </r>
  <r>
    <x v="3"/>
    <x v="1"/>
    <n v="20"/>
    <n v="2020"/>
    <x v="0"/>
    <n v="1"/>
    <x v="0"/>
    <s v="Yes"/>
    <x v="4"/>
    <n v="2"/>
    <x v="0"/>
    <x v="1"/>
    <s v="No"/>
    <x v="3"/>
    <x v="1"/>
    <x v="5"/>
    <s v="No"/>
    <s v="No"/>
    <x v="0"/>
    <s v="Software Development"/>
    <n v="3"/>
    <x v="2"/>
    <s v="Single"/>
    <x v="1"/>
    <s v="Family"/>
    <x v="0"/>
    <n v="0"/>
    <s v="No"/>
    <n v="0"/>
    <n v="0"/>
    <n v="50000"/>
    <x v="2"/>
    <x v="0"/>
    <n v="67"/>
  </r>
  <r>
    <x v="2"/>
    <x v="0"/>
    <n v="19"/>
    <n v="2019"/>
    <x v="0"/>
    <n v="8"/>
    <x v="0"/>
    <s v="No"/>
    <x v="2"/>
    <n v="1"/>
    <x v="1"/>
    <x v="0"/>
    <s v="Yes"/>
    <x v="3"/>
    <x v="1"/>
    <x v="0"/>
    <s v="No"/>
    <s v="No"/>
    <x v="1"/>
    <s v="Software Development"/>
    <n v="2"/>
    <x v="2"/>
    <s v="Single"/>
    <x v="1"/>
    <s v="Bachelor"/>
    <x v="0"/>
    <n v="3.36"/>
    <s v="No"/>
    <n v="3.72"/>
    <n v="88"/>
    <n v="20000"/>
    <x v="1"/>
    <x v="0"/>
    <n v="48"/>
  </r>
  <r>
    <x v="3"/>
    <x v="0"/>
    <n v="20"/>
    <n v="2020"/>
    <x v="0"/>
    <n v="2"/>
    <x v="0"/>
    <s v="No"/>
    <x v="1"/>
    <n v="1"/>
    <x v="0"/>
    <x v="0"/>
    <s v="Yes"/>
    <x v="4"/>
    <x v="0"/>
    <x v="10"/>
    <s v="No"/>
    <s v="No"/>
    <x v="1"/>
    <s v="Software Development"/>
    <n v="2"/>
    <x v="2"/>
    <s v="Single"/>
    <x v="1"/>
    <s v="Family"/>
    <x v="0"/>
    <n v="3.83"/>
    <s v="No"/>
    <n v="3.83"/>
    <n v="11"/>
    <n v="35000"/>
    <x v="1"/>
    <x v="0"/>
    <n v="48.6"/>
  </r>
  <r>
    <x v="4"/>
    <x v="0"/>
    <n v="22"/>
    <n v="2018"/>
    <x v="0"/>
    <n v="10"/>
    <x v="1"/>
    <s v="Yes"/>
    <x v="5"/>
    <n v="2"/>
    <x v="1"/>
    <x v="0"/>
    <s v="Yes"/>
    <x v="3"/>
    <x v="0"/>
    <x v="0"/>
    <s v="No"/>
    <s v="No"/>
    <x v="0"/>
    <s v="Software Development"/>
    <n v="4"/>
    <x v="2"/>
    <s v="Single"/>
    <x v="1"/>
    <s v="Family"/>
    <x v="0"/>
    <n v="1.98"/>
    <s v="No"/>
    <n v="2.98"/>
    <n v="104"/>
    <n v="25000"/>
    <x v="0"/>
    <x v="0"/>
    <n v="60"/>
  </r>
  <r>
    <x v="1"/>
    <x v="1"/>
    <n v="19"/>
    <n v="2020"/>
    <x v="0"/>
    <n v="2"/>
    <x v="1"/>
    <s v="Yes"/>
    <x v="0"/>
    <n v="2"/>
    <x v="0"/>
    <x v="0"/>
    <s v="Yes"/>
    <x v="2"/>
    <x v="0"/>
    <x v="8"/>
    <s v="No"/>
    <s v="No"/>
    <x v="1"/>
    <s v="Software Development"/>
    <n v="2"/>
    <x v="2"/>
    <s v="Single"/>
    <x v="1"/>
    <s v="Family"/>
    <x v="1"/>
    <n v="3.37"/>
    <s v="Yes"/>
    <n v="3.37"/>
    <n v="11"/>
    <n v="62488"/>
    <x v="0"/>
    <x v="0"/>
    <n v="54.2"/>
  </r>
  <r>
    <x v="3"/>
    <x v="0"/>
    <n v="21"/>
    <n v="2021"/>
    <x v="0"/>
    <n v="1"/>
    <x v="0"/>
    <s v="Yes"/>
    <x v="0"/>
    <n v="2"/>
    <x v="1"/>
    <x v="0"/>
    <s v="Yes"/>
    <x v="1"/>
    <x v="2"/>
    <x v="3"/>
    <s v="No"/>
    <s v="No"/>
    <x v="0"/>
    <s v="Networking"/>
    <n v="1"/>
    <x v="2"/>
    <s v="Single"/>
    <x v="0"/>
    <s v="Family"/>
    <x v="0"/>
    <n v="3.15"/>
    <s v="No"/>
    <n v="3.15"/>
    <n v="11"/>
    <n v="62488"/>
    <x v="0"/>
    <x v="0"/>
    <n v="47.2"/>
  </r>
  <r>
    <x v="3"/>
    <x v="0"/>
    <n v="19"/>
    <n v="2020"/>
    <x v="0"/>
    <n v="1"/>
    <x v="0"/>
    <s v="No"/>
    <x v="3"/>
    <n v="3"/>
    <x v="0"/>
    <x v="0"/>
    <s v="No"/>
    <x v="1"/>
    <x v="1"/>
    <x v="3"/>
    <s v="No"/>
    <s v="No"/>
    <x v="1"/>
    <s v="Software Development"/>
    <n v="2"/>
    <x v="2"/>
    <s v="Single"/>
    <x v="1"/>
    <s v="Family"/>
    <x v="0"/>
    <n v="0"/>
    <s v="No"/>
    <n v="0"/>
    <n v="0"/>
    <n v="30000"/>
    <x v="2"/>
    <x v="0"/>
    <n v="56.2"/>
  </r>
  <r>
    <x v="3"/>
    <x v="0"/>
    <n v="20"/>
    <n v="2021"/>
    <x v="0"/>
    <n v="1"/>
    <x v="0"/>
    <s v="Yes"/>
    <x v="1"/>
    <n v="1"/>
    <x v="0"/>
    <x v="0"/>
    <s v="Yes"/>
    <x v="3"/>
    <x v="0"/>
    <x v="5"/>
    <s v="No"/>
    <s v="No"/>
    <x v="1"/>
    <s v="Networking"/>
    <n v="2"/>
    <x v="2"/>
    <s v="Single"/>
    <x v="0"/>
    <s v="Family"/>
    <x v="0"/>
    <n v="0"/>
    <s v="No"/>
    <n v="0"/>
    <n v="0"/>
    <n v="150000"/>
    <x v="2"/>
    <x v="0"/>
    <n v="49"/>
  </r>
  <r>
    <x v="3"/>
    <x v="1"/>
    <n v="20"/>
    <n v="2020"/>
    <x v="0"/>
    <n v="1"/>
    <x v="0"/>
    <s v="No"/>
    <x v="5"/>
    <n v="2"/>
    <x v="0"/>
    <x v="0"/>
    <s v="Yes"/>
    <x v="1"/>
    <x v="0"/>
    <x v="8"/>
    <s v="No"/>
    <s v="No"/>
    <x v="0"/>
    <s v="Networking"/>
    <n v="2"/>
    <x v="4"/>
    <s v="Single"/>
    <x v="0"/>
    <s v="Family"/>
    <x v="0"/>
    <n v="0"/>
    <s v="No"/>
    <n v="0"/>
    <n v="0"/>
    <n v="50000"/>
    <x v="2"/>
    <x v="0"/>
    <n v="57.2"/>
  </r>
  <r>
    <x v="5"/>
    <x v="1"/>
    <n v="23"/>
    <n v="2016"/>
    <x v="0"/>
    <n v="14"/>
    <x v="1"/>
    <s v="No"/>
    <x v="0"/>
    <n v="2"/>
    <x v="1"/>
    <x v="0"/>
    <s v="Yes"/>
    <x v="1"/>
    <x v="1"/>
    <x v="0"/>
    <s v="No"/>
    <s v="No"/>
    <x v="0"/>
    <s v="Software Development"/>
    <n v="2"/>
    <x v="2"/>
    <s v="Married"/>
    <x v="1"/>
    <s v="Family"/>
    <x v="0"/>
    <n v="2.79"/>
    <s v="No"/>
    <n v="2.84"/>
    <n v="133"/>
    <n v="30000"/>
    <x v="0"/>
    <x v="0"/>
    <n v="51"/>
  </r>
  <r>
    <x v="1"/>
    <x v="0"/>
    <n v="21"/>
    <n v="2019"/>
    <x v="0"/>
    <n v="3"/>
    <x v="0"/>
    <s v="No"/>
    <x v="3"/>
    <n v="3"/>
    <x v="0"/>
    <x v="0"/>
    <s v="Yes"/>
    <x v="2"/>
    <x v="0"/>
    <x v="4"/>
    <s v="No"/>
    <s v="No"/>
    <x v="0"/>
    <s v="Software Development"/>
    <n v="1"/>
    <x v="2"/>
    <s v="Single"/>
    <x v="0"/>
    <s v="Bachelor"/>
    <x v="0"/>
    <n v="3.52"/>
    <s v="No"/>
    <n v="3.65"/>
    <n v="23"/>
    <n v="62488"/>
    <x v="1"/>
    <x v="0"/>
    <n v="56"/>
  </r>
  <r>
    <x v="1"/>
    <x v="0"/>
    <n v="21"/>
    <n v="2020"/>
    <x v="0"/>
    <n v="3"/>
    <x v="0"/>
    <s v="Yes"/>
    <x v="1"/>
    <n v="2"/>
    <x v="1"/>
    <x v="0"/>
    <s v="Yes"/>
    <x v="2"/>
    <x v="0"/>
    <x v="0"/>
    <s v="No"/>
    <s v="No"/>
    <x v="0"/>
    <s v="Software Development"/>
    <n v="1"/>
    <x v="6"/>
    <s v="Single"/>
    <x v="1"/>
    <s v="Family"/>
    <x v="0"/>
    <n v="3.85"/>
    <s v="No"/>
    <n v="3.79"/>
    <n v="35"/>
    <n v="35000"/>
    <x v="1"/>
    <x v="0"/>
    <n v="42"/>
  </r>
  <r>
    <x v="4"/>
    <x v="1"/>
    <n v="23"/>
    <n v="2018"/>
    <x v="0"/>
    <n v="11"/>
    <x v="0"/>
    <s v="No"/>
    <x v="5"/>
    <n v="2"/>
    <x v="1"/>
    <x v="0"/>
    <s v="Yes"/>
    <x v="0"/>
    <x v="2"/>
    <x v="7"/>
    <s v="Yes"/>
    <s v="No"/>
    <x v="1"/>
    <s v="Cyber security"/>
    <n v="2"/>
    <x v="7"/>
    <s v="Married"/>
    <x v="0"/>
    <s v="Bachelor"/>
    <x v="1"/>
    <n v="3.01"/>
    <s v="No"/>
    <n v="2.89"/>
    <n v="120"/>
    <n v="90000"/>
    <x v="0"/>
    <x v="0"/>
    <n v="46"/>
  </r>
  <r>
    <x v="1"/>
    <x v="1"/>
    <n v="20"/>
    <n v="2020"/>
    <x v="0"/>
    <n v="3"/>
    <x v="0"/>
    <s v="No"/>
    <x v="0"/>
    <n v="2"/>
    <x v="0"/>
    <x v="0"/>
    <s v="Yes"/>
    <x v="2"/>
    <x v="2"/>
    <x v="0"/>
    <s v="No"/>
    <s v="No"/>
    <x v="0"/>
    <s v="Software Development"/>
    <n v="3"/>
    <x v="4"/>
    <s v="Relationship"/>
    <x v="1"/>
    <s v="Family"/>
    <x v="0"/>
    <n v="3.18"/>
    <s v="No"/>
    <n v="3.18"/>
    <n v="24"/>
    <n v="80000"/>
    <x v="0"/>
    <x v="0"/>
    <n v="54"/>
  </r>
  <r>
    <x v="1"/>
    <x v="0"/>
    <n v="19"/>
    <n v="2020"/>
    <x v="0"/>
    <n v="3"/>
    <x v="0"/>
    <s v="Yes"/>
    <x v="3"/>
    <n v="2"/>
    <x v="0"/>
    <x v="0"/>
    <s v="Yes"/>
    <x v="0"/>
    <x v="0"/>
    <x v="5"/>
    <s v="No"/>
    <s v="No"/>
    <x v="0"/>
    <s v="Software Development"/>
    <n v="3"/>
    <x v="2"/>
    <s v="Single"/>
    <x v="0"/>
    <s v="Bachelor"/>
    <x v="0"/>
    <n v="3.72"/>
    <s v="No"/>
    <n v="3.89"/>
    <n v="26"/>
    <n v="60000"/>
    <x v="1"/>
    <x v="0"/>
    <n v="64"/>
  </r>
  <r>
    <x v="1"/>
    <x v="1"/>
    <n v="21"/>
    <n v="2020"/>
    <x v="0"/>
    <n v="5"/>
    <x v="0"/>
    <s v="Yes"/>
    <x v="0"/>
    <n v="2"/>
    <x v="1"/>
    <x v="0"/>
    <s v="No"/>
    <x v="9"/>
    <x v="0"/>
    <x v="7"/>
    <s v="No"/>
    <s v="No"/>
    <x v="0"/>
    <s v="Software Development"/>
    <n v="3"/>
    <x v="2"/>
    <s v="Single"/>
    <x v="1"/>
    <s v="Family"/>
    <x v="1"/>
    <n v="2.8"/>
    <s v="No"/>
    <n v="2.9"/>
    <n v="40"/>
    <n v="500000"/>
    <x v="0"/>
    <x v="0"/>
    <n v="46"/>
  </r>
  <r>
    <x v="1"/>
    <x v="0"/>
    <n v="21"/>
    <n v="2020"/>
    <x v="0"/>
    <n v="3"/>
    <x v="0"/>
    <s v="No"/>
    <x v="2"/>
    <n v="2"/>
    <x v="1"/>
    <x v="0"/>
    <s v="Yes"/>
    <x v="1"/>
    <x v="1"/>
    <x v="0"/>
    <s v="No"/>
    <s v="No"/>
    <x v="0"/>
    <s v="Software Development"/>
    <n v="1"/>
    <x v="2"/>
    <s v="Single"/>
    <x v="1"/>
    <s v="Family"/>
    <x v="0"/>
    <n v="3.42"/>
    <s v="No"/>
    <n v="3.56"/>
    <n v="23"/>
    <n v="50000"/>
    <x v="1"/>
    <x v="0"/>
    <n v="45"/>
  </r>
  <r>
    <x v="1"/>
    <x v="0"/>
    <n v="20"/>
    <n v="2020"/>
    <x v="0"/>
    <n v="4"/>
    <x v="0"/>
    <s v="No"/>
    <x v="0"/>
    <n v="2"/>
    <x v="0"/>
    <x v="0"/>
    <s v="Yes"/>
    <x v="1"/>
    <x v="1"/>
    <x v="9"/>
    <s v="No"/>
    <s v="No"/>
    <x v="1"/>
    <s v="Software Development"/>
    <n v="2"/>
    <x v="2"/>
    <s v="Single"/>
    <x v="1"/>
    <s v="Bachelor"/>
    <x v="0"/>
    <n v="2.4900000000000002"/>
    <s v="No"/>
    <n v="3.03"/>
    <n v="25"/>
    <n v="40000"/>
    <x v="0"/>
    <x v="0"/>
    <n v="49"/>
  </r>
  <r>
    <x v="1"/>
    <x v="1"/>
    <n v="19"/>
    <n v="2020"/>
    <x v="0"/>
    <n v="3"/>
    <x v="1"/>
    <s v="Yes"/>
    <x v="2"/>
    <n v="1"/>
    <x v="0"/>
    <x v="0"/>
    <s v="Yes"/>
    <x v="1"/>
    <x v="0"/>
    <x v="4"/>
    <s v="No"/>
    <s v="No"/>
    <x v="0"/>
    <s v="Software Development"/>
    <n v="1"/>
    <x v="2"/>
    <s v="Single"/>
    <x v="1"/>
    <s v="Family"/>
    <x v="0"/>
    <n v="2.68"/>
    <s v="No"/>
    <n v="3.15"/>
    <n v="23"/>
    <n v="100000"/>
    <x v="0"/>
    <x v="0"/>
    <n v="47"/>
  </r>
  <r>
    <x v="1"/>
    <x v="1"/>
    <n v="22"/>
    <n v="2017"/>
    <x v="0"/>
    <n v="5"/>
    <x v="0"/>
    <s v="Yes"/>
    <x v="0"/>
    <n v="2"/>
    <x v="0"/>
    <x v="0"/>
    <s v="Yes"/>
    <x v="2"/>
    <x v="0"/>
    <x v="0"/>
    <s v="No"/>
    <s v="No"/>
    <x v="0"/>
    <s v="Software Development"/>
    <n v="1"/>
    <x v="2"/>
    <s v="Single"/>
    <x v="1"/>
    <s v="Family"/>
    <x v="1"/>
    <n v="3.86"/>
    <s v="No"/>
    <n v="3.67"/>
    <n v="49"/>
    <n v="20000"/>
    <x v="1"/>
    <x v="0"/>
    <n v="48"/>
  </r>
  <r>
    <x v="3"/>
    <x v="0"/>
    <n v="20"/>
    <n v="2020"/>
    <x v="0"/>
    <n v="1"/>
    <x v="0"/>
    <s v="Yes"/>
    <x v="0"/>
    <n v="1"/>
    <x v="0"/>
    <x v="0"/>
    <s v="Yes"/>
    <x v="3"/>
    <x v="2"/>
    <x v="5"/>
    <s v="No"/>
    <s v="No"/>
    <x v="0"/>
    <s v="Software Development"/>
    <n v="1"/>
    <x v="2"/>
    <s v="Single"/>
    <x v="1"/>
    <s v="Family"/>
    <x v="0"/>
    <n v="0"/>
    <s v="No"/>
    <n v="0"/>
    <n v="0"/>
    <n v="30000"/>
    <x v="2"/>
    <x v="0"/>
    <n v="52"/>
  </r>
  <r>
    <x v="1"/>
    <x v="0"/>
    <n v="21"/>
    <n v="2020"/>
    <x v="0"/>
    <n v="5"/>
    <x v="0"/>
    <s v="Yes"/>
    <x v="4"/>
    <n v="3"/>
    <x v="1"/>
    <x v="0"/>
    <s v="Yes"/>
    <x v="2"/>
    <x v="0"/>
    <x v="0"/>
    <s v="No"/>
    <s v="No"/>
    <x v="1"/>
    <s v="Software Development"/>
    <n v="3"/>
    <x v="2"/>
    <s v="Single"/>
    <x v="0"/>
    <s v="Family"/>
    <x v="0"/>
    <n v="3.82"/>
    <s v="No"/>
    <n v="3.7"/>
    <n v="55"/>
    <n v="50000"/>
    <x v="1"/>
    <x v="0"/>
    <n v="63"/>
  </r>
  <r>
    <x v="1"/>
    <x v="0"/>
    <n v="21"/>
    <n v="2019"/>
    <x v="0"/>
    <n v="3"/>
    <x v="0"/>
    <s v="No"/>
    <x v="2"/>
    <n v="1"/>
    <x v="1"/>
    <x v="0"/>
    <s v="Yes"/>
    <x v="2"/>
    <x v="0"/>
    <x v="11"/>
    <s v="No"/>
    <s v="No"/>
    <x v="0"/>
    <s v="Software Development"/>
    <n v="1"/>
    <x v="2"/>
    <s v="Single"/>
    <x v="1"/>
    <s v="Family"/>
    <x v="0"/>
    <n v="3.58"/>
    <s v="No"/>
    <n v="3.1"/>
    <n v="23"/>
    <n v="40000"/>
    <x v="0"/>
    <x v="0"/>
    <n v="39"/>
  </r>
  <r>
    <x v="1"/>
    <x v="0"/>
    <n v="21"/>
    <n v="2020"/>
    <x v="0"/>
    <n v="5"/>
    <x v="1"/>
    <s v="No"/>
    <x v="3"/>
    <n v="2"/>
    <x v="0"/>
    <x v="0"/>
    <s v="Yes"/>
    <x v="2"/>
    <x v="0"/>
    <x v="8"/>
    <s v="No"/>
    <s v="No"/>
    <x v="0"/>
    <s v="Software Development"/>
    <n v="2"/>
    <x v="2"/>
    <s v="Single"/>
    <x v="1"/>
    <s v="Bachelor"/>
    <x v="0"/>
    <n v="2.57"/>
    <s v="No"/>
    <n v="2.8"/>
    <n v="45"/>
    <n v="30000"/>
    <x v="0"/>
    <x v="0"/>
    <n v="60.2"/>
  </r>
  <r>
    <x v="1"/>
    <x v="0"/>
    <n v="22"/>
    <n v="2020"/>
    <x v="0"/>
    <n v="3"/>
    <x v="0"/>
    <s v="No"/>
    <x v="3"/>
    <n v="2"/>
    <x v="0"/>
    <x v="0"/>
    <s v="Yes"/>
    <x v="2"/>
    <x v="2"/>
    <x v="4"/>
    <s v="No"/>
    <s v="No"/>
    <x v="0"/>
    <s v="Software Development, Mentoring"/>
    <n v="3"/>
    <x v="2"/>
    <s v="Single"/>
    <x v="0"/>
    <s v="Bachelor"/>
    <x v="1"/>
    <n v="3.86"/>
    <s v="No"/>
    <n v="3.92"/>
    <n v="23"/>
    <n v="40000"/>
    <x v="1"/>
    <x v="0"/>
    <n v="62"/>
  </r>
  <r>
    <x v="3"/>
    <x v="0"/>
    <n v="22"/>
    <n v="2019"/>
    <x v="0"/>
    <n v="2"/>
    <x v="1"/>
    <s v="No"/>
    <x v="0"/>
    <n v="1"/>
    <x v="0"/>
    <x v="0"/>
    <s v="Yes"/>
    <x v="1"/>
    <x v="0"/>
    <x v="2"/>
    <s v="No"/>
    <s v="No"/>
    <x v="0"/>
    <s v="Software Development"/>
    <n v="1"/>
    <x v="2"/>
    <s v="Single"/>
    <x v="0"/>
    <s v="Bachelor"/>
    <x v="0"/>
    <n v="4"/>
    <s v="No"/>
    <n v="4"/>
    <n v="11"/>
    <n v="40000"/>
    <x v="1"/>
    <x v="0"/>
    <n v="44"/>
  </r>
  <r>
    <x v="3"/>
    <x v="1"/>
    <n v="20"/>
    <n v="2021"/>
    <x v="0"/>
    <n v="1"/>
    <x v="0"/>
    <s v="Yes"/>
    <x v="1"/>
    <n v="2"/>
    <x v="0"/>
    <x v="0"/>
    <s v="Yes"/>
    <x v="6"/>
    <x v="0"/>
    <x v="2"/>
    <s v="No"/>
    <s v="No"/>
    <x v="1"/>
    <s v="Not yet"/>
    <n v="0"/>
    <x v="3"/>
    <s v="Single"/>
    <x v="0"/>
    <s v="Family"/>
    <x v="0"/>
    <n v="0"/>
    <s v="No"/>
    <n v="0"/>
    <n v="0"/>
    <n v="60000"/>
    <x v="2"/>
    <x v="0"/>
    <n v="35"/>
  </r>
  <r>
    <x v="2"/>
    <x v="0"/>
    <n v="23"/>
    <n v="2018"/>
    <x v="0"/>
    <n v="6"/>
    <x v="1"/>
    <s v="No"/>
    <x v="1"/>
    <n v="2"/>
    <x v="1"/>
    <x v="0"/>
    <s v="Yes"/>
    <x v="2"/>
    <x v="0"/>
    <x v="0"/>
    <s v="Yes"/>
    <s v="No"/>
    <x v="1"/>
    <s v="Software Development"/>
    <n v="1"/>
    <x v="2"/>
    <s v="Single"/>
    <x v="0"/>
    <s v="Bachelor"/>
    <x v="0"/>
    <n v="3.1"/>
    <s v="No"/>
    <n v="3.4"/>
    <n v="65"/>
    <n v="40000"/>
    <x v="0"/>
    <x v="0"/>
    <n v="42"/>
  </r>
  <r>
    <x v="3"/>
    <x v="1"/>
    <n v="21"/>
    <n v="2020"/>
    <x v="0"/>
    <n v="1"/>
    <x v="1"/>
    <s v="No"/>
    <x v="4"/>
    <n v="3"/>
    <x v="0"/>
    <x v="0"/>
    <s v="Yes"/>
    <x v="4"/>
    <x v="2"/>
    <x v="5"/>
    <s v="No"/>
    <s v="No"/>
    <x v="0"/>
    <s v="Software Development"/>
    <n v="3"/>
    <x v="2"/>
    <s v="Single"/>
    <x v="0"/>
    <s v="Bachelor"/>
    <x v="0"/>
    <n v="0"/>
    <s v="No"/>
    <n v="0"/>
    <n v="0"/>
    <n v="40000"/>
    <x v="2"/>
    <x v="0"/>
    <n v="67"/>
  </r>
  <r>
    <x v="1"/>
    <x v="0"/>
    <n v="20"/>
    <n v="2020"/>
    <x v="0"/>
    <n v="3"/>
    <x v="0"/>
    <s v="No"/>
    <x v="1"/>
    <n v="2"/>
    <x v="0"/>
    <x v="0"/>
    <s v="Yes"/>
    <x v="3"/>
    <x v="1"/>
    <x v="4"/>
    <s v="No"/>
    <s v="No"/>
    <x v="0"/>
    <s v="Software Development"/>
    <n v="2"/>
    <x v="2"/>
    <s v="Single"/>
    <x v="1"/>
    <s v="Family"/>
    <x v="1"/>
    <n v="3.68"/>
    <s v="No"/>
    <n v="3.65"/>
    <n v="24"/>
    <n v="45000"/>
    <x v="1"/>
    <x v="0"/>
    <n v="47"/>
  </r>
  <r>
    <x v="3"/>
    <x v="1"/>
    <n v="21"/>
    <n v="2020"/>
    <x v="0"/>
    <n v="2"/>
    <x v="0"/>
    <s v="Yes"/>
    <x v="7"/>
    <n v="2"/>
    <x v="0"/>
    <x v="0"/>
    <s v="Yes"/>
    <x v="1"/>
    <x v="1"/>
    <x v="16"/>
    <s v="No"/>
    <s v="No"/>
    <x v="0"/>
    <s v="Software Development"/>
    <n v="0"/>
    <x v="2"/>
    <s v="Single"/>
    <x v="1"/>
    <s v="Family"/>
    <x v="0"/>
    <n v="3.4"/>
    <s v="No"/>
    <n v="3.4"/>
    <n v="11"/>
    <n v="40000"/>
    <x v="0"/>
    <x v="0"/>
    <n v="21.8"/>
  </r>
  <r>
    <x v="3"/>
    <x v="0"/>
    <n v="19"/>
    <n v="2020"/>
    <x v="0"/>
    <n v="1"/>
    <x v="0"/>
    <s v="No"/>
    <x v="6"/>
    <n v="2"/>
    <x v="0"/>
    <x v="0"/>
    <s v="Yes"/>
    <x v="2"/>
    <x v="1"/>
    <x v="5"/>
    <s v="No"/>
    <s v="No"/>
    <x v="0"/>
    <s v="Data entry"/>
    <n v="1"/>
    <x v="2"/>
    <s v="Single"/>
    <x v="0"/>
    <s v="Bachelor"/>
    <x v="0"/>
    <n v="0"/>
    <s v="No"/>
    <n v="0"/>
    <n v="0"/>
    <n v="10000"/>
    <x v="2"/>
    <x v="0"/>
    <n v="67"/>
  </r>
  <r>
    <x v="1"/>
    <x v="0"/>
    <n v="20"/>
    <n v="2020"/>
    <x v="0"/>
    <n v="3"/>
    <x v="0"/>
    <s v="Yes"/>
    <x v="0"/>
    <n v="2"/>
    <x v="0"/>
    <x v="0"/>
    <s v="Yes"/>
    <x v="2"/>
    <x v="2"/>
    <x v="7"/>
    <s v="No"/>
    <s v="No"/>
    <x v="0"/>
    <s v="Software Development"/>
    <n v="3"/>
    <x v="2"/>
    <s v="Single"/>
    <x v="1"/>
    <s v="Family"/>
    <x v="1"/>
    <n v="2.4500000000000002"/>
    <s v="No"/>
    <n v="2.95"/>
    <n v="25"/>
    <n v="50000"/>
    <x v="0"/>
    <x v="0"/>
    <n v="46"/>
  </r>
  <r>
    <x v="6"/>
    <x v="1"/>
    <n v="25"/>
    <n v="2015"/>
    <x v="0"/>
    <n v="14"/>
    <x v="1"/>
    <s v="Yes"/>
    <x v="2"/>
    <n v="1"/>
    <x v="0"/>
    <x v="0"/>
    <s v="Yes"/>
    <x v="1"/>
    <x v="0"/>
    <x v="2"/>
    <s v="Yes"/>
    <s v="No"/>
    <x v="0"/>
    <s v="Software Development"/>
    <n v="1"/>
    <x v="2"/>
    <s v="Married"/>
    <x v="1"/>
    <s v="Family"/>
    <x v="0"/>
    <n v="2.4"/>
    <s v="No"/>
    <n v="2.89"/>
    <n v="130"/>
    <n v="62488"/>
    <x v="0"/>
    <x v="0"/>
    <n v="41"/>
  </r>
  <r>
    <x v="1"/>
    <x v="1"/>
    <n v="20"/>
    <n v="2020"/>
    <x v="0"/>
    <n v="3"/>
    <x v="0"/>
    <s v="Yes"/>
    <x v="5"/>
    <n v="3"/>
    <x v="0"/>
    <x v="0"/>
    <s v="Yes"/>
    <x v="3"/>
    <x v="0"/>
    <x v="10"/>
    <s v="No"/>
    <s v="No"/>
    <x v="0"/>
    <s v="Software Development"/>
    <n v="3"/>
    <x v="2"/>
    <s v="Married"/>
    <x v="0"/>
    <s v="Family"/>
    <x v="0"/>
    <n v="3.47"/>
    <s v="No"/>
    <n v="3.2"/>
    <n v="23"/>
    <n v="50000"/>
    <x v="0"/>
    <x v="0"/>
    <n v="60.6"/>
  </r>
  <r>
    <x v="4"/>
    <x v="0"/>
    <n v="21"/>
    <n v="2018"/>
    <x v="0"/>
    <n v="11"/>
    <x v="1"/>
    <s v="Yes"/>
    <x v="2"/>
    <n v="1"/>
    <x v="0"/>
    <x v="0"/>
    <s v="Yes"/>
    <x v="3"/>
    <x v="0"/>
    <x v="17"/>
    <s v="No"/>
    <s v="No"/>
    <x v="1"/>
    <s v="Software Development"/>
    <n v="1"/>
    <x v="2"/>
    <s v="Single"/>
    <x v="1"/>
    <s v="Bachelor"/>
    <x v="0"/>
    <n v="2.5299999999999998"/>
    <s v="No"/>
    <n v="3.05"/>
    <n v="115"/>
    <n v="37000"/>
    <x v="0"/>
    <x v="0"/>
    <n v="43.800000000000004"/>
  </r>
  <r>
    <x v="1"/>
    <x v="1"/>
    <n v="23"/>
    <n v="2019"/>
    <x v="0"/>
    <n v="3"/>
    <x v="0"/>
    <s v="Yes"/>
    <x v="1"/>
    <n v="1"/>
    <x v="0"/>
    <x v="0"/>
    <s v="No"/>
    <x v="1"/>
    <x v="1"/>
    <x v="14"/>
    <s v="Yes"/>
    <s v="No"/>
    <x v="0"/>
    <s v="Photographey"/>
    <n v="1"/>
    <x v="2"/>
    <s v="Single"/>
    <x v="0"/>
    <s v="Family"/>
    <x v="1"/>
    <n v="2.56"/>
    <s v="No"/>
    <n v="2.72"/>
    <n v="26"/>
    <n v="45000"/>
    <x v="0"/>
    <x v="0"/>
    <n v="26"/>
  </r>
  <r>
    <x v="3"/>
    <x v="1"/>
    <n v="19"/>
    <n v="2020"/>
    <x v="0"/>
    <n v="1"/>
    <x v="1"/>
    <s v="No"/>
    <x v="5"/>
    <n v="2"/>
    <x v="0"/>
    <x v="0"/>
    <s v="Yes"/>
    <x v="1"/>
    <x v="0"/>
    <x v="5"/>
    <s v="No"/>
    <s v="No"/>
    <x v="1"/>
    <s v="Don't have any"/>
    <n v="1"/>
    <x v="2"/>
    <s v="Single"/>
    <x v="0"/>
    <s v="Family"/>
    <x v="0"/>
    <n v="0"/>
    <s v="No"/>
    <n v="0"/>
    <n v="0"/>
    <n v="100000"/>
    <x v="2"/>
    <x v="0"/>
    <n v="55"/>
  </r>
  <r>
    <x v="2"/>
    <x v="0"/>
    <n v="20"/>
    <n v="2019"/>
    <x v="0"/>
    <n v="7"/>
    <x v="1"/>
    <s v="No"/>
    <x v="2"/>
    <n v="1"/>
    <x v="1"/>
    <x v="0"/>
    <s v="Yes"/>
    <x v="3"/>
    <x v="1"/>
    <x v="2"/>
    <s v="Yes"/>
    <s v="No"/>
    <x v="1"/>
    <s v="I do not know this"/>
    <n v="1"/>
    <x v="6"/>
    <s v="Single"/>
    <x v="0"/>
    <s v="Family"/>
    <x v="0"/>
    <n v="2.36"/>
    <s v="No"/>
    <n v="2.56"/>
    <n v="65"/>
    <n v="35000"/>
    <x v="0"/>
    <x v="0"/>
    <n v="41"/>
  </r>
  <r>
    <x v="3"/>
    <x v="1"/>
    <n v="20"/>
    <n v="2020"/>
    <x v="0"/>
    <n v="1"/>
    <x v="1"/>
    <s v="No"/>
    <x v="2"/>
    <n v="1"/>
    <x v="0"/>
    <x v="1"/>
    <s v="Yes"/>
    <x v="3"/>
    <x v="1"/>
    <x v="5"/>
    <s v="No"/>
    <s v="No"/>
    <x v="0"/>
    <s v="Nothing in this chart"/>
    <n v="1"/>
    <x v="10"/>
    <s v="Married"/>
    <x v="0"/>
    <s v="Bachelor"/>
    <x v="0"/>
    <n v="0"/>
    <s v="No"/>
    <n v="0"/>
    <n v="0"/>
    <n v="400006"/>
    <x v="2"/>
    <x v="0"/>
    <n v="49"/>
  </r>
  <r>
    <x v="3"/>
    <x v="0"/>
    <n v="21"/>
    <n v="2020"/>
    <x v="0"/>
    <n v="1"/>
    <x v="0"/>
    <s v="Yes"/>
    <x v="1"/>
    <n v="1"/>
    <x v="1"/>
    <x v="0"/>
    <s v="Yes"/>
    <x v="2"/>
    <x v="0"/>
    <x v="5"/>
    <s v="No"/>
    <s v="No"/>
    <x v="1"/>
    <s v="Not Any"/>
    <n v="0"/>
    <x v="2"/>
    <s v="Single"/>
    <x v="0"/>
    <s v="Family"/>
    <x v="0"/>
    <n v="0"/>
    <s v="No"/>
    <n v="0"/>
    <n v="0"/>
    <n v="70000"/>
    <x v="2"/>
    <x v="0"/>
    <n v="43"/>
  </r>
  <r>
    <x v="3"/>
    <x v="0"/>
    <n v="22"/>
    <n v="2020"/>
    <x v="0"/>
    <n v="1"/>
    <x v="0"/>
    <s v="Yes"/>
    <x v="5"/>
    <n v="1"/>
    <x v="0"/>
    <x v="0"/>
    <s v="Yes"/>
    <x v="2"/>
    <x v="1"/>
    <x v="5"/>
    <s v="Yes"/>
    <s v="Yes"/>
    <x v="0"/>
    <s v="Software Development"/>
    <n v="2"/>
    <x v="2"/>
    <s v="Single"/>
    <x v="1"/>
    <s v="Bachelor"/>
    <x v="0"/>
    <n v="2.68"/>
    <s v="Yes"/>
    <n v="3.15"/>
    <n v="11"/>
    <n v="20000"/>
    <x v="0"/>
    <x v="0"/>
    <n v="58"/>
  </r>
  <r>
    <x v="1"/>
    <x v="1"/>
    <n v="20"/>
    <n v="2020"/>
    <x v="0"/>
    <n v="3"/>
    <x v="0"/>
    <s v="Yes"/>
    <x v="2"/>
    <n v="2"/>
    <x v="1"/>
    <x v="0"/>
    <s v="Yes"/>
    <x v="3"/>
    <x v="0"/>
    <x v="0"/>
    <s v="No"/>
    <s v="No"/>
    <x v="0"/>
    <s v="Software Development"/>
    <n v="1"/>
    <x v="4"/>
    <s v="Single"/>
    <x v="1"/>
    <s v="Bachelor"/>
    <x v="0"/>
    <n v="3.19"/>
    <s v="Yes"/>
    <n v="2.73"/>
    <n v="24"/>
    <n v="40000"/>
    <x v="0"/>
    <x v="0"/>
    <n v="45"/>
  </r>
  <r>
    <x v="4"/>
    <x v="0"/>
    <n v="21"/>
    <n v="2019"/>
    <x v="0"/>
    <n v="3"/>
    <x v="1"/>
    <s v="No"/>
    <x v="2"/>
    <n v="2"/>
    <x v="1"/>
    <x v="0"/>
    <s v="Yes"/>
    <x v="3"/>
    <x v="1"/>
    <x v="3"/>
    <s v="Yes"/>
    <s v="Yes"/>
    <x v="0"/>
    <s v="no skills"/>
    <n v="1"/>
    <x v="2"/>
    <s v="Single"/>
    <x v="1"/>
    <s v="Bachelor"/>
    <x v="1"/>
    <n v="2.11"/>
    <s v="Yes"/>
    <n v="2.13"/>
    <n v="25"/>
    <n v="30000"/>
    <x v="2"/>
    <x v="0"/>
    <n v="44.2"/>
  </r>
  <r>
    <x v="4"/>
    <x v="1"/>
    <n v="22"/>
    <n v="2018"/>
    <x v="0"/>
    <n v="11"/>
    <x v="1"/>
    <s v="Yes"/>
    <x v="4"/>
    <n v="3"/>
    <x v="0"/>
    <x v="0"/>
    <s v="Yes"/>
    <x v="2"/>
    <x v="1"/>
    <x v="8"/>
    <s v="No"/>
    <s v="No"/>
    <x v="1"/>
    <s v="Software Development"/>
    <n v="2"/>
    <x v="5"/>
    <s v="Single"/>
    <x v="1"/>
    <s v="Family"/>
    <x v="0"/>
    <n v="3.1"/>
    <s v="No"/>
    <n v="3.07"/>
    <n v="107"/>
    <n v="60000"/>
    <x v="0"/>
    <x v="0"/>
    <n v="63.2"/>
  </r>
  <r>
    <x v="1"/>
    <x v="0"/>
    <n v="21"/>
    <n v="2020"/>
    <x v="0"/>
    <n v="3"/>
    <x v="0"/>
    <s v="No"/>
    <x v="5"/>
    <n v="2"/>
    <x v="0"/>
    <x v="0"/>
    <s v="Yes"/>
    <x v="0"/>
    <x v="0"/>
    <x v="4"/>
    <s v="No"/>
    <s v="No"/>
    <x v="1"/>
    <s v="Software Development"/>
    <n v="2"/>
    <x v="2"/>
    <s v="Single"/>
    <x v="0"/>
    <s v="Bachelor"/>
    <x v="0"/>
    <n v="3.28"/>
    <s v="No"/>
    <n v="3"/>
    <n v="25"/>
    <n v="70000"/>
    <x v="0"/>
    <x v="0"/>
    <n v="56"/>
  </r>
  <r>
    <x v="3"/>
    <x v="1"/>
    <n v="21"/>
    <n v="2020"/>
    <x v="0"/>
    <n v="1"/>
    <x v="0"/>
    <s v="Yes"/>
    <x v="1"/>
    <n v="2"/>
    <x v="0"/>
    <x v="0"/>
    <s v="Yes"/>
    <x v="2"/>
    <x v="1"/>
    <x v="5"/>
    <s v="No"/>
    <s v="No"/>
    <x v="1"/>
    <s v="Software Development"/>
    <n v="0"/>
    <x v="2"/>
    <s v="Single"/>
    <x v="1"/>
    <s v="Family"/>
    <x v="0"/>
    <n v="3.15"/>
    <s v="No"/>
    <n v="3.15"/>
    <n v="11"/>
    <n v="35000"/>
    <x v="0"/>
    <x v="0"/>
    <n v="43"/>
  </r>
  <r>
    <x v="3"/>
    <x v="0"/>
    <n v="20"/>
    <n v="2020"/>
    <x v="0"/>
    <n v="2"/>
    <x v="0"/>
    <s v="No"/>
    <x v="3"/>
    <n v="2"/>
    <x v="0"/>
    <x v="0"/>
    <s v="Yes"/>
    <x v="1"/>
    <x v="1"/>
    <x v="0"/>
    <s v="No"/>
    <s v="No"/>
    <x v="0"/>
    <s v="Software Development"/>
    <n v="1"/>
    <x v="2"/>
    <s v="Single"/>
    <x v="0"/>
    <s v="Bachelor"/>
    <x v="0"/>
    <n v="3.6"/>
    <s v="No"/>
    <n v="3.6"/>
    <n v="14"/>
    <n v="10000"/>
    <x v="1"/>
    <x v="0"/>
    <n v="54"/>
  </r>
  <r>
    <x v="1"/>
    <x v="1"/>
    <n v="21"/>
    <n v="2019"/>
    <x v="0"/>
    <n v="3"/>
    <x v="0"/>
    <s v="No"/>
    <x v="0"/>
    <n v="1"/>
    <x v="0"/>
    <x v="0"/>
    <s v="Yes"/>
    <x v="3"/>
    <x v="0"/>
    <x v="0"/>
    <s v="No"/>
    <s v="No"/>
    <x v="0"/>
    <s v="Software Development"/>
    <n v="2"/>
    <x v="4"/>
    <s v="Single"/>
    <x v="1"/>
    <s v="Bachelor"/>
    <x v="0"/>
    <n v="3.75"/>
    <s v="No"/>
    <n v="3.7"/>
    <n v="24"/>
    <n v="50000"/>
    <x v="1"/>
    <x v="0"/>
    <n v="51"/>
  </r>
  <r>
    <x v="1"/>
    <x v="0"/>
    <n v="20"/>
    <n v="2020"/>
    <x v="0"/>
    <n v="4"/>
    <x v="1"/>
    <s v="No"/>
    <x v="1"/>
    <n v="1"/>
    <x v="1"/>
    <x v="0"/>
    <s v="Yes"/>
    <x v="1"/>
    <x v="0"/>
    <x v="0"/>
    <s v="No"/>
    <s v="No"/>
    <x v="1"/>
    <s v="Software Development"/>
    <n v="2"/>
    <x v="2"/>
    <s v="Single"/>
    <x v="0"/>
    <s v="Family"/>
    <x v="0"/>
    <n v="3.85"/>
    <s v="No"/>
    <n v="3.92"/>
    <n v="34"/>
    <n v="40000"/>
    <x v="1"/>
    <x v="0"/>
    <n v="45"/>
  </r>
  <r>
    <x v="1"/>
    <x v="1"/>
    <n v="20"/>
    <n v="2019"/>
    <x v="0"/>
    <n v="4"/>
    <x v="0"/>
    <s v="Yes"/>
    <x v="0"/>
    <n v="3"/>
    <x v="0"/>
    <x v="0"/>
    <s v="Yes"/>
    <x v="2"/>
    <x v="1"/>
    <x v="0"/>
    <s v="No"/>
    <s v="No"/>
    <x v="1"/>
    <s v="Software Development"/>
    <n v="2"/>
    <x v="5"/>
    <s v="Single"/>
    <x v="1"/>
    <s v="Family"/>
    <x v="0"/>
    <n v="2.68"/>
    <s v="No"/>
    <n v="2.68"/>
    <n v="23"/>
    <n v="100000"/>
    <x v="0"/>
    <x v="0"/>
    <n v="51"/>
  </r>
  <r>
    <x v="1"/>
    <x v="1"/>
    <n v="21"/>
    <n v="2020"/>
    <x v="0"/>
    <n v="2"/>
    <x v="0"/>
    <s v="No"/>
    <x v="0"/>
    <n v="2"/>
    <x v="1"/>
    <x v="0"/>
    <s v="Yes"/>
    <x v="3"/>
    <x v="0"/>
    <x v="10"/>
    <s v="No"/>
    <s v="No"/>
    <x v="0"/>
    <s v="Software Development"/>
    <n v="3"/>
    <x v="2"/>
    <s v="Single"/>
    <x v="1"/>
    <s v="Bachelor"/>
    <x v="0"/>
    <n v="3.18"/>
    <s v="No"/>
    <n v="3.18"/>
    <n v="11"/>
    <n v="62488"/>
    <x v="0"/>
    <x v="0"/>
    <n v="57.6"/>
  </r>
  <r>
    <x v="4"/>
    <x v="1"/>
    <n v="24"/>
    <n v="2018"/>
    <x v="0"/>
    <n v="11"/>
    <x v="0"/>
    <s v="No"/>
    <x v="2"/>
    <n v="1"/>
    <x v="0"/>
    <x v="0"/>
    <s v="Yes"/>
    <x v="3"/>
    <x v="0"/>
    <x v="0"/>
    <s v="No"/>
    <s v="No"/>
    <x v="0"/>
    <s v="Software Development"/>
    <n v="2"/>
    <x v="0"/>
    <s v="Married"/>
    <x v="1"/>
    <s v="Family"/>
    <x v="0"/>
    <n v="3.39"/>
    <s v="No"/>
    <n v="3.4"/>
    <n v="128"/>
    <n v="5000"/>
    <x v="0"/>
    <x v="0"/>
    <n v="48"/>
  </r>
  <r>
    <x v="1"/>
    <x v="1"/>
    <n v="20"/>
    <n v="2020"/>
    <x v="0"/>
    <n v="4"/>
    <x v="1"/>
    <s v="No"/>
    <x v="5"/>
    <n v="1"/>
    <x v="1"/>
    <x v="0"/>
    <s v="Yes"/>
    <x v="4"/>
    <x v="0"/>
    <x v="5"/>
    <s v="No"/>
    <s v="No"/>
    <x v="0"/>
    <s v="Software Development"/>
    <n v="2"/>
    <x v="2"/>
    <s v="Single"/>
    <x v="1"/>
    <s v="Bachelor"/>
    <x v="1"/>
    <n v="2.98"/>
    <s v="No"/>
    <n v="3.38"/>
    <n v="25"/>
    <n v="60000"/>
    <x v="0"/>
    <x v="0"/>
    <n v="58"/>
  </r>
  <r>
    <x v="1"/>
    <x v="1"/>
    <n v="21"/>
    <n v="2020"/>
    <x v="0"/>
    <n v="2"/>
    <x v="1"/>
    <s v="No"/>
    <x v="8"/>
    <n v="2"/>
    <x v="0"/>
    <x v="0"/>
    <s v="Yes"/>
    <x v="1"/>
    <x v="0"/>
    <x v="6"/>
    <s v="Yes"/>
    <s v="No"/>
    <x v="1"/>
    <s v="Software Development"/>
    <n v="5"/>
    <x v="2"/>
    <s v="Single"/>
    <x v="1"/>
    <s v="Family"/>
    <x v="0"/>
    <n v="3.7"/>
    <s v="No"/>
    <n v="3.15"/>
    <n v="23"/>
    <n v="50000"/>
    <x v="0"/>
    <x v="0"/>
    <n v="80.800000000000011"/>
  </r>
  <r>
    <x v="0"/>
    <x v="1"/>
    <n v="23"/>
    <n v="2017"/>
    <x v="0"/>
    <n v="14"/>
    <x v="1"/>
    <s v="Yes"/>
    <x v="1"/>
    <n v="2"/>
    <x v="0"/>
    <x v="0"/>
    <s v="Yes"/>
    <x v="2"/>
    <x v="2"/>
    <x v="2"/>
    <s v="Yes"/>
    <s v="No"/>
    <x v="0"/>
    <s v="Software Development"/>
    <n v="2"/>
    <x v="5"/>
    <s v="Married"/>
    <x v="1"/>
    <s v="Family"/>
    <x v="0"/>
    <n v="3.25"/>
    <s v="No"/>
    <n v="2.95"/>
    <n v="130"/>
    <n v="40000"/>
    <x v="0"/>
    <x v="0"/>
    <n v="41"/>
  </r>
  <r>
    <x v="1"/>
    <x v="0"/>
    <n v="19"/>
    <n v="2020"/>
    <x v="0"/>
    <n v="3"/>
    <x v="1"/>
    <s v="Yes"/>
    <x v="2"/>
    <n v="1"/>
    <x v="1"/>
    <x v="0"/>
    <s v="Yes"/>
    <x v="1"/>
    <x v="1"/>
    <x v="9"/>
    <s v="No"/>
    <s v="No"/>
    <x v="1"/>
    <s v="Software Development"/>
    <n v="1"/>
    <x v="2"/>
    <s v="Single"/>
    <x v="1"/>
    <s v="Family"/>
    <x v="0"/>
    <n v="3.03"/>
    <s v="No"/>
    <n v="3.21"/>
    <n v="25"/>
    <n v="30000"/>
    <x v="0"/>
    <x v="0"/>
    <n v="43"/>
  </r>
  <r>
    <x v="1"/>
    <x v="1"/>
    <n v="22"/>
    <n v="2020"/>
    <x v="0"/>
    <n v="5"/>
    <x v="1"/>
    <s v="No"/>
    <x v="2"/>
    <n v="2"/>
    <x v="0"/>
    <x v="0"/>
    <s v="Yes"/>
    <x v="1"/>
    <x v="0"/>
    <x v="4"/>
    <s v="No"/>
    <s v="No"/>
    <x v="1"/>
    <s v="Software Development"/>
    <n v="1"/>
    <x v="2"/>
    <s v="Single"/>
    <x v="1"/>
    <s v="Bachelor"/>
    <x v="0"/>
    <n v="3.1"/>
    <s v="No"/>
    <n v="3.18"/>
    <n v="48"/>
    <n v="50000"/>
    <x v="0"/>
    <x v="0"/>
    <n v="47"/>
  </r>
  <r>
    <x v="3"/>
    <x v="1"/>
    <n v="21"/>
    <n v="2020"/>
    <x v="0"/>
    <n v="2"/>
    <x v="0"/>
    <s v="Yes"/>
    <x v="2"/>
    <n v="1"/>
    <x v="0"/>
    <x v="0"/>
    <s v="Yes"/>
    <x v="1"/>
    <x v="0"/>
    <x v="8"/>
    <s v="No"/>
    <s v="No"/>
    <x v="0"/>
    <s v="Software Development"/>
    <n v="1"/>
    <x v="2"/>
    <s v="Single"/>
    <x v="1"/>
    <s v="Family"/>
    <x v="0"/>
    <n v="3.7"/>
    <s v="No"/>
    <n v="3.7"/>
    <n v="12"/>
    <n v="120000"/>
    <x v="1"/>
    <x v="0"/>
    <n v="48.2"/>
  </r>
  <r>
    <x v="3"/>
    <x v="0"/>
    <n v="21"/>
    <n v="2020"/>
    <x v="0"/>
    <n v="2"/>
    <x v="0"/>
    <s v="Yes"/>
    <x v="8"/>
    <n v="2"/>
    <x v="0"/>
    <x v="0"/>
    <s v="Yes"/>
    <x v="5"/>
    <x v="0"/>
    <x v="7"/>
    <s v="Yes"/>
    <s v="No"/>
    <x v="0"/>
    <s v="Software Development"/>
    <n v="4"/>
    <x v="2"/>
    <s v="Single"/>
    <x v="0"/>
    <s v="Family"/>
    <x v="0"/>
    <n v="4"/>
    <s v="No"/>
    <n v="4"/>
    <n v="12"/>
    <n v="30000"/>
    <x v="1"/>
    <x v="0"/>
    <n v="67"/>
  </r>
  <r>
    <x v="1"/>
    <x v="0"/>
    <n v="19"/>
    <n v="2020"/>
    <x v="0"/>
    <n v="3"/>
    <x v="0"/>
    <s v="Yes"/>
    <x v="1"/>
    <n v="1"/>
    <x v="0"/>
    <x v="0"/>
    <s v="Yes"/>
    <x v="2"/>
    <x v="0"/>
    <x v="9"/>
    <s v="No"/>
    <s v="No"/>
    <x v="0"/>
    <s v="Software Development"/>
    <n v="1"/>
    <x v="2"/>
    <s v="Single"/>
    <x v="0"/>
    <s v="Bachelor"/>
    <x v="0"/>
    <n v="3.18"/>
    <s v="No"/>
    <n v="3.45"/>
    <n v="23"/>
    <n v="62488"/>
    <x v="0"/>
    <x v="0"/>
    <n v="40"/>
  </r>
  <r>
    <x v="1"/>
    <x v="1"/>
    <n v="19"/>
    <n v="2020"/>
    <x v="0"/>
    <n v="3"/>
    <x v="0"/>
    <s v="Yes"/>
    <x v="2"/>
    <n v="2"/>
    <x v="0"/>
    <x v="0"/>
    <s v="Yes"/>
    <x v="1"/>
    <x v="1"/>
    <x v="5"/>
    <s v="No"/>
    <s v="No"/>
    <x v="0"/>
    <s v="Software Development"/>
    <n v="2"/>
    <x v="2"/>
    <s v="Single"/>
    <x v="1"/>
    <s v="Family"/>
    <x v="0"/>
    <n v="3.61"/>
    <s v="No"/>
    <n v="3.74"/>
    <n v="25"/>
    <n v="40000"/>
    <x v="1"/>
    <x v="0"/>
    <n v="52"/>
  </r>
  <r>
    <x v="1"/>
    <x v="0"/>
    <n v="22"/>
    <n v="2017"/>
    <x v="0"/>
    <n v="3"/>
    <x v="0"/>
    <s v="No"/>
    <x v="2"/>
    <n v="1"/>
    <x v="1"/>
    <x v="0"/>
    <s v="Yes"/>
    <x v="11"/>
    <x v="0"/>
    <x v="7"/>
    <s v="No"/>
    <s v="No"/>
    <x v="1"/>
    <s v="Software Development"/>
    <n v="1"/>
    <x v="2"/>
    <s v="Single"/>
    <x v="1"/>
    <s v="Family"/>
    <x v="0"/>
    <n v="3.01"/>
    <s v="No"/>
    <n v="3.22"/>
    <n v="23"/>
    <n v="70000"/>
    <x v="0"/>
    <x v="0"/>
    <n v="37"/>
  </r>
  <r>
    <x v="1"/>
    <x v="1"/>
    <n v="21"/>
    <n v="2020"/>
    <x v="0"/>
    <n v="3"/>
    <x v="1"/>
    <s v="Yes"/>
    <x v="2"/>
    <n v="2"/>
    <x v="0"/>
    <x v="0"/>
    <s v="Yes"/>
    <x v="0"/>
    <x v="1"/>
    <x v="2"/>
    <s v="No"/>
    <s v="No"/>
    <x v="1"/>
    <s v="Software Development"/>
    <n v="2"/>
    <x v="2"/>
    <s v="Single"/>
    <x v="1"/>
    <s v="Family"/>
    <x v="1"/>
    <n v="3.26"/>
    <s v="No"/>
    <n v="3.36"/>
    <n v="23"/>
    <n v="40000"/>
    <x v="0"/>
    <x v="0"/>
    <n v="44"/>
  </r>
  <r>
    <x v="7"/>
    <x v="0"/>
    <n v="25"/>
    <n v="2016"/>
    <x v="0"/>
    <n v="19"/>
    <x v="0"/>
    <s v="No"/>
    <x v="1"/>
    <n v="1"/>
    <x v="0"/>
    <x v="0"/>
    <s v="Yes"/>
    <x v="2"/>
    <x v="0"/>
    <x v="5"/>
    <s v="No"/>
    <s v="No"/>
    <x v="1"/>
    <s v="Software Development"/>
    <n v="2"/>
    <x v="2"/>
    <s v="Single"/>
    <x v="0"/>
    <s v="Bachelor"/>
    <x v="0"/>
    <n v="3.6"/>
    <s v="No"/>
    <n v="3.72"/>
    <n v="130"/>
    <n v="300000"/>
    <x v="1"/>
    <x v="0"/>
    <n v="49"/>
  </r>
  <r>
    <x v="1"/>
    <x v="0"/>
    <n v="20"/>
    <n v="2019"/>
    <x v="0"/>
    <n v="3"/>
    <x v="1"/>
    <s v="No"/>
    <x v="2"/>
    <n v="3"/>
    <x v="0"/>
    <x v="0"/>
    <s v="Yes"/>
    <x v="0"/>
    <x v="1"/>
    <x v="5"/>
    <s v="No"/>
    <s v="No"/>
    <x v="1"/>
    <s v="Software Development"/>
    <n v="3"/>
    <x v="3"/>
    <s v="Single"/>
    <x v="1"/>
    <s v="Bachelor"/>
    <x v="1"/>
    <n v="3.12"/>
    <s v="No"/>
    <n v="3.01"/>
    <n v="23"/>
    <n v="50000"/>
    <x v="0"/>
    <x v="0"/>
    <n v="55"/>
  </r>
  <r>
    <x v="3"/>
    <x v="1"/>
    <n v="20"/>
    <n v="2020"/>
    <x v="0"/>
    <n v="1"/>
    <x v="0"/>
    <s v="No"/>
    <x v="5"/>
    <n v="3"/>
    <x v="0"/>
    <x v="0"/>
    <s v="Yes"/>
    <x v="2"/>
    <x v="1"/>
    <x v="5"/>
    <s v="No"/>
    <s v="No"/>
    <x v="0"/>
    <s v="Software Development"/>
    <n v="2"/>
    <x v="2"/>
    <s v="Single"/>
    <x v="0"/>
    <s v="Bachelor"/>
    <x v="0"/>
    <n v="3.93"/>
    <s v="No"/>
    <n v="3.93"/>
    <n v="11"/>
    <n v="50000"/>
    <x v="1"/>
    <x v="0"/>
    <n v="58"/>
  </r>
  <r>
    <x v="1"/>
    <x v="0"/>
    <n v="20"/>
    <n v="2020"/>
    <x v="0"/>
    <n v="3"/>
    <x v="0"/>
    <s v="No"/>
    <x v="3"/>
    <n v="3"/>
    <x v="1"/>
    <x v="0"/>
    <s v="Yes"/>
    <x v="5"/>
    <x v="2"/>
    <x v="4"/>
    <s v="Yes"/>
    <s v="No"/>
    <x v="1"/>
    <s v="Software Development"/>
    <n v="1"/>
    <x v="2"/>
    <s v="Single"/>
    <x v="0"/>
    <s v="Bachelor"/>
    <x v="0"/>
    <n v="3"/>
    <s v="No"/>
    <n v="3.55"/>
    <n v="23"/>
    <n v="150000"/>
    <x v="1"/>
    <x v="0"/>
    <n v="56"/>
  </r>
  <r>
    <x v="4"/>
    <x v="0"/>
    <n v="24"/>
    <n v="2018"/>
    <x v="0"/>
    <n v="9"/>
    <x v="1"/>
    <s v="No"/>
    <x v="1"/>
    <n v="2"/>
    <x v="1"/>
    <x v="0"/>
    <s v="Yes"/>
    <x v="1"/>
    <x v="1"/>
    <x v="7"/>
    <s v="Yes"/>
    <s v="No"/>
    <x v="0"/>
    <s v="Software Development"/>
    <n v="1"/>
    <x v="6"/>
    <s v="Single"/>
    <x v="0"/>
    <s v="Family"/>
    <x v="0"/>
    <n v="1.61"/>
    <s v="No"/>
    <n v="2.44"/>
    <n v="40"/>
    <n v="25000"/>
    <x v="2"/>
    <x v="0"/>
    <n v="34"/>
  </r>
  <r>
    <x v="2"/>
    <x v="0"/>
    <n v="22"/>
    <n v="2018"/>
    <x v="0"/>
    <n v="6"/>
    <x v="0"/>
    <s v="Yes"/>
    <x v="1"/>
    <n v="1"/>
    <x v="1"/>
    <x v="0"/>
    <s v="Yes"/>
    <x v="1"/>
    <x v="1"/>
    <x v="2"/>
    <s v="No"/>
    <s v="No"/>
    <x v="1"/>
    <s v="Software Development"/>
    <n v="1"/>
    <x v="2"/>
    <s v="Single"/>
    <x v="1"/>
    <s v="Family"/>
    <x v="0"/>
    <n v="2.79"/>
    <s v="No"/>
    <n v="3.15"/>
    <n v="50"/>
    <n v="40000"/>
    <x v="0"/>
    <x v="0"/>
    <n v="38"/>
  </r>
  <r>
    <x v="1"/>
    <x v="1"/>
    <n v="22"/>
    <n v="2020"/>
    <x v="0"/>
    <n v="4"/>
    <x v="1"/>
    <s v="No"/>
    <x v="2"/>
    <n v="1"/>
    <x v="0"/>
    <x v="0"/>
    <s v="No"/>
    <x v="1"/>
    <x v="0"/>
    <x v="8"/>
    <s v="No"/>
    <s v="No"/>
    <x v="1"/>
    <s v="Software Development"/>
    <n v="2"/>
    <x v="2"/>
    <s v="Single"/>
    <x v="1"/>
    <s v="Bachelor"/>
    <x v="0"/>
    <n v="3.83"/>
    <s v="No"/>
    <n v="3.4"/>
    <n v="25"/>
    <n v="40000"/>
    <x v="0"/>
    <x v="0"/>
    <n v="51.2"/>
  </r>
  <r>
    <x v="0"/>
    <x v="0"/>
    <n v="26"/>
    <n v="2018"/>
    <x v="0"/>
    <n v="12"/>
    <x v="0"/>
    <s v="Yes"/>
    <x v="0"/>
    <n v="1"/>
    <x v="1"/>
    <x v="0"/>
    <s v="Yes"/>
    <x v="2"/>
    <x v="2"/>
    <x v="5"/>
    <s v="No"/>
    <s v="No"/>
    <x v="0"/>
    <s v="Software Development"/>
    <n v="3"/>
    <x v="6"/>
    <s v="Single"/>
    <x v="1"/>
    <s v="Family"/>
    <x v="0"/>
    <n v="3.58"/>
    <s v="No"/>
    <n v="3.27"/>
    <n v="130"/>
    <n v="62488"/>
    <x v="0"/>
    <x v="0"/>
    <n v="58"/>
  </r>
  <r>
    <x v="1"/>
    <x v="1"/>
    <n v="21"/>
    <n v="2020"/>
    <x v="0"/>
    <n v="3"/>
    <x v="0"/>
    <s v="Yes"/>
    <x v="0"/>
    <n v="1"/>
    <x v="0"/>
    <x v="0"/>
    <s v="Yes"/>
    <x v="4"/>
    <x v="1"/>
    <x v="5"/>
    <s v="No"/>
    <s v="No"/>
    <x v="0"/>
    <s v="Software Development"/>
    <n v="2"/>
    <x v="4"/>
    <s v="Single"/>
    <x v="1"/>
    <s v="Family"/>
    <x v="0"/>
    <n v="3.39"/>
    <s v="No"/>
    <n v="3.19"/>
    <n v="25"/>
    <n v="70000"/>
    <x v="0"/>
    <x v="0"/>
    <n v="55"/>
  </r>
  <r>
    <x v="1"/>
    <x v="0"/>
    <n v="20"/>
    <n v="2020"/>
    <x v="0"/>
    <n v="3"/>
    <x v="0"/>
    <s v="No"/>
    <x v="0"/>
    <n v="3"/>
    <x v="0"/>
    <x v="0"/>
    <s v="Yes"/>
    <x v="2"/>
    <x v="0"/>
    <x v="5"/>
    <s v="No"/>
    <s v="No"/>
    <x v="1"/>
    <s v="Software Development"/>
    <n v="2"/>
    <x v="2"/>
    <s v="Single"/>
    <x v="1"/>
    <s v="Bachelor"/>
    <x v="0"/>
    <n v="3.38"/>
    <s v="No"/>
    <n v="3.37"/>
    <n v="23"/>
    <n v="25000"/>
    <x v="0"/>
    <x v="0"/>
    <n v="55"/>
  </r>
  <r>
    <x v="1"/>
    <x v="1"/>
    <n v="19"/>
    <n v="2020"/>
    <x v="0"/>
    <n v="3"/>
    <x v="0"/>
    <s v="No"/>
    <x v="0"/>
    <n v="3"/>
    <x v="0"/>
    <x v="0"/>
    <s v="Yes"/>
    <x v="3"/>
    <x v="0"/>
    <x v="5"/>
    <s v="No"/>
    <s v="No"/>
    <x v="0"/>
    <s v="Software Development"/>
    <n v="2"/>
    <x v="0"/>
    <s v="Single"/>
    <x v="1"/>
    <s v="Bachelor"/>
    <x v="1"/>
    <n v="3.03"/>
    <s v="No"/>
    <n v="3.15"/>
    <n v="23"/>
    <n v="30000"/>
    <x v="0"/>
    <x v="0"/>
    <n v="55"/>
  </r>
  <r>
    <x v="3"/>
    <x v="0"/>
    <n v="20"/>
    <n v="2020"/>
    <x v="0"/>
    <n v="1"/>
    <x v="1"/>
    <s v="No"/>
    <x v="0"/>
    <n v="1"/>
    <x v="0"/>
    <x v="1"/>
    <s v="Yes"/>
    <x v="3"/>
    <x v="0"/>
    <x v="5"/>
    <s v="No"/>
    <s v="No"/>
    <x v="0"/>
    <s v="Nothing"/>
    <n v="1"/>
    <x v="10"/>
    <s v="Married"/>
    <x v="0"/>
    <s v="Family"/>
    <x v="0"/>
    <n v="0"/>
    <s v="No"/>
    <n v="0"/>
    <n v="0"/>
    <n v="40000"/>
    <x v="2"/>
    <x v="0"/>
    <n v="52"/>
  </r>
  <r>
    <x v="1"/>
    <x v="0"/>
    <n v="21"/>
    <n v="2020"/>
    <x v="0"/>
    <n v="3"/>
    <x v="0"/>
    <s v="Yes"/>
    <x v="1"/>
    <n v="1"/>
    <x v="0"/>
    <x v="0"/>
    <s v="Yes"/>
    <x v="3"/>
    <x v="0"/>
    <x v="4"/>
    <s v="No"/>
    <s v="No"/>
    <x v="0"/>
    <s v="Software Development"/>
    <n v="1"/>
    <x v="2"/>
    <s v="Single"/>
    <x v="0"/>
    <s v="Family"/>
    <x v="0"/>
    <n v="3.65"/>
    <s v="No"/>
    <n v="3.7"/>
    <n v="30"/>
    <n v="40000"/>
    <x v="1"/>
    <x v="0"/>
    <n v="44"/>
  </r>
  <r>
    <x v="4"/>
    <x v="1"/>
    <n v="22"/>
    <n v="2019"/>
    <x v="0"/>
    <n v="9"/>
    <x v="1"/>
    <s v="Yes"/>
    <x v="0"/>
    <n v="1"/>
    <x v="0"/>
    <x v="0"/>
    <s v="Yes"/>
    <x v="2"/>
    <x v="0"/>
    <x v="2"/>
    <s v="No"/>
    <s v="No"/>
    <x v="0"/>
    <s v="Software Development"/>
    <n v="1"/>
    <x v="6"/>
    <s v="Single"/>
    <x v="1"/>
    <s v="Family"/>
    <x v="1"/>
    <n v="3.18"/>
    <s v="No"/>
    <n v="2.69"/>
    <n v="90"/>
    <n v="30000"/>
    <x v="0"/>
    <x v="0"/>
    <n v="44"/>
  </r>
  <r>
    <x v="3"/>
    <x v="0"/>
    <n v="21"/>
    <n v="2020"/>
    <x v="0"/>
    <n v="2"/>
    <x v="0"/>
    <s v="Yes"/>
    <x v="0"/>
    <n v="2"/>
    <x v="0"/>
    <x v="0"/>
    <s v="Yes"/>
    <x v="2"/>
    <x v="1"/>
    <x v="5"/>
    <s v="No"/>
    <s v="No"/>
    <x v="0"/>
    <s v="Software Development"/>
    <n v="2"/>
    <x v="2"/>
    <s v="Single"/>
    <x v="0"/>
    <s v="Family"/>
    <x v="0"/>
    <n v="3.78"/>
    <s v="No"/>
    <n v="3.15"/>
    <n v="90"/>
    <n v="30000"/>
    <x v="0"/>
    <x v="0"/>
    <n v="55"/>
  </r>
  <r>
    <x v="2"/>
    <x v="0"/>
    <n v="24"/>
    <n v="2017"/>
    <x v="0"/>
    <n v="8"/>
    <x v="0"/>
    <s v="Yes"/>
    <x v="1"/>
    <n v="1"/>
    <x v="0"/>
    <x v="0"/>
    <s v="Yes"/>
    <x v="4"/>
    <x v="0"/>
    <x v="7"/>
    <s v="No"/>
    <s v="No"/>
    <x v="1"/>
    <s v="Software Development"/>
    <n v="3"/>
    <x v="5"/>
    <s v="Relationship"/>
    <x v="0"/>
    <s v="Family"/>
    <x v="0"/>
    <n v="2.56"/>
    <s v="No"/>
    <n v="3.38"/>
    <n v="90"/>
    <n v="30000"/>
    <x v="0"/>
    <x v="0"/>
    <n v="40"/>
  </r>
  <r>
    <x v="1"/>
    <x v="0"/>
    <n v="20"/>
    <n v="2020"/>
    <x v="0"/>
    <n v="3"/>
    <x v="0"/>
    <s v="No"/>
    <x v="2"/>
    <n v="2"/>
    <x v="0"/>
    <x v="1"/>
    <s v="Yes"/>
    <x v="10"/>
    <x v="1"/>
    <x v="0"/>
    <s v="No"/>
    <s v="No"/>
    <x v="1"/>
    <s v="learner"/>
    <n v="0"/>
    <x v="2"/>
    <s v="Single"/>
    <x v="1"/>
    <s v="Family"/>
    <x v="1"/>
    <n v="2.94"/>
    <s v="No"/>
    <n v="3.1"/>
    <n v="24"/>
    <n v="45000"/>
    <x v="0"/>
    <x v="0"/>
    <n v="42"/>
  </r>
  <r>
    <x v="1"/>
    <x v="1"/>
    <n v="19"/>
    <n v="2020"/>
    <x v="0"/>
    <n v="3"/>
    <x v="1"/>
    <s v="No"/>
    <x v="0"/>
    <n v="2"/>
    <x v="0"/>
    <x v="0"/>
    <s v="Yes"/>
    <x v="4"/>
    <x v="0"/>
    <x v="22"/>
    <s v="Yes"/>
    <s v="No"/>
    <x v="0"/>
    <s v="Software Development"/>
    <n v="3"/>
    <x v="2"/>
    <s v="Single"/>
    <x v="1"/>
    <s v="Family"/>
    <x v="0"/>
    <n v="2.36"/>
    <s v="No"/>
    <n v="2.88"/>
    <n v="23"/>
    <n v="80000"/>
    <x v="0"/>
    <x v="0"/>
    <n v="48.8"/>
  </r>
  <r>
    <x v="3"/>
    <x v="0"/>
    <n v="21"/>
    <n v="2021"/>
    <x v="0"/>
    <n v="2"/>
    <x v="0"/>
    <s v="No"/>
    <x v="0"/>
    <n v="2"/>
    <x v="1"/>
    <x v="0"/>
    <s v="No"/>
    <x v="0"/>
    <x v="0"/>
    <x v="5"/>
    <s v="No"/>
    <s v="No"/>
    <x v="0"/>
    <s v="Software Development"/>
    <n v="2"/>
    <x v="2"/>
    <s v="Single"/>
    <x v="1"/>
    <s v="Family"/>
    <x v="0"/>
    <n v="3.8"/>
    <s v="No"/>
    <n v="3.8"/>
    <n v="11"/>
    <n v="30000"/>
    <x v="1"/>
    <x v="0"/>
    <n v="55"/>
  </r>
  <r>
    <x v="1"/>
    <x v="0"/>
    <n v="22"/>
    <n v="2020"/>
    <x v="0"/>
    <n v="3"/>
    <x v="0"/>
    <s v="No"/>
    <x v="9"/>
    <n v="0"/>
    <x v="0"/>
    <x v="0"/>
    <s v="Yes"/>
    <x v="8"/>
    <x v="1"/>
    <x v="2"/>
    <s v="Yes"/>
    <s v="No"/>
    <x v="1"/>
    <s v="Software Development"/>
    <n v="0"/>
    <x v="2"/>
    <s v="Single"/>
    <x v="1"/>
    <s v="Bachelor"/>
    <x v="0"/>
    <n v="1.53"/>
    <s v="No"/>
    <n v="2.4300000000000002"/>
    <n v="23"/>
    <n v="30000"/>
    <x v="2"/>
    <x v="0"/>
    <n v="32"/>
  </r>
  <r>
    <x v="2"/>
    <x v="1"/>
    <n v="21"/>
    <n v="2019"/>
    <x v="0"/>
    <n v="7"/>
    <x v="1"/>
    <s v="Yes"/>
    <x v="2"/>
    <n v="2"/>
    <x v="1"/>
    <x v="0"/>
    <s v="Yes"/>
    <x v="0"/>
    <x v="0"/>
    <x v="2"/>
    <s v="No"/>
    <s v="No"/>
    <x v="0"/>
    <s v="Software Development"/>
    <n v="3"/>
    <x v="7"/>
    <s v="Relationship"/>
    <x v="1"/>
    <s v="Family"/>
    <x v="0"/>
    <n v="3"/>
    <s v="No"/>
    <n v="2.91"/>
    <n v="90"/>
    <n v="35000"/>
    <x v="0"/>
    <x v="0"/>
    <n v="47"/>
  </r>
  <r>
    <x v="1"/>
    <x v="1"/>
    <n v="20"/>
    <n v="2020"/>
    <x v="0"/>
    <n v="3"/>
    <x v="1"/>
    <s v="Yes"/>
    <x v="2"/>
    <n v="1"/>
    <x v="0"/>
    <x v="0"/>
    <s v="No"/>
    <x v="0"/>
    <x v="1"/>
    <x v="2"/>
    <s v="No"/>
    <s v="No"/>
    <x v="0"/>
    <s v="Software Development"/>
    <n v="1"/>
    <x v="2"/>
    <s v="Single"/>
    <x v="0"/>
    <s v="Family"/>
    <x v="0"/>
    <n v="2.3199999999999998"/>
    <s v="No"/>
    <n v="2.66"/>
    <n v="23"/>
    <n v="40000"/>
    <x v="0"/>
    <x v="0"/>
    <n v="41"/>
  </r>
  <r>
    <x v="3"/>
    <x v="0"/>
    <n v="21"/>
    <n v="2022"/>
    <x v="0"/>
    <n v="1"/>
    <x v="0"/>
    <s v="Yes"/>
    <x v="4"/>
    <n v="2"/>
    <x v="1"/>
    <x v="0"/>
    <s v="Yes"/>
    <x v="4"/>
    <x v="0"/>
    <x v="0"/>
    <s v="Yes"/>
    <s v="No"/>
    <x v="0"/>
    <s v="Cyber security"/>
    <n v="1"/>
    <x v="2"/>
    <s v="Single"/>
    <x v="1"/>
    <s v="Bachelor"/>
    <x v="1"/>
    <n v="0"/>
    <s v="Yes"/>
    <n v="0"/>
    <n v="11"/>
    <n v="62488"/>
    <x v="2"/>
    <x v="0"/>
    <n v="57"/>
  </r>
  <r>
    <x v="1"/>
    <x v="1"/>
    <n v="21"/>
    <n v="2019"/>
    <x v="0"/>
    <n v="3"/>
    <x v="0"/>
    <s v="No"/>
    <x v="0"/>
    <n v="0"/>
    <x v="0"/>
    <x v="0"/>
    <s v="Yes"/>
    <x v="10"/>
    <x v="2"/>
    <x v="14"/>
    <s v="No"/>
    <s v="No"/>
    <x v="0"/>
    <s v="No skill"/>
    <n v="0"/>
    <x v="4"/>
    <s v="Relationship"/>
    <x v="0"/>
    <s v="Family"/>
    <x v="1"/>
    <n v="3.37"/>
    <s v="No"/>
    <n v="3.15"/>
    <n v="23"/>
    <n v="62488"/>
    <x v="0"/>
    <x v="0"/>
    <n v="29"/>
  </r>
  <r>
    <x v="1"/>
    <x v="1"/>
    <n v="22"/>
    <n v="2020"/>
    <x v="0"/>
    <n v="3"/>
    <x v="0"/>
    <s v="No"/>
    <x v="2"/>
    <n v="1"/>
    <x v="0"/>
    <x v="0"/>
    <s v="Yes"/>
    <x v="1"/>
    <x v="0"/>
    <x v="5"/>
    <s v="No"/>
    <s v="No"/>
    <x v="0"/>
    <s v="Software Development"/>
    <n v="1"/>
    <x v="5"/>
    <s v="Single"/>
    <x v="0"/>
    <s v="Bachelor"/>
    <x v="1"/>
    <n v="2.89"/>
    <s v="No"/>
    <n v="3.37"/>
    <n v="24"/>
    <n v="50000"/>
    <x v="0"/>
    <x v="0"/>
    <n v="49"/>
  </r>
  <r>
    <x v="1"/>
    <x v="1"/>
    <n v="21"/>
    <n v="2019"/>
    <x v="0"/>
    <n v="3"/>
    <x v="0"/>
    <s v="Yes"/>
    <x v="2"/>
    <n v="3"/>
    <x v="0"/>
    <x v="0"/>
    <s v="Yes"/>
    <x v="2"/>
    <x v="1"/>
    <x v="0"/>
    <s v="No"/>
    <s v="No"/>
    <x v="1"/>
    <s v="Software Development"/>
    <n v="2"/>
    <x v="2"/>
    <s v="Single"/>
    <x v="1"/>
    <s v="Family"/>
    <x v="0"/>
    <n v="3.17"/>
    <s v="No"/>
    <n v="3.15"/>
    <n v="24"/>
    <n v="40000"/>
    <x v="0"/>
    <x v="0"/>
    <n v="48"/>
  </r>
  <r>
    <x v="1"/>
    <x v="1"/>
    <n v="20"/>
    <n v="2020"/>
    <x v="0"/>
    <n v="3"/>
    <x v="0"/>
    <s v="Yes"/>
    <x v="2"/>
    <n v="2"/>
    <x v="0"/>
    <x v="0"/>
    <s v="Yes"/>
    <x v="0"/>
    <x v="1"/>
    <x v="5"/>
    <s v="Yes"/>
    <s v="No"/>
    <x v="1"/>
    <s v="Software Development"/>
    <n v="1"/>
    <x v="2"/>
    <s v="Single"/>
    <x v="1"/>
    <s v="Family"/>
    <x v="1"/>
    <n v="2.2599999999999998"/>
    <s v="No"/>
    <n v="2.31"/>
    <n v="20"/>
    <n v="35000"/>
    <x v="2"/>
    <x v="0"/>
    <n v="49"/>
  </r>
  <r>
    <x v="3"/>
    <x v="1"/>
    <n v="21"/>
    <n v="2020"/>
    <x v="0"/>
    <n v="2"/>
    <x v="0"/>
    <s v="No"/>
    <x v="3"/>
    <n v="2"/>
    <x v="0"/>
    <x v="0"/>
    <s v="Yes"/>
    <x v="2"/>
    <x v="1"/>
    <x v="10"/>
    <s v="No"/>
    <s v="No"/>
    <x v="1"/>
    <s v="Software Development"/>
    <n v="1"/>
    <x v="2"/>
    <s v="Single"/>
    <x v="1"/>
    <s v="Bachelor"/>
    <x v="0"/>
    <n v="3.65"/>
    <s v="No"/>
    <n v="3.65"/>
    <n v="12"/>
    <n v="35000"/>
    <x v="1"/>
    <x v="0"/>
    <n v="57.6"/>
  </r>
  <r>
    <x v="1"/>
    <x v="1"/>
    <n v="22"/>
    <n v="2019"/>
    <x v="0"/>
    <n v="3"/>
    <x v="0"/>
    <s v="Yes"/>
    <x v="2"/>
    <n v="1"/>
    <x v="0"/>
    <x v="0"/>
    <s v="Yes"/>
    <x v="3"/>
    <x v="0"/>
    <x v="1"/>
    <s v="No"/>
    <s v="No"/>
    <x v="0"/>
    <s v="Software Development"/>
    <n v="1"/>
    <x v="5"/>
    <s v="Single"/>
    <x v="1"/>
    <s v="Family"/>
    <x v="0"/>
    <n v="3.03"/>
    <s v="No"/>
    <n v="3.02"/>
    <n v="25"/>
    <n v="49000"/>
    <x v="0"/>
    <x v="0"/>
    <n v="47.400000000000006"/>
  </r>
  <r>
    <x v="2"/>
    <x v="0"/>
    <n v="22"/>
    <n v="2018"/>
    <x v="0"/>
    <n v="7"/>
    <x v="0"/>
    <s v="Yes"/>
    <x v="2"/>
    <n v="1"/>
    <x v="0"/>
    <x v="0"/>
    <s v="Yes"/>
    <x v="4"/>
    <x v="1"/>
    <x v="2"/>
    <s v="No"/>
    <s v="No"/>
    <x v="0"/>
    <s v="Software Development"/>
    <n v="0"/>
    <x v="2"/>
    <s v="Single"/>
    <x v="1"/>
    <s v="Bachelor"/>
    <x v="1"/>
    <n v="3.93"/>
    <s v="No"/>
    <n v="3.44"/>
    <n v="53"/>
    <n v="15000"/>
    <x v="0"/>
    <x v="0"/>
    <n v="38"/>
  </r>
  <r>
    <x v="4"/>
    <x v="1"/>
    <n v="22"/>
    <n v="2018"/>
    <x v="0"/>
    <n v="9"/>
    <x v="1"/>
    <s v="Yes"/>
    <x v="5"/>
    <n v="3"/>
    <x v="0"/>
    <x v="0"/>
    <s v="Yes"/>
    <x v="2"/>
    <x v="2"/>
    <x v="2"/>
    <s v="No"/>
    <s v="No"/>
    <x v="0"/>
    <s v="Software Development"/>
    <n v="2"/>
    <x v="0"/>
    <s v="Single"/>
    <x v="0"/>
    <s v="Family"/>
    <x v="0"/>
    <n v="3"/>
    <s v="No"/>
    <n v="3.09"/>
    <n v="105"/>
    <n v="2000000"/>
    <x v="0"/>
    <x v="0"/>
    <n v="50"/>
  </r>
  <r>
    <x v="3"/>
    <x v="1"/>
    <n v="20"/>
    <n v="2021"/>
    <x v="0"/>
    <n v="1"/>
    <x v="0"/>
    <s v="Yes"/>
    <x v="2"/>
    <n v="1"/>
    <x v="0"/>
    <x v="0"/>
    <s v="Yes"/>
    <x v="1"/>
    <x v="1"/>
    <x v="8"/>
    <s v="No"/>
    <s v="No"/>
    <x v="0"/>
    <s v="Software Development"/>
    <n v="0"/>
    <x v="2"/>
    <s v="Single"/>
    <x v="1"/>
    <s v="Family"/>
    <x v="0"/>
    <n v="0"/>
    <s v="No"/>
    <n v="0"/>
    <n v="0"/>
    <n v="62488"/>
    <x v="2"/>
    <x v="0"/>
    <n v="45.2"/>
  </r>
  <r>
    <x v="3"/>
    <x v="0"/>
    <n v="20"/>
    <n v="2020"/>
    <x v="0"/>
    <n v="2"/>
    <x v="0"/>
    <s v="Yes"/>
    <x v="6"/>
    <n v="4"/>
    <x v="0"/>
    <x v="0"/>
    <s v="Yes"/>
    <x v="2"/>
    <x v="1"/>
    <x v="3"/>
    <s v="No"/>
    <s v="No"/>
    <x v="0"/>
    <s v="Software Development"/>
    <n v="2"/>
    <x v="2"/>
    <s v="Single"/>
    <x v="0"/>
    <s v="Bachelor"/>
    <x v="0"/>
    <n v="3.45"/>
    <s v="No"/>
    <n v="3.45"/>
    <n v="11"/>
    <n v="30000"/>
    <x v="0"/>
    <x v="0"/>
    <n v="65.2"/>
  </r>
  <r>
    <x v="1"/>
    <x v="1"/>
    <n v="21"/>
    <n v="2020"/>
    <x v="0"/>
    <n v="3"/>
    <x v="0"/>
    <s v="Yes"/>
    <x v="0"/>
    <n v="4"/>
    <x v="0"/>
    <x v="0"/>
    <s v="Yes"/>
    <x v="3"/>
    <x v="1"/>
    <x v="5"/>
    <s v="No"/>
    <s v="No"/>
    <x v="0"/>
    <s v="Software Development"/>
    <n v="1"/>
    <x v="2"/>
    <s v="Single"/>
    <x v="1"/>
    <s v="Family"/>
    <x v="0"/>
    <n v="2.94"/>
    <s v="No"/>
    <n v="3.03"/>
    <n v="23"/>
    <n v="62488"/>
    <x v="0"/>
    <x v="0"/>
    <n v="52"/>
  </r>
  <r>
    <x v="1"/>
    <x v="0"/>
    <n v="21"/>
    <n v="2019"/>
    <x v="0"/>
    <n v="3"/>
    <x v="0"/>
    <s v="Yes"/>
    <x v="6"/>
    <n v="2"/>
    <x v="0"/>
    <x v="0"/>
    <s v="Yes"/>
    <x v="3"/>
    <x v="0"/>
    <x v="5"/>
    <s v="No"/>
    <s v="No"/>
    <x v="1"/>
    <s v="Software Development"/>
    <n v="4"/>
    <x v="2"/>
    <s v="Relationship"/>
    <x v="0"/>
    <s v="Family"/>
    <x v="0"/>
    <n v="3.93"/>
    <s v="No"/>
    <n v="3.95"/>
    <n v="25"/>
    <n v="50000"/>
    <x v="1"/>
    <x v="0"/>
    <n v="76"/>
  </r>
  <r>
    <x v="1"/>
    <x v="0"/>
    <n v="21"/>
    <n v="2019"/>
    <x v="0"/>
    <n v="3"/>
    <x v="0"/>
    <s v="Yes"/>
    <x v="1"/>
    <n v="1"/>
    <x v="1"/>
    <x v="0"/>
    <s v="Yes"/>
    <x v="2"/>
    <x v="0"/>
    <x v="9"/>
    <s v="No"/>
    <s v="No"/>
    <x v="1"/>
    <s v="Software Development"/>
    <n v="2"/>
    <x v="0"/>
    <s v="Single"/>
    <x v="0"/>
    <s v="Family"/>
    <x v="1"/>
    <n v="3.86"/>
    <s v="No"/>
    <n v="3.84"/>
    <n v="24"/>
    <n v="50000"/>
    <x v="1"/>
    <x v="0"/>
    <n v="43"/>
  </r>
  <r>
    <x v="3"/>
    <x v="0"/>
    <n v="20"/>
    <n v="2020"/>
    <x v="0"/>
    <n v="3"/>
    <x v="1"/>
    <s v="Yes"/>
    <x v="5"/>
    <n v="2"/>
    <x v="0"/>
    <x v="0"/>
    <s v="Yes"/>
    <x v="2"/>
    <x v="0"/>
    <x v="5"/>
    <s v="Yes"/>
    <s v="No"/>
    <x v="1"/>
    <s v="Software Development"/>
    <n v="1"/>
    <x v="2"/>
    <s v="Single"/>
    <x v="1"/>
    <s v="Family"/>
    <x v="0"/>
    <n v="2.93"/>
    <s v="No"/>
    <n v="2.84"/>
    <n v="26"/>
    <n v="30000"/>
    <x v="0"/>
    <x v="0"/>
    <n v="55"/>
  </r>
  <r>
    <x v="1"/>
    <x v="0"/>
    <n v="20"/>
    <n v="2020"/>
    <x v="0"/>
    <n v="4"/>
    <x v="0"/>
    <s v="No"/>
    <x v="3"/>
    <n v="3"/>
    <x v="1"/>
    <x v="0"/>
    <s v="Yes"/>
    <x v="3"/>
    <x v="0"/>
    <x v="2"/>
    <s v="No"/>
    <s v="No"/>
    <x v="0"/>
    <s v="Software Development"/>
    <n v="2"/>
    <x v="2"/>
    <s v="Single"/>
    <x v="1"/>
    <s v="Bachelor"/>
    <x v="0"/>
    <n v="3.06"/>
    <s v="No"/>
    <n v="3.08"/>
    <n v="36"/>
    <n v="7000"/>
    <x v="0"/>
    <x v="0"/>
    <n v="53"/>
  </r>
  <r>
    <x v="3"/>
    <x v="1"/>
    <n v="21"/>
    <n v="2019"/>
    <x v="0"/>
    <n v="1"/>
    <x v="0"/>
    <s v="Yes"/>
    <x v="2"/>
    <n v="1"/>
    <x v="0"/>
    <x v="0"/>
    <s v="Yes"/>
    <x v="6"/>
    <x v="2"/>
    <x v="5"/>
    <s v="No"/>
    <s v="No"/>
    <x v="0"/>
    <s v="Cyber security"/>
    <n v="0"/>
    <x v="2"/>
    <s v="Single"/>
    <x v="1"/>
    <s v="Family"/>
    <x v="0"/>
    <n v="0"/>
    <s v="No"/>
    <n v="0"/>
    <n v="0"/>
    <n v="50000"/>
    <x v="2"/>
    <x v="0"/>
    <n v="46"/>
  </r>
  <r>
    <x v="2"/>
    <x v="1"/>
    <n v="21"/>
    <n v="2018"/>
    <x v="0"/>
    <n v="8"/>
    <x v="0"/>
    <s v="Yes"/>
    <x v="9"/>
    <n v="0"/>
    <x v="0"/>
    <x v="0"/>
    <s v="Yes"/>
    <x v="1"/>
    <x v="0"/>
    <x v="5"/>
    <s v="No"/>
    <s v="No"/>
    <x v="0"/>
    <s v="Software Development"/>
    <n v="4"/>
    <x v="2"/>
    <s v="Single"/>
    <x v="1"/>
    <s v="Family"/>
    <x v="0"/>
    <n v="3.92"/>
    <s v="No"/>
    <n v="3.94"/>
    <n v="60"/>
    <n v="50000"/>
    <x v="1"/>
    <x v="0"/>
    <n v="52"/>
  </r>
  <r>
    <x v="1"/>
    <x v="0"/>
    <n v="21"/>
    <n v="2019"/>
    <x v="0"/>
    <n v="3"/>
    <x v="1"/>
    <s v="Yes"/>
    <x v="2"/>
    <n v="1"/>
    <x v="0"/>
    <x v="0"/>
    <s v="Yes"/>
    <x v="2"/>
    <x v="0"/>
    <x v="8"/>
    <s v="No"/>
    <s v="No"/>
    <x v="1"/>
    <s v="Software Development"/>
    <n v="1"/>
    <x v="2"/>
    <s v="Single"/>
    <x v="0"/>
    <s v="Family"/>
    <x v="0"/>
    <n v="3.17"/>
    <s v="No"/>
    <n v="3.53"/>
    <n v="25"/>
    <n v="30000"/>
    <x v="1"/>
    <x v="0"/>
    <n v="48.2"/>
  </r>
  <r>
    <x v="3"/>
    <x v="1"/>
    <n v="20"/>
    <n v="2020"/>
    <x v="0"/>
    <n v="1"/>
    <x v="0"/>
    <s v="Yes"/>
    <x v="1"/>
    <n v="1"/>
    <x v="0"/>
    <x v="0"/>
    <s v="Yes"/>
    <x v="1"/>
    <x v="1"/>
    <x v="4"/>
    <s v="No"/>
    <s v="No"/>
    <x v="1"/>
    <s v="Software Development"/>
    <n v="1"/>
    <x v="2"/>
    <s v="Single"/>
    <x v="1"/>
    <s v="Family"/>
    <x v="0"/>
    <n v="3.63"/>
    <s v="No"/>
    <n v="3.63"/>
    <n v="11"/>
    <n v="35000"/>
    <x v="1"/>
    <x v="0"/>
    <n v="44"/>
  </r>
  <r>
    <x v="1"/>
    <x v="0"/>
    <n v="20"/>
    <n v="2020"/>
    <x v="0"/>
    <n v="3"/>
    <x v="0"/>
    <s v="No"/>
    <x v="6"/>
    <n v="2"/>
    <x v="0"/>
    <x v="0"/>
    <s v="Yes"/>
    <x v="2"/>
    <x v="0"/>
    <x v="8"/>
    <s v="No"/>
    <s v="No"/>
    <x v="0"/>
    <s v="Software Development"/>
    <n v="2"/>
    <x v="2"/>
    <s v="Single"/>
    <x v="1"/>
    <s v="Family"/>
    <x v="0"/>
    <n v="3.98"/>
    <s v="No"/>
    <n v="3.86"/>
    <n v="23"/>
    <n v="20000"/>
    <x v="1"/>
    <x v="0"/>
    <n v="69.2"/>
  </r>
  <r>
    <x v="1"/>
    <x v="1"/>
    <n v="21"/>
    <n v="2020"/>
    <x v="0"/>
    <n v="4"/>
    <x v="1"/>
    <s v="Yes"/>
    <x v="4"/>
    <n v="1"/>
    <x v="0"/>
    <x v="0"/>
    <s v="No"/>
    <x v="2"/>
    <x v="0"/>
    <x v="6"/>
    <s v="Yes"/>
    <s v="No"/>
    <x v="0"/>
    <s v="Software Development"/>
    <n v="3"/>
    <x v="2"/>
    <s v="Single"/>
    <x v="0"/>
    <s v="Family"/>
    <x v="0"/>
    <n v="3.39"/>
    <s v="No"/>
    <n v="2.8"/>
    <n v="20"/>
    <n v="40000"/>
    <x v="0"/>
    <x v="0"/>
    <n v="65.800000000000011"/>
  </r>
  <r>
    <x v="1"/>
    <x v="1"/>
    <n v="18"/>
    <n v="2020"/>
    <x v="0"/>
    <n v="2"/>
    <x v="0"/>
    <s v="No"/>
    <x v="2"/>
    <n v="2"/>
    <x v="1"/>
    <x v="0"/>
    <s v="No"/>
    <x v="1"/>
    <x v="0"/>
    <x v="0"/>
    <s v="No"/>
    <s v="No"/>
    <x v="1"/>
    <s v="Software Development"/>
    <n v="1"/>
    <x v="2"/>
    <s v="Engaged"/>
    <x v="1"/>
    <s v="Bachelor"/>
    <x v="1"/>
    <n v="3.68"/>
    <s v="No"/>
    <n v="3.68"/>
    <n v="11"/>
    <n v="40000"/>
    <x v="1"/>
    <x v="0"/>
    <n v="45"/>
  </r>
  <r>
    <x v="3"/>
    <x v="0"/>
    <n v="21"/>
    <n v="2019"/>
    <x v="0"/>
    <n v="2"/>
    <x v="0"/>
    <s v="No"/>
    <x v="3"/>
    <n v="3"/>
    <x v="0"/>
    <x v="0"/>
    <s v="Yes"/>
    <x v="4"/>
    <x v="1"/>
    <x v="0"/>
    <s v="Yes"/>
    <s v="No"/>
    <x v="0"/>
    <s v="Software Development"/>
    <n v="3"/>
    <x v="2"/>
    <s v="Single"/>
    <x v="0"/>
    <s v="Bachelor"/>
    <x v="0"/>
    <n v="3.83"/>
    <s v="No"/>
    <n v="3.83"/>
    <n v="11"/>
    <n v="20000"/>
    <x v="1"/>
    <x v="0"/>
    <n v="60"/>
  </r>
  <r>
    <x v="2"/>
    <x v="0"/>
    <n v="22"/>
    <n v="2019"/>
    <x v="0"/>
    <n v="8"/>
    <x v="1"/>
    <s v="No"/>
    <x v="0"/>
    <n v="1"/>
    <x v="0"/>
    <x v="0"/>
    <s v="Yes"/>
    <x v="4"/>
    <x v="0"/>
    <x v="5"/>
    <s v="No"/>
    <s v="No"/>
    <x v="0"/>
    <s v="Software Development"/>
    <n v="2"/>
    <x v="2"/>
    <s v="Single"/>
    <x v="1"/>
    <s v="Bachelor"/>
    <x v="0"/>
    <n v="3.64"/>
    <s v="No"/>
    <n v="3.74"/>
    <n v="87"/>
    <n v="50000"/>
    <x v="1"/>
    <x v="0"/>
    <n v="55"/>
  </r>
  <r>
    <x v="1"/>
    <x v="0"/>
    <n v="20"/>
    <n v="2020"/>
    <x v="0"/>
    <n v="3"/>
    <x v="0"/>
    <s v="Yes"/>
    <x v="2"/>
    <n v="1"/>
    <x v="0"/>
    <x v="0"/>
    <s v="Yes"/>
    <x v="3"/>
    <x v="0"/>
    <x v="5"/>
    <s v="No"/>
    <s v="No"/>
    <x v="0"/>
    <s v="Software Development"/>
    <n v="1"/>
    <x v="10"/>
    <s v="Single"/>
    <x v="1"/>
    <s v="Family"/>
    <x v="0"/>
    <n v="2.96"/>
    <s v="No"/>
    <n v="3.38"/>
    <n v="25"/>
    <n v="25000"/>
    <x v="0"/>
    <x v="0"/>
    <n v="49"/>
  </r>
  <r>
    <x v="2"/>
    <x v="0"/>
    <n v="22"/>
    <n v="2019"/>
    <x v="0"/>
    <n v="6"/>
    <x v="1"/>
    <s v="Yes"/>
    <x v="0"/>
    <n v="2"/>
    <x v="0"/>
    <x v="0"/>
    <s v="Yes"/>
    <x v="3"/>
    <x v="0"/>
    <x v="5"/>
    <s v="Yes"/>
    <s v="No"/>
    <x v="0"/>
    <s v="Software Development"/>
    <n v="2"/>
    <x v="2"/>
    <s v="Single"/>
    <x v="0"/>
    <s v="Bachelor"/>
    <x v="0"/>
    <n v="2.25"/>
    <s v="No"/>
    <n v="3.15"/>
    <n v="60"/>
    <n v="20000"/>
    <x v="0"/>
    <x v="0"/>
    <n v="55"/>
  </r>
  <r>
    <x v="2"/>
    <x v="0"/>
    <n v="19"/>
    <n v="2020"/>
    <x v="0"/>
    <n v="2"/>
    <x v="0"/>
    <s v="No"/>
    <x v="3"/>
    <n v="1"/>
    <x v="0"/>
    <x v="0"/>
    <s v="Yes"/>
    <x v="2"/>
    <x v="0"/>
    <x v="5"/>
    <s v="No"/>
    <s v="No"/>
    <x v="1"/>
    <s v="Software Development"/>
    <n v="2"/>
    <x v="0"/>
    <s v="Single"/>
    <x v="0"/>
    <s v="Bachelor"/>
    <x v="1"/>
    <n v="3.8"/>
    <s v="No"/>
    <n v="3.8"/>
    <n v="11"/>
    <n v="20000"/>
    <x v="1"/>
    <x v="0"/>
    <n v="61"/>
  </r>
  <r>
    <x v="1"/>
    <x v="1"/>
    <n v="20"/>
    <n v="2018"/>
    <x v="0"/>
    <n v="3"/>
    <x v="0"/>
    <s v="Yes"/>
    <x v="1"/>
    <n v="2"/>
    <x v="1"/>
    <x v="0"/>
    <s v="Yes"/>
    <x v="0"/>
    <x v="0"/>
    <x v="0"/>
    <s v="No"/>
    <s v="No"/>
    <x v="0"/>
    <s v="Software Development"/>
    <n v="1"/>
    <x v="2"/>
    <s v="Single"/>
    <x v="1"/>
    <s v="Family"/>
    <x v="0"/>
    <n v="3.49"/>
    <s v="No"/>
    <n v="3.5"/>
    <n v="23"/>
    <n v="30000"/>
    <x v="1"/>
    <x v="0"/>
    <n v="42"/>
  </r>
  <r>
    <x v="1"/>
    <x v="0"/>
    <n v="21"/>
    <n v="2021"/>
    <x v="0"/>
    <n v="3"/>
    <x v="0"/>
    <s v="Yes"/>
    <x v="2"/>
    <n v="1"/>
    <x v="0"/>
    <x v="0"/>
    <s v="Yes"/>
    <x v="2"/>
    <x v="0"/>
    <x v="23"/>
    <s v="No"/>
    <s v="No"/>
    <x v="1"/>
    <s v="Software Development"/>
    <n v="1"/>
    <x v="2"/>
    <s v="Single"/>
    <x v="1"/>
    <s v="Family"/>
    <x v="0"/>
    <n v="2.11"/>
    <s v="No"/>
    <n v="3"/>
    <n v="26"/>
    <n v="50000"/>
    <x v="0"/>
    <x v="0"/>
    <n v="33"/>
  </r>
  <r>
    <x v="1"/>
    <x v="0"/>
    <n v="20"/>
    <n v="2020"/>
    <x v="0"/>
    <n v="2"/>
    <x v="0"/>
    <s v="No"/>
    <x v="0"/>
    <n v="1"/>
    <x v="0"/>
    <x v="0"/>
    <s v="Yes"/>
    <x v="1"/>
    <x v="0"/>
    <x v="10"/>
    <s v="Yes"/>
    <s v="Yes"/>
    <x v="0"/>
    <s v="Software Development"/>
    <n v="1"/>
    <x v="2"/>
    <s v="Single"/>
    <x v="1"/>
    <s v="Family"/>
    <x v="0"/>
    <n v="3.42"/>
    <s v="No"/>
    <n v="3.42"/>
    <n v="11"/>
    <n v="20000"/>
    <x v="0"/>
    <x v="0"/>
    <n v="51.6"/>
  </r>
  <r>
    <x v="2"/>
    <x v="1"/>
    <n v="23"/>
    <n v="2019"/>
    <x v="0"/>
    <n v="7"/>
    <x v="0"/>
    <s v="No"/>
    <x v="3"/>
    <n v="2"/>
    <x v="0"/>
    <x v="0"/>
    <s v="Yes"/>
    <x v="5"/>
    <x v="0"/>
    <x v="10"/>
    <s v="No"/>
    <s v="No"/>
    <x v="0"/>
    <s v="Basic knowledge"/>
    <n v="2"/>
    <x v="4"/>
    <s v="Engaged"/>
    <x v="0"/>
    <s v="Bachelor"/>
    <x v="1"/>
    <n v="3.96"/>
    <s v="No"/>
    <n v="3.93"/>
    <n v="76"/>
    <n v="12500"/>
    <x v="1"/>
    <x v="0"/>
    <n v="60.6"/>
  </r>
  <r>
    <x v="0"/>
    <x v="0"/>
    <n v="23"/>
    <n v="2017"/>
    <x v="0"/>
    <n v="12"/>
    <x v="1"/>
    <s v="Yes"/>
    <x v="7"/>
    <n v="3"/>
    <x v="0"/>
    <x v="0"/>
    <s v="Yes"/>
    <x v="2"/>
    <x v="0"/>
    <x v="0"/>
    <s v="Yes"/>
    <s v="No"/>
    <x v="0"/>
    <s v="Software Development"/>
    <n v="4"/>
    <x v="2"/>
    <s v="Single"/>
    <x v="1"/>
    <s v="Bachelor"/>
    <x v="0"/>
    <n v="2.86"/>
    <s v="No"/>
    <n v="3.26"/>
    <n v="125"/>
    <n v="15000"/>
    <x v="0"/>
    <x v="0"/>
    <n v="69"/>
  </r>
  <r>
    <x v="3"/>
    <x v="0"/>
    <n v="21"/>
    <n v="2020"/>
    <x v="0"/>
    <n v="2"/>
    <x v="1"/>
    <s v="No"/>
    <x v="3"/>
    <n v="3"/>
    <x v="0"/>
    <x v="0"/>
    <s v="No"/>
    <x v="4"/>
    <x v="1"/>
    <x v="23"/>
    <s v="Yes"/>
    <s v="No"/>
    <x v="0"/>
    <s v="Software Development"/>
    <n v="1"/>
    <x v="2"/>
    <s v="Single"/>
    <x v="1"/>
    <s v="Bachelor"/>
    <x v="0"/>
    <n v="0.5"/>
    <s v="No"/>
    <n v="0.5"/>
    <n v="11"/>
    <n v="5000"/>
    <x v="2"/>
    <x v="0"/>
    <n v="42"/>
  </r>
  <r>
    <x v="3"/>
    <x v="1"/>
    <n v="20"/>
    <n v="2020"/>
    <x v="0"/>
    <n v="1"/>
    <x v="1"/>
    <s v="No"/>
    <x v="3"/>
    <n v="2"/>
    <x v="0"/>
    <x v="0"/>
    <s v="Yes"/>
    <x v="1"/>
    <x v="0"/>
    <x v="8"/>
    <s v="No"/>
    <s v="No"/>
    <x v="0"/>
    <s v="Software Development"/>
    <n v="1"/>
    <x v="2"/>
    <s v="Single"/>
    <x v="1"/>
    <s v="Family"/>
    <x v="0"/>
    <n v="3.5"/>
    <s v="No"/>
    <n v="3.5"/>
    <n v="0"/>
    <n v="20000"/>
    <x v="1"/>
    <x v="0"/>
    <n v="57.2"/>
  </r>
  <r>
    <x v="3"/>
    <x v="0"/>
    <n v="20"/>
    <n v="2020"/>
    <x v="0"/>
    <n v="2"/>
    <x v="0"/>
    <s v="No"/>
    <x v="1"/>
    <n v="2"/>
    <x v="0"/>
    <x v="0"/>
    <s v="Yes"/>
    <x v="2"/>
    <x v="1"/>
    <x v="0"/>
    <s v="No"/>
    <s v="No"/>
    <x v="1"/>
    <s v="Software Development"/>
    <n v="1"/>
    <x v="2"/>
    <s v="Single"/>
    <x v="1"/>
    <s v="Family"/>
    <x v="0"/>
    <n v="2.52"/>
    <s v="No"/>
    <n v="2.52"/>
    <n v="12"/>
    <n v="50000"/>
    <x v="0"/>
    <x v="0"/>
    <n v="42"/>
  </r>
  <r>
    <x v="1"/>
    <x v="0"/>
    <n v="21"/>
    <n v="2019"/>
    <x v="0"/>
    <n v="3"/>
    <x v="1"/>
    <s v="Yes"/>
    <x v="5"/>
    <n v="1"/>
    <x v="0"/>
    <x v="0"/>
    <s v="Yes"/>
    <x v="2"/>
    <x v="0"/>
    <x v="8"/>
    <s v="No"/>
    <s v="No"/>
    <x v="1"/>
    <s v="Software Development"/>
    <n v="3"/>
    <x v="2"/>
    <s v="Single"/>
    <x v="1"/>
    <s v="Family"/>
    <x v="0"/>
    <n v="3.72"/>
    <s v="No"/>
    <n v="3.71"/>
    <n v="25"/>
    <n v="60000"/>
    <x v="1"/>
    <x v="0"/>
    <n v="60.2"/>
  </r>
  <r>
    <x v="4"/>
    <x v="1"/>
    <n v="22"/>
    <n v="2018"/>
    <x v="0"/>
    <n v="11"/>
    <x v="0"/>
    <s v="No"/>
    <x v="3"/>
    <n v="2"/>
    <x v="1"/>
    <x v="0"/>
    <s v="Yes"/>
    <x v="2"/>
    <x v="0"/>
    <x v="4"/>
    <s v="No"/>
    <s v="No"/>
    <x v="0"/>
    <s v="System analysis"/>
    <n v="1"/>
    <x v="6"/>
    <s v="Relationship"/>
    <x v="0"/>
    <s v="Family"/>
    <x v="0"/>
    <n v="2.8"/>
    <s v="No"/>
    <n v="3.35"/>
    <n v="120"/>
    <n v="68000"/>
    <x v="0"/>
    <x v="0"/>
    <n v="56"/>
  </r>
  <r>
    <x v="2"/>
    <x v="1"/>
    <n v="21"/>
    <n v="2019"/>
    <x v="0"/>
    <n v="6"/>
    <x v="0"/>
    <s v="No"/>
    <x v="0"/>
    <n v="2"/>
    <x v="0"/>
    <x v="0"/>
    <s v="Yes"/>
    <x v="2"/>
    <x v="0"/>
    <x v="10"/>
    <s v="No"/>
    <s v="No"/>
    <x v="0"/>
    <s v="Software Development"/>
    <n v="1"/>
    <x v="2"/>
    <s v="Single"/>
    <x v="1"/>
    <s v="Family"/>
    <x v="0"/>
    <n v="3.98"/>
    <s v="No"/>
    <n v="3.99"/>
    <n v="58"/>
    <n v="40000"/>
    <x v="1"/>
    <x v="0"/>
    <n v="51.6"/>
  </r>
  <r>
    <x v="1"/>
    <x v="0"/>
    <n v="20"/>
    <n v="2019"/>
    <x v="0"/>
    <n v="3"/>
    <x v="1"/>
    <s v="No"/>
    <x v="5"/>
    <n v="2"/>
    <x v="0"/>
    <x v="0"/>
    <s v="Yes"/>
    <x v="1"/>
    <x v="0"/>
    <x v="5"/>
    <s v="No"/>
    <s v="No"/>
    <x v="1"/>
    <s v="Software Development"/>
    <n v="2"/>
    <x v="2"/>
    <s v="Single"/>
    <x v="1"/>
    <s v="Bachelor"/>
    <x v="1"/>
    <n v="3.68"/>
    <s v="No"/>
    <n v="3.61"/>
    <n v="24"/>
    <n v="40000"/>
    <x v="1"/>
    <x v="0"/>
    <n v="58"/>
  </r>
  <r>
    <x v="1"/>
    <x v="0"/>
    <n v="21"/>
    <n v="2019"/>
    <x v="0"/>
    <n v="3"/>
    <x v="0"/>
    <s v="No"/>
    <x v="1"/>
    <n v="1"/>
    <x v="0"/>
    <x v="0"/>
    <s v="Yes"/>
    <x v="0"/>
    <x v="0"/>
    <x v="0"/>
    <s v="No"/>
    <s v="No"/>
    <x v="1"/>
    <s v="Software Development"/>
    <n v="1"/>
    <x v="2"/>
    <s v="Single"/>
    <x v="1"/>
    <s v="Family"/>
    <x v="1"/>
    <n v="3.03"/>
    <s v="No"/>
    <n v="2.94"/>
    <n v="25"/>
    <n v="50000"/>
    <x v="0"/>
    <x v="0"/>
    <n v="42"/>
  </r>
  <r>
    <x v="4"/>
    <x v="1"/>
    <n v="22"/>
    <n v="2017"/>
    <x v="0"/>
    <n v="11"/>
    <x v="1"/>
    <s v="No"/>
    <x v="0"/>
    <n v="2"/>
    <x v="0"/>
    <x v="0"/>
    <s v="Yes"/>
    <x v="4"/>
    <x v="0"/>
    <x v="4"/>
    <s v="No"/>
    <s v="No"/>
    <x v="0"/>
    <s v="Software Development"/>
    <n v="1"/>
    <x v="5"/>
    <s v="Single"/>
    <x v="1"/>
    <s v="Family"/>
    <x v="1"/>
    <n v="3.34"/>
    <s v="No"/>
    <n v="3.18"/>
    <n v="120"/>
    <n v="40000"/>
    <x v="0"/>
    <x v="0"/>
    <n v="50"/>
  </r>
  <r>
    <x v="1"/>
    <x v="1"/>
    <n v="21"/>
    <n v="2020"/>
    <x v="0"/>
    <n v="2"/>
    <x v="0"/>
    <s v="Yes"/>
    <x v="6"/>
    <n v="2"/>
    <x v="0"/>
    <x v="0"/>
    <s v="Yes"/>
    <x v="2"/>
    <x v="1"/>
    <x v="5"/>
    <s v="No"/>
    <s v="No"/>
    <x v="0"/>
    <s v="Software Development"/>
    <n v="1"/>
    <x v="2"/>
    <s v="Single"/>
    <x v="0"/>
    <s v="Family"/>
    <x v="0"/>
    <n v="3.39"/>
    <s v="No"/>
    <n v="3.39"/>
    <n v="12"/>
    <n v="50000"/>
    <x v="0"/>
    <x v="0"/>
    <n v="67"/>
  </r>
  <r>
    <x v="4"/>
    <x v="1"/>
    <n v="23"/>
    <n v="2018"/>
    <x v="0"/>
    <n v="11"/>
    <x v="1"/>
    <s v="Yes"/>
    <x v="0"/>
    <n v="2"/>
    <x v="0"/>
    <x v="0"/>
    <s v="Yes"/>
    <x v="1"/>
    <x v="0"/>
    <x v="1"/>
    <s v="No"/>
    <s v="No"/>
    <x v="0"/>
    <s v="Software Development"/>
    <n v="2"/>
    <x v="2"/>
    <s v="Single"/>
    <x v="1"/>
    <s v="Family"/>
    <x v="0"/>
    <n v="3.78"/>
    <s v="No"/>
    <n v="3.55"/>
    <n v="141"/>
    <n v="18000"/>
    <x v="1"/>
    <x v="0"/>
    <n v="53.400000000000006"/>
  </r>
  <r>
    <x v="4"/>
    <x v="0"/>
    <n v="24"/>
    <n v="2019"/>
    <x v="0"/>
    <n v="5"/>
    <x v="1"/>
    <s v="Yes"/>
    <x v="2"/>
    <n v="2"/>
    <x v="0"/>
    <x v="0"/>
    <s v="Yes"/>
    <x v="7"/>
    <x v="1"/>
    <x v="5"/>
    <s v="Yes"/>
    <s v="No"/>
    <x v="0"/>
    <s v="Software Development"/>
    <n v="8"/>
    <x v="2"/>
    <s v="Single"/>
    <x v="1"/>
    <s v="Family"/>
    <x v="0"/>
    <n v="1.05"/>
    <s v="No"/>
    <n v="2.97"/>
    <n v="42"/>
    <n v="62488"/>
    <x v="0"/>
    <x v="0"/>
    <n v="70"/>
  </r>
  <r>
    <x v="1"/>
    <x v="1"/>
    <n v="20"/>
    <n v="2020"/>
    <x v="0"/>
    <n v="3"/>
    <x v="1"/>
    <s v="No"/>
    <x v="2"/>
    <n v="3"/>
    <x v="0"/>
    <x v="0"/>
    <s v="Yes"/>
    <x v="4"/>
    <x v="1"/>
    <x v="9"/>
    <s v="Yes"/>
    <s v="No"/>
    <x v="1"/>
    <s v="Software Development"/>
    <n v="2"/>
    <x v="4"/>
    <s v="Single"/>
    <x v="1"/>
    <s v="Bachelor"/>
    <x v="0"/>
    <n v="2.06"/>
    <s v="No"/>
    <n v="2.2000000000000002"/>
    <n v="23"/>
    <n v="25000"/>
    <x v="2"/>
    <x v="0"/>
    <n v="46"/>
  </r>
  <r>
    <x v="3"/>
    <x v="1"/>
    <n v="20"/>
    <n v="2020"/>
    <x v="0"/>
    <n v="2"/>
    <x v="0"/>
    <s v="No"/>
    <x v="0"/>
    <n v="1"/>
    <x v="0"/>
    <x v="0"/>
    <s v="Yes"/>
    <x v="1"/>
    <x v="1"/>
    <x v="4"/>
    <s v="No"/>
    <s v="No"/>
    <x v="1"/>
    <s v="Software Development"/>
    <n v="2"/>
    <x v="2"/>
    <s v="Single"/>
    <x v="1"/>
    <s v="Family"/>
    <x v="0"/>
    <n v="3.67"/>
    <s v="No"/>
    <n v="3.67"/>
    <n v="11"/>
    <n v="45000"/>
    <x v="1"/>
    <x v="0"/>
    <n v="53"/>
  </r>
  <r>
    <x v="1"/>
    <x v="1"/>
    <n v="19"/>
    <n v="2020"/>
    <x v="0"/>
    <n v="2"/>
    <x v="1"/>
    <s v="Yes"/>
    <x v="3"/>
    <n v="2"/>
    <x v="0"/>
    <x v="0"/>
    <s v="Yes"/>
    <x v="1"/>
    <x v="0"/>
    <x v="5"/>
    <s v="No"/>
    <s v="No"/>
    <x v="1"/>
    <s v="Software Development"/>
    <n v="3"/>
    <x v="3"/>
    <s v="Single"/>
    <x v="0"/>
    <s v="Family"/>
    <x v="0"/>
    <n v="3.78"/>
    <s v="No"/>
    <n v="3.78"/>
    <n v="11"/>
    <n v="40000"/>
    <x v="1"/>
    <x v="0"/>
    <n v="64"/>
  </r>
  <r>
    <x v="2"/>
    <x v="1"/>
    <n v="20"/>
    <n v="2019"/>
    <x v="0"/>
    <n v="7"/>
    <x v="0"/>
    <s v="No"/>
    <x v="1"/>
    <n v="1"/>
    <x v="1"/>
    <x v="0"/>
    <s v="Yes"/>
    <x v="3"/>
    <x v="0"/>
    <x v="11"/>
    <s v="Yes"/>
    <s v="No"/>
    <x v="1"/>
    <s v="no skills"/>
    <n v="1"/>
    <x v="5"/>
    <s v="Relationship"/>
    <x v="0"/>
    <s v="Family"/>
    <x v="1"/>
    <n v="1.63"/>
    <s v="No"/>
    <n v="2.61"/>
    <n v="79"/>
    <n v="60000"/>
    <x v="0"/>
    <x v="0"/>
    <n v="36"/>
  </r>
  <r>
    <x v="1"/>
    <x v="0"/>
    <n v="21"/>
    <n v="2020"/>
    <x v="0"/>
    <n v="3"/>
    <x v="0"/>
    <s v="No"/>
    <x v="2"/>
    <n v="1"/>
    <x v="0"/>
    <x v="0"/>
    <s v="Yes"/>
    <x v="5"/>
    <x v="1"/>
    <x v="7"/>
    <s v="No"/>
    <s v="No"/>
    <x v="0"/>
    <s v="Software Development"/>
    <n v="2"/>
    <x v="7"/>
    <s v="Single"/>
    <x v="0"/>
    <s v="Bachelor"/>
    <x v="0"/>
    <n v="3.17"/>
    <s v="No"/>
    <n v="3.39"/>
    <n v="22"/>
    <n v="40000"/>
    <x v="0"/>
    <x v="0"/>
    <n v="40"/>
  </r>
  <r>
    <x v="1"/>
    <x v="1"/>
    <n v="20"/>
    <n v="2019"/>
    <x v="0"/>
    <n v="3"/>
    <x v="1"/>
    <s v="Yes"/>
    <x v="2"/>
    <n v="1"/>
    <x v="0"/>
    <x v="0"/>
    <s v="Yes"/>
    <x v="2"/>
    <x v="0"/>
    <x v="5"/>
    <s v="No"/>
    <s v="No"/>
    <x v="1"/>
    <s v="Memorizing"/>
    <n v="3"/>
    <x v="0"/>
    <s v="Single"/>
    <x v="1"/>
    <s v="Family"/>
    <x v="1"/>
    <n v="3.82"/>
    <s v="No"/>
    <n v="3.91"/>
    <n v="23"/>
    <n v="100000"/>
    <x v="1"/>
    <x v="0"/>
    <n v="55"/>
  </r>
  <r>
    <x v="3"/>
    <x v="0"/>
    <n v="22"/>
    <n v="2020"/>
    <x v="0"/>
    <n v="2"/>
    <x v="1"/>
    <s v="No"/>
    <x v="2"/>
    <n v="1"/>
    <x v="0"/>
    <x v="0"/>
    <s v="No"/>
    <x v="4"/>
    <x v="1"/>
    <x v="5"/>
    <s v="No"/>
    <s v="No"/>
    <x v="0"/>
    <s v="Nothing"/>
    <n v="0"/>
    <x v="2"/>
    <s v="Single"/>
    <x v="1"/>
    <s v="Bachelor"/>
    <x v="0"/>
    <n v="2.5499999999999998"/>
    <s v="No"/>
    <n v="2.5499999999999998"/>
    <n v="11"/>
    <n v="40000"/>
    <x v="0"/>
    <x v="0"/>
    <n v="46"/>
  </r>
  <r>
    <x v="1"/>
    <x v="0"/>
    <n v="22"/>
    <n v="2019"/>
    <x v="0"/>
    <n v="3"/>
    <x v="0"/>
    <s v="Yes"/>
    <x v="2"/>
    <n v="3"/>
    <x v="1"/>
    <x v="0"/>
    <s v="Yes"/>
    <x v="2"/>
    <x v="0"/>
    <x v="13"/>
    <s v="No"/>
    <s v="No"/>
    <x v="0"/>
    <s v="Software Development"/>
    <n v="1"/>
    <x v="2"/>
    <s v="Single"/>
    <x v="1"/>
    <s v="Family"/>
    <x v="0"/>
    <n v="3.79"/>
    <s v="No"/>
    <n v="3.89"/>
    <n v="23"/>
    <n v="35000"/>
    <x v="1"/>
    <x v="0"/>
    <n v="45.800000000000004"/>
  </r>
  <r>
    <x v="3"/>
    <x v="0"/>
    <n v="20"/>
    <n v="2020"/>
    <x v="0"/>
    <n v="1"/>
    <x v="0"/>
    <s v="No"/>
    <x v="2"/>
    <n v="1"/>
    <x v="0"/>
    <x v="0"/>
    <s v="No"/>
    <x v="1"/>
    <x v="1"/>
    <x v="10"/>
    <s v="No"/>
    <s v="No"/>
    <x v="1"/>
    <s v="Software Development"/>
    <n v="0"/>
    <x v="2"/>
    <s v="Relationship"/>
    <x v="0"/>
    <s v="Bachelor"/>
    <x v="0"/>
    <n v="4"/>
    <s v="No"/>
    <n v="4"/>
    <n v="10"/>
    <n v="20000"/>
    <x v="1"/>
    <x v="0"/>
    <n v="45.6"/>
  </r>
  <r>
    <x v="4"/>
    <x v="1"/>
    <n v="23"/>
    <n v="2017"/>
    <x v="0"/>
    <n v="11"/>
    <x v="1"/>
    <s v="Yes"/>
    <x v="0"/>
    <n v="2"/>
    <x v="0"/>
    <x v="0"/>
    <s v="Yes"/>
    <x v="2"/>
    <x v="0"/>
    <x v="9"/>
    <s v="No"/>
    <s v="No"/>
    <x v="0"/>
    <s v="Software Development"/>
    <n v="2"/>
    <x v="5"/>
    <s v="Single"/>
    <x v="1"/>
    <s v="Bachelor"/>
    <x v="0"/>
    <n v="3.76"/>
    <s v="No"/>
    <n v="3.62"/>
    <n v="120"/>
    <n v="33000"/>
    <x v="1"/>
    <x v="0"/>
    <n v="49"/>
  </r>
  <r>
    <x v="2"/>
    <x v="0"/>
    <n v="21"/>
    <n v="2019"/>
    <x v="0"/>
    <n v="8"/>
    <x v="0"/>
    <s v="No"/>
    <x v="3"/>
    <n v="3"/>
    <x v="0"/>
    <x v="0"/>
    <s v="Yes"/>
    <x v="4"/>
    <x v="1"/>
    <x v="5"/>
    <s v="No"/>
    <s v="No"/>
    <x v="0"/>
    <s v="Software Development"/>
    <n v="2"/>
    <x v="5"/>
    <s v="Single"/>
    <x v="0"/>
    <s v="Bachelor"/>
    <x v="1"/>
    <n v="3.74"/>
    <s v="No"/>
    <n v="3.91"/>
    <n v="88"/>
    <n v="15000"/>
    <x v="1"/>
    <x v="0"/>
    <n v="61"/>
  </r>
  <r>
    <x v="3"/>
    <x v="0"/>
    <n v="20"/>
    <n v="2020"/>
    <x v="0"/>
    <n v="1"/>
    <x v="0"/>
    <s v="No"/>
    <x v="1"/>
    <n v="1"/>
    <x v="0"/>
    <x v="0"/>
    <s v="Yes"/>
    <x v="2"/>
    <x v="1"/>
    <x v="8"/>
    <s v="No"/>
    <s v="No"/>
    <x v="0"/>
    <s v="Trying to learn"/>
    <n v="2"/>
    <x v="2"/>
    <s v="Single"/>
    <x v="0"/>
    <s v="Bachelor"/>
    <x v="0"/>
    <n v="0"/>
    <s v="No"/>
    <n v="0"/>
    <n v="0"/>
    <n v="20000"/>
    <x v="2"/>
    <x v="0"/>
    <n v="48.2"/>
  </r>
  <r>
    <x v="3"/>
    <x v="0"/>
    <n v="20"/>
    <n v="2019"/>
    <x v="0"/>
    <n v="1"/>
    <x v="0"/>
    <s v="Yes"/>
    <x v="2"/>
    <n v="1"/>
    <x v="0"/>
    <x v="0"/>
    <s v="Yes"/>
    <x v="3"/>
    <x v="1"/>
    <x v="10"/>
    <s v="Yes"/>
    <s v="No"/>
    <x v="0"/>
    <s v="Software Development"/>
    <n v="2"/>
    <x v="2"/>
    <s v="Single"/>
    <x v="0"/>
    <s v="Bachelor"/>
    <x v="0"/>
    <n v="3.15"/>
    <s v="No"/>
    <n v="3.15"/>
    <n v="13"/>
    <n v="20000"/>
    <x v="0"/>
    <x v="0"/>
    <n v="51.6"/>
  </r>
  <r>
    <x v="1"/>
    <x v="1"/>
    <n v="21"/>
    <n v="2020"/>
    <x v="0"/>
    <n v="3"/>
    <x v="0"/>
    <s v="No"/>
    <x v="2"/>
    <n v="2"/>
    <x v="0"/>
    <x v="0"/>
    <s v="Yes"/>
    <x v="4"/>
    <x v="0"/>
    <x v="5"/>
    <s v="No"/>
    <s v="No"/>
    <x v="1"/>
    <s v="Software Development"/>
    <n v="2"/>
    <x v="2"/>
    <s v="Single"/>
    <x v="1"/>
    <s v="Family"/>
    <x v="0"/>
    <n v="3.38"/>
    <s v="No"/>
    <n v="3.2"/>
    <n v="23"/>
    <n v="50000"/>
    <x v="0"/>
    <x v="0"/>
    <n v="52"/>
  </r>
  <r>
    <x v="2"/>
    <x v="0"/>
    <n v="22"/>
    <n v="2018"/>
    <x v="0"/>
    <n v="6"/>
    <x v="1"/>
    <s v="No"/>
    <x v="3"/>
    <n v="2"/>
    <x v="0"/>
    <x v="0"/>
    <s v="No"/>
    <x v="1"/>
    <x v="0"/>
    <x v="0"/>
    <s v="No"/>
    <s v="No"/>
    <x v="0"/>
    <s v="Software Development"/>
    <n v="3"/>
    <x v="2"/>
    <s v="Single"/>
    <x v="1"/>
    <s v="Bachelor"/>
    <x v="0"/>
    <n v="3.98"/>
    <s v="No"/>
    <n v="3.97"/>
    <n v="58"/>
    <n v="70000"/>
    <x v="1"/>
    <x v="0"/>
    <n v="60"/>
  </r>
  <r>
    <x v="3"/>
    <x v="0"/>
    <n v="22"/>
    <n v="2015"/>
    <x v="0"/>
    <n v="2"/>
    <x v="0"/>
    <s v="No"/>
    <x v="2"/>
    <n v="2"/>
    <x v="1"/>
    <x v="0"/>
    <s v="Yes"/>
    <x v="3"/>
    <x v="1"/>
    <x v="4"/>
    <s v="Yes"/>
    <s v="No"/>
    <x v="0"/>
    <s v="Software Development"/>
    <n v="1"/>
    <x v="2"/>
    <s v="Single"/>
    <x v="0"/>
    <s v="Bachelor"/>
    <x v="1"/>
    <n v="2.1"/>
    <s v="No"/>
    <n v="2.1"/>
    <n v="14"/>
    <n v="25000"/>
    <x v="2"/>
    <x v="0"/>
    <n v="47"/>
  </r>
  <r>
    <x v="2"/>
    <x v="1"/>
    <n v="21"/>
    <n v="2019"/>
    <x v="0"/>
    <n v="8"/>
    <x v="0"/>
    <s v="No"/>
    <x v="0"/>
    <n v="1"/>
    <x v="0"/>
    <x v="0"/>
    <s v="Yes"/>
    <x v="0"/>
    <x v="0"/>
    <x v="2"/>
    <s v="Yes"/>
    <s v="No"/>
    <x v="1"/>
    <s v="Software Development"/>
    <n v="1"/>
    <x v="0"/>
    <s v="Single"/>
    <x v="0"/>
    <s v="Bachelor"/>
    <x v="0"/>
    <n v="2.72"/>
    <s v="No"/>
    <n v="2.25"/>
    <n v="62"/>
    <n v="60000"/>
    <x v="2"/>
    <x v="0"/>
    <n v="44"/>
  </r>
  <r>
    <x v="1"/>
    <x v="1"/>
    <n v="22"/>
    <n v="2020"/>
    <x v="0"/>
    <n v="3"/>
    <x v="0"/>
    <s v="Yes"/>
    <x v="0"/>
    <n v="1"/>
    <x v="0"/>
    <x v="1"/>
    <s v="Yes"/>
    <x v="1"/>
    <x v="2"/>
    <x v="8"/>
    <s v="No"/>
    <s v="No"/>
    <x v="0"/>
    <s v="Cyber security"/>
    <n v="4"/>
    <x v="3"/>
    <s v="Single"/>
    <x v="1"/>
    <s v="Family"/>
    <x v="1"/>
    <n v="3.3"/>
    <s v="Yes"/>
    <n v="3.39"/>
    <n v="23"/>
    <n v="50000"/>
    <x v="0"/>
    <x v="0"/>
    <n v="60.2"/>
  </r>
  <r>
    <x v="1"/>
    <x v="0"/>
    <n v="21"/>
    <n v="2020"/>
    <x v="0"/>
    <n v="3"/>
    <x v="0"/>
    <s v="No"/>
    <x v="5"/>
    <n v="1"/>
    <x v="0"/>
    <x v="0"/>
    <s v="Yes"/>
    <x v="2"/>
    <x v="2"/>
    <x v="5"/>
    <s v="No"/>
    <s v="No"/>
    <x v="0"/>
    <s v="Software Development"/>
    <n v="3"/>
    <x v="2"/>
    <s v="Single"/>
    <x v="1"/>
    <s v="Bachelor"/>
    <x v="0"/>
    <n v="4"/>
    <s v="No"/>
    <n v="3.72"/>
    <n v="23"/>
    <n v="30000"/>
    <x v="1"/>
    <x v="0"/>
    <n v="61"/>
  </r>
  <r>
    <x v="3"/>
    <x v="0"/>
    <n v="20"/>
    <n v="2019"/>
    <x v="0"/>
    <n v="2"/>
    <x v="1"/>
    <s v="No"/>
    <x v="2"/>
    <n v="2"/>
    <x v="0"/>
    <x v="0"/>
    <s v="Yes"/>
    <x v="1"/>
    <x v="1"/>
    <x v="0"/>
    <s v="No"/>
    <s v="Yes"/>
    <x v="0"/>
    <s v="Networking"/>
    <n v="2"/>
    <x v="4"/>
    <s v="Single"/>
    <x v="1"/>
    <s v="Bachelor"/>
    <x v="0"/>
    <n v="3.1"/>
    <s v="No"/>
    <n v="3.1"/>
    <n v="12"/>
    <n v="20000"/>
    <x v="0"/>
    <x v="0"/>
    <n v="48"/>
  </r>
  <r>
    <x v="1"/>
    <x v="1"/>
    <n v="20"/>
    <n v="2019"/>
    <x v="0"/>
    <n v="3"/>
    <x v="0"/>
    <s v="No"/>
    <x v="1"/>
    <n v="1"/>
    <x v="0"/>
    <x v="0"/>
    <s v="Yes"/>
    <x v="1"/>
    <x v="2"/>
    <x v="0"/>
    <s v="Yes"/>
    <s v="No"/>
    <x v="0"/>
    <s v="Software Development"/>
    <n v="1"/>
    <x v="2"/>
    <s v="Single"/>
    <x v="1"/>
    <s v="Bachelor"/>
    <x v="0"/>
    <n v="2.56"/>
    <s v="No"/>
    <n v="2.0099999999999998"/>
    <n v="23"/>
    <n v="35000"/>
    <x v="2"/>
    <x v="0"/>
    <n v="42"/>
  </r>
  <r>
    <x v="2"/>
    <x v="1"/>
    <n v="20"/>
    <n v="2020"/>
    <x v="0"/>
    <n v="2"/>
    <x v="0"/>
    <s v="Yes"/>
    <x v="2"/>
    <n v="3"/>
    <x v="0"/>
    <x v="0"/>
    <s v="Yes"/>
    <x v="10"/>
    <x v="0"/>
    <x v="2"/>
    <s v="No"/>
    <s v="No"/>
    <x v="1"/>
    <s v="Photography"/>
    <n v="1"/>
    <x v="2"/>
    <s v="Engaged"/>
    <x v="0"/>
    <s v="Bachelor"/>
    <x v="1"/>
    <n v="3.21"/>
    <s v="No"/>
    <n v="3.21"/>
    <n v="12"/>
    <n v="30000"/>
    <x v="0"/>
    <x v="0"/>
    <n v="41"/>
  </r>
  <r>
    <x v="3"/>
    <x v="1"/>
    <n v="19"/>
    <n v="2021"/>
    <x v="0"/>
    <n v="1"/>
    <x v="0"/>
    <s v="Yes"/>
    <x v="4"/>
    <n v="2"/>
    <x v="0"/>
    <x v="0"/>
    <s v="Yes"/>
    <x v="2"/>
    <x v="0"/>
    <x v="4"/>
    <s v="No"/>
    <s v="No"/>
    <x v="1"/>
    <s v="Software Development"/>
    <n v="2"/>
    <x v="2"/>
    <s v="Single"/>
    <x v="1"/>
    <s v="Family"/>
    <x v="0"/>
    <n v="0"/>
    <s v="No"/>
    <n v="0"/>
    <n v="0"/>
    <n v="70000"/>
    <x v="2"/>
    <x v="0"/>
    <n v="62"/>
  </r>
  <r>
    <x v="3"/>
    <x v="0"/>
    <n v="19"/>
    <n v="2020"/>
    <x v="0"/>
    <n v="12"/>
    <x v="1"/>
    <s v="No"/>
    <x v="5"/>
    <n v="2"/>
    <x v="0"/>
    <x v="0"/>
    <s v="No"/>
    <x v="1"/>
    <x v="0"/>
    <x v="11"/>
    <s v="Yes"/>
    <s v="No"/>
    <x v="0"/>
    <s v="Software Development"/>
    <n v="1"/>
    <x v="2"/>
    <s v="Single"/>
    <x v="0"/>
    <s v="Family"/>
    <x v="1"/>
    <n v="3.38"/>
    <s v="No"/>
    <n v="3.38"/>
    <n v="14"/>
    <n v="15000"/>
    <x v="0"/>
    <x v="0"/>
    <n v="45"/>
  </r>
  <r>
    <x v="3"/>
    <x v="1"/>
    <n v="19"/>
    <n v="2021"/>
    <x v="0"/>
    <n v="1"/>
    <x v="0"/>
    <s v="No"/>
    <x v="0"/>
    <n v="2"/>
    <x v="0"/>
    <x v="0"/>
    <s v="No"/>
    <x v="2"/>
    <x v="1"/>
    <x v="13"/>
    <s v="No"/>
    <s v="No"/>
    <x v="1"/>
    <s v="Software Development"/>
    <n v="1"/>
    <x v="2"/>
    <s v="Single"/>
    <x v="1"/>
    <s v="Family"/>
    <x v="0"/>
    <n v="3.15"/>
    <s v="No"/>
    <n v="3.15"/>
    <n v="11"/>
    <n v="50000"/>
    <x v="0"/>
    <x v="0"/>
    <n v="48.800000000000004"/>
  </r>
  <r>
    <x v="3"/>
    <x v="0"/>
    <n v="21"/>
    <n v="2020"/>
    <x v="0"/>
    <n v="2"/>
    <x v="1"/>
    <s v="No"/>
    <x v="1"/>
    <n v="1"/>
    <x v="0"/>
    <x v="0"/>
    <s v="Yes"/>
    <x v="4"/>
    <x v="1"/>
    <x v="4"/>
    <s v="Yes"/>
    <s v="No"/>
    <x v="0"/>
    <s v="Software Development"/>
    <n v="2"/>
    <x v="2"/>
    <s v="Single"/>
    <x v="0"/>
    <s v="Bachelor"/>
    <x v="0"/>
    <n v="3.9"/>
    <s v="No"/>
    <n v="3.9"/>
    <n v="11"/>
    <n v="30000"/>
    <x v="1"/>
    <x v="0"/>
    <n v="47"/>
  </r>
  <r>
    <x v="3"/>
    <x v="0"/>
    <n v="20"/>
    <n v="2020"/>
    <x v="0"/>
    <n v="2"/>
    <x v="0"/>
    <s v="Yes"/>
    <x v="2"/>
    <n v="1"/>
    <x v="0"/>
    <x v="0"/>
    <s v="Yes"/>
    <x v="3"/>
    <x v="0"/>
    <x v="8"/>
    <s v="No"/>
    <s v="No"/>
    <x v="0"/>
    <s v="Software Development"/>
    <n v="1"/>
    <x v="2"/>
    <s v="Single"/>
    <x v="1"/>
    <s v="Family"/>
    <x v="0"/>
    <n v="3.95"/>
    <s v="No"/>
    <n v="3.95"/>
    <n v="12"/>
    <n v="50000"/>
    <x v="1"/>
    <x v="0"/>
    <n v="48.2"/>
  </r>
  <r>
    <x v="3"/>
    <x v="1"/>
    <n v="20"/>
    <n v="2020"/>
    <x v="0"/>
    <n v="2"/>
    <x v="0"/>
    <s v="Yes"/>
    <x v="0"/>
    <n v="2"/>
    <x v="0"/>
    <x v="0"/>
    <s v="Yes"/>
    <x v="1"/>
    <x v="0"/>
    <x v="5"/>
    <s v="No"/>
    <s v="No"/>
    <x v="1"/>
    <s v="Software Development"/>
    <n v="1"/>
    <x v="3"/>
    <s v="Single"/>
    <x v="1"/>
    <s v="Family"/>
    <x v="0"/>
    <n v="3.03"/>
    <s v="No"/>
    <n v="3.03"/>
    <n v="12"/>
    <n v="90000"/>
    <x v="0"/>
    <x v="0"/>
    <n v="52"/>
  </r>
  <r>
    <x v="0"/>
    <x v="1"/>
    <n v="23"/>
    <n v="2017"/>
    <x v="0"/>
    <n v="14"/>
    <x v="1"/>
    <s v="Yes"/>
    <x v="7"/>
    <n v="1"/>
    <x v="0"/>
    <x v="0"/>
    <s v="Yes"/>
    <x v="0"/>
    <x v="0"/>
    <x v="23"/>
    <s v="Yes"/>
    <s v="No"/>
    <x v="1"/>
    <s v="Cyber security"/>
    <n v="2"/>
    <x v="3"/>
    <s v="Relationship"/>
    <x v="0"/>
    <s v="Bachelor"/>
    <x v="1"/>
    <n v="2.59"/>
    <s v="No"/>
    <n v="2.56"/>
    <n v="133"/>
    <n v="28000"/>
    <x v="0"/>
    <x v="0"/>
    <n v="51"/>
  </r>
  <r>
    <x v="3"/>
    <x v="0"/>
    <n v="20"/>
    <n v="2020"/>
    <x v="0"/>
    <n v="1"/>
    <x v="0"/>
    <s v="No"/>
    <x v="0"/>
    <n v="1"/>
    <x v="0"/>
    <x v="0"/>
    <s v="No"/>
    <x v="2"/>
    <x v="2"/>
    <x v="5"/>
    <s v="No"/>
    <s v="No"/>
    <x v="0"/>
    <s v="Software Development"/>
    <n v="2"/>
    <x v="2"/>
    <s v="Single"/>
    <x v="0"/>
    <s v="Bachelor"/>
    <x v="0"/>
    <n v="0"/>
    <s v="No"/>
    <n v="0"/>
    <n v="0"/>
    <n v="30000"/>
    <x v="2"/>
    <x v="0"/>
    <n v="55"/>
  </r>
  <r>
    <x v="1"/>
    <x v="1"/>
    <n v="19"/>
    <n v="2020"/>
    <x v="0"/>
    <n v="3"/>
    <x v="0"/>
    <s v="Yes"/>
    <x v="3"/>
    <n v="2"/>
    <x v="0"/>
    <x v="0"/>
    <s v="Yes"/>
    <x v="4"/>
    <x v="0"/>
    <x v="10"/>
    <s v="No"/>
    <s v="No"/>
    <x v="0"/>
    <s v="Software Development"/>
    <n v="3"/>
    <x v="2"/>
    <s v="Single"/>
    <x v="1"/>
    <s v="Family"/>
    <x v="0"/>
    <n v="3.45"/>
    <s v="No"/>
    <n v="3.3"/>
    <n v="25"/>
    <n v="25000"/>
    <x v="0"/>
    <x v="0"/>
    <n v="63.6"/>
  </r>
  <r>
    <x v="3"/>
    <x v="0"/>
    <n v="20"/>
    <n v="2021"/>
    <x v="0"/>
    <n v="2"/>
    <x v="1"/>
    <s v="Yes"/>
    <x v="1"/>
    <n v="1"/>
    <x v="0"/>
    <x v="0"/>
    <s v="No"/>
    <x v="4"/>
    <x v="1"/>
    <x v="9"/>
    <s v="No"/>
    <s v="No"/>
    <x v="1"/>
    <s v="Software Development"/>
    <n v="1"/>
    <x v="2"/>
    <s v="Single"/>
    <x v="0"/>
    <s v="Family"/>
    <x v="0"/>
    <n v="3.6"/>
    <s v="No"/>
    <n v="3.6"/>
    <n v="11"/>
    <n v="40000"/>
    <x v="1"/>
    <x v="0"/>
    <n v="40"/>
  </r>
  <r>
    <x v="3"/>
    <x v="1"/>
    <n v="20"/>
    <n v="2020"/>
    <x v="0"/>
    <n v="2"/>
    <x v="1"/>
    <s v="No"/>
    <x v="4"/>
    <n v="2"/>
    <x v="1"/>
    <x v="0"/>
    <s v="Yes"/>
    <x v="3"/>
    <x v="1"/>
    <x v="8"/>
    <s v="Yes"/>
    <s v="No"/>
    <x v="0"/>
    <s v="Software Development"/>
    <n v="5"/>
    <x v="2"/>
    <s v="Single"/>
    <x v="0"/>
    <s v="Bachelor"/>
    <x v="0"/>
    <n v="3.53"/>
    <s v="No"/>
    <n v="3.53"/>
    <n v="11"/>
    <n v="40000"/>
    <x v="1"/>
    <x v="0"/>
    <n v="72.2"/>
  </r>
  <r>
    <x v="2"/>
    <x v="1"/>
    <n v="20"/>
    <n v="2019"/>
    <x v="0"/>
    <n v="8"/>
    <x v="0"/>
    <s v="No"/>
    <x v="0"/>
    <n v="2"/>
    <x v="0"/>
    <x v="0"/>
    <s v="Yes"/>
    <x v="2"/>
    <x v="0"/>
    <x v="10"/>
    <s v="No"/>
    <s v="No"/>
    <x v="0"/>
    <s v="Software Development"/>
    <n v="1"/>
    <x v="5"/>
    <s v="Single"/>
    <x v="0"/>
    <s v="Family"/>
    <x v="0"/>
    <n v="3.86"/>
    <s v="No"/>
    <n v="3.69"/>
    <n v="90"/>
    <n v="50000"/>
    <x v="1"/>
    <x v="0"/>
    <n v="51.6"/>
  </r>
  <r>
    <x v="3"/>
    <x v="1"/>
    <n v="19"/>
    <n v="2020"/>
    <x v="0"/>
    <n v="2"/>
    <x v="1"/>
    <s v="Yes"/>
    <x v="0"/>
    <n v="2"/>
    <x v="0"/>
    <x v="0"/>
    <s v="Yes"/>
    <x v="4"/>
    <x v="2"/>
    <x v="5"/>
    <s v="No"/>
    <s v="No"/>
    <x v="0"/>
    <s v="Software Development"/>
    <n v="2"/>
    <x v="3"/>
    <s v="Single"/>
    <x v="0"/>
    <s v="Family"/>
    <x v="0"/>
    <n v="3.48"/>
    <s v="No"/>
    <n v="2.4"/>
    <n v="11"/>
    <n v="25000"/>
    <x v="2"/>
    <x v="0"/>
    <n v="55"/>
  </r>
  <r>
    <x v="1"/>
    <x v="0"/>
    <n v="21"/>
    <n v="2019"/>
    <x v="0"/>
    <n v="5"/>
    <x v="1"/>
    <s v="No"/>
    <x v="2"/>
    <n v="1"/>
    <x v="1"/>
    <x v="0"/>
    <s v="Yes"/>
    <x v="3"/>
    <x v="0"/>
    <x v="8"/>
    <s v="No"/>
    <s v="No"/>
    <x v="1"/>
    <s v="Software Development"/>
    <n v="6"/>
    <x v="2"/>
    <s v="Single"/>
    <x v="1"/>
    <s v="Bachelor"/>
    <x v="0"/>
    <n v="3.7"/>
    <s v="No"/>
    <n v="3.77"/>
    <n v="54"/>
    <n v="62488"/>
    <x v="1"/>
    <x v="0"/>
    <n v="63.2"/>
  </r>
  <r>
    <x v="3"/>
    <x v="1"/>
    <n v="20"/>
    <n v="2020"/>
    <x v="0"/>
    <n v="2"/>
    <x v="1"/>
    <s v="Yes"/>
    <x v="0"/>
    <n v="1"/>
    <x v="0"/>
    <x v="0"/>
    <s v="Yes"/>
    <x v="3"/>
    <x v="2"/>
    <x v="5"/>
    <s v="No"/>
    <s v="No"/>
    <x v="0"/>
    <s v="Software Development"/>
    <n v="2"/>
    <x v="2"/>
    <s v="Single"/>
    <x v="1"/>
    <s v="Family"/>
    <x v="0"/>
    <n v="3.84"/>
    <s v="No"/>
    <n v="3.84"/>
    <n v="11"/>
    <n v="50000"/>
    <x v="1"/>
    <x v="0"/>
    <n v="55"/>
  </r>
  <r>
    <x v="2"/>
    <x v="1"/>
    <n v="21"/>
    <n v="2019"/>
    <x v="0"/>
    <n v="8"/>
    <x v="1"/>
    <s v="Yes"/>
    <x v="4"/>
    <n v="2"/>
    <x v="0"/>
    <x v="0"/>
    <s v="Yes"/>
    <x v="2"/>
    <x v="0"/>
    <x v="5"/>
    <s v="No"/>
    <s v="No"/>
    <x v="0"/>
    <s v="Software Development"/>
    <n v="3"/>
    <x v="2"/>
    <s v="Single"/>
    <x v="1"/>
    <s v="Family"/>
    <x v="0"/>
    <n v="3.4"/>
    <s v="No"/>
    <n v="3.29"/>
    <n v="85"/>
    <n v="60000"/>
    <x v="0"/>
    <x v="0"/>
    <n v="67"/>
  </r>
  <r>
    <x v="3"/>
    <x v="0"/>
    <n v="19"/>
    <n v="2020"/>
    <x v="0"/>
    <n v="1"/>
    <x v="1"/>
    <s v="No"/>
    <x v="5"/>
    <n v="2"/>
    <x v="0"/>
    <x v="0"/>
    <s v="Yes"/>
    <x v="2"/>
    <x v="1"/>
    <x v="0"/>
    <s v="No"/>
    <s v="No"/>
    <x v="1"/>
    <s v="Software Development"/>
    <n v="1"/>
    <x v="3"/>
    <s v="Relationship"/>
    <x v="1"/>
    <s v="Bachelor"/>
    <x v="0"/>
    <n v="3.43"/>
    <s v="No"/>
    <n v="3.43"/>
    <n v="14"/>
    <n v="24000"/>
    <x v="0"/>
    <x v="0"/>
    <n v="51"/>
  </r>
  <r>
    <x v="1"/>
    <x v="1"/>
    <n v="21"/>
    <n v="2020"/>
    <x v="0"/>
    <n v="2"/>
    <x v="0"/>
    <s v="No"/>
    <x v="5"/>
    <n v="2"/>
    <x v="0"/>
    <x v="0"/>
    <s v="No"/>
    <x v="2"/>
    <x v="0"/>
    <x v="5"/>
    <s v="No"/>
    <s v="No"/>
    <x v="0"/>
    <s v="Software Development"/>
    <n v="12"/>
    <x v="2"/>
    <s v="Single"/>
    <x v="0"/>
    <s v="Bachelor"/>
    <x v="0"/>
    <n v="3.7"/>
    <s v="No"/>
    <n v="3.7"/>
    <n v="11"/>
    <n v="30000"/>
    <x v="1"/>
    <x v="0"/>
    <n v="88"/>
  </r>
  <r>
    <x v="2"/>
    <x v="0"/>
    <n v="22"/>
    <n v="2019"/>
    <x v="0"/>
    <n v="6"/>
    <x v="1"/>
    <s v="Yes"/>
    <x v="5"/>
    <n v="3"/>
    <x v="0"/>
    <x v="0"/>
    <s v="Yes"/>
    <x v="4"/>
    <x v="2"/>
    <x v="9"/>
    <s v="No"/>
    <s v="No"/>
    <x v="0"/>
    <s v="Software Development"/>
    <n v="3"/>
    <x v="0"/>
    <s v="Relationship"/>
    <x v="1"/>
    <s v="Family"/>
    <x v="0"/>
    <n v="3.02"/>
    <s v="No"/>
    <n v="3.2"/>
    <n v="70"/>
    <n v="20000"/>
    <x v="0"/>
    <x v="0"/>
    <n v="55"/>
  </r>
  <r>
    <x v="1"/>
    <x v="0"/>
    <n v="20"/>
    <n v="2020"/>
    <x v="0"/>
    <n v="3"/>
    <x v="1"/>
    <s v="Yes"/>
    <x v="2"/>
    <n v="1"/>
    <x v="0"/>
    <x v="0"/>
    <s v="Yes"/>
    <x v="1"/>
    <x v="1"/>
    <x v="0"/>
    <s v="No"/>
    <s v="No"/>
    <x v="1"/>
    <s v="Software Development"/>
    <n v="2"/>
    <x v="2"/>
    <s v="Single"/>
    <x v="1"/>
    <s v="Bachelor"/>
    <x v="0"/>
    <n v="3.48"/>
    <s v="No"/>
    <n v="2.98"/>
    <n v="23"/>
    <n v="20000"/>
    <x v="0"/>
    <x v="0"/>
    <n v="48"/>
  </r>
  <r>
    <x v="3"/>
    <x v="0"/>
    <n v="20"/>
    <n v="2020"/>
    <x v="0"/>
    <n v="2"/>
    <x v="0"/>
    <s v="No"/>
    <x v="0"/>
    <n v="2"/>
    <x v="0"/>
    <x v="0"/>
    <s v="Yes"/>
    <x v="2"/>
    <x v="2"/>
    <x v="0"/>
    <s v="No"/>
    <s v="No"/>
    <x v="0"/>
    <s v="Software Development"/>
    <n v="2"/>
    <x v="2"/>
    <s v="Single"/>
    <x v="0"/>
    <s v="Bachelor"/>
    <x v="0"/>
    <n v="3.53"/>
    <s v="No"/>
    <n v="3.53"/>
    <n v="13"/>
    <n v="40000"/>
    <x v="1"/>
    <x v="0"/>
    <n v="51"/>
  </r>
  <r>
    <x v="2"/>
    <x v="1"/>
    <n v="19"/>
    <n v="2019"/>
    <x v="0"/>
    <n v="8"/>
    <x v="0"/>
    <s v="Yes"/>
    <x v="5"/>
    <n v="1"/>
    <x v="0"/>
    <x v="0"/>
    <s v="Yes"/>
    <x v="2"/>
    <x v="2"/>
    <x v="0"/>
    <s v="No"/>
    <s v="No"/>
    <x v="1"/>
    <s v="Software Development"/>
    <n v="3"/>
    <x v="0"/>
    <s v="Single"/>
    <x v="1"/>
    <s v="Bachelor"/>
    <x v="0"/>
    <n v="3.06"/>
    <s v="No"/>
    <n v="3.41"/>
    <n v="87"/>
    <n v="30000"/>
    <x v="0"/>
    <x v="0"/>
    <n v="57"/>
  </r>
  <r>
    <x v="1"/>
    <x v="0"/>
    <n v="20"/>
    <n v="2020"/>
    <x v="0"/>
    <n v="2"/>
    <x v="1"/>
    <s v="No"/>
    <x v="2"/>
    <n v="1"/>
    <x v="0"/>
    <x v="0"/>
    <s v="Yes"/>
    <x v="1"/>
    <x v="1"/>
    <x v="5"/>
    <s v="Yes"/>
    <s v="No"/>
    <x v="0"/>
    <s v="Software Development"/>
    <n v="1"/>
    <x v="2"/>
    <s v="Single"/>
    <x v="1"/>
    <s v="Bachelor"/>
    <x v="0"/>
    <n v="3.9"/>
    <s v="No"/>
    <n v="3.9"/>
    <n v="11"/>
    <n v="20000"/>
    <x v="1"/>
    <x v="0"/>
    <n v="49"/>
  </r>
  <r>
    <x v="3"/>
    <x v="1"/>
    <n v="20"/>
    <n v="2018"/>
    <x v="0"/>
    <n v="1"/>
    <x v="1"/>
    <s v="No"/>
    <x v="2"/>
    <n v="2"/>
    <x v="0"/>
    <x v="0"/>
    <s v="No"/>
    <x v="4"/>
    <x v="0"/>
    <x v="4"/>
    <s v="No"/>
    <s v="No"/>
    <x v="0"/>
    <s v="Networking"/>
    <n v="0"/>
    <x v="2"/>
    <s v="Single"/>
    <x v="1"/>
    <s v="Bachelor"/>
    <x v="1"/>
    <n v="0"/>
    <s v="No"/>
    <n v="0"/>
    <n v="0"/>
    <n v="50000"/>
    <x v="2"/>
    <x v="0"/>
    <n v="44"/>
  </r>
  <r>
    <x v="4"/>
    <x v="1"/>
    <n v="20"/>
    <n v="2019"/>
    <x v="0"/>
    <n v="9"/>
    <x v="1"/>
    <s v="Yes"/>
    <x v="0"/>
    <n v="3"/>
    <x v="0"/>
    <x v="0"/>
    <s v="Yes"/>
    <x v="3"/>
    <x v="0"/>
    <x v="10"/>
    <s v="No"/>
    <s v="No"/>
    <x v="1"/>
    <s v="Software Development"/>
    <n v="4"/>
    <x v="2"/>
    <s v="Single"/>
    <x v="0"/>
    <s v="Family"/>
    <x v="0"/>
    <n v="3.19"/>
    <s v="No"/>
    <n v="3.37"/>
    <n v="101"/>
    <n v="40000"/>
    <x v="0"/>
    <x v="0"/>
    <n v="60.6"/>
  </r>
  <r>
    <x v="3"/>
    <x v="1"/>
    <n v="21"/>
    <n v="2020"/>
    <x v="0"/>
    <n v="2"/>
    <x v="1"/>
    <s v="No"/>
    <x v="5"/>
    <n v="2"/>
    <x v="1"/>
    <x v="0"/>
    <s v="Yes"/>
    <x v="2"/>
    <x v="1"/>
    <x v="4"/>
    <s v="Yes"/>
    <s v="No"/>
    <x v="0"/>
    <s v="Software Development"/>
    <n v="4"/>
    <x v="2"/>
    <s v="Single"/>
    <x v="0"/>
    <s v="Bachelor"/>
    <x v="1"/>
    <n v="0.13"/>
    <s v="No"/>
    <n v="0.13"/>
    <n v="11"/>
    <n v="30000"/>
    <x v="2"/>
    <x v="0"/>
    <n v="62"/>
  </r>
  <r>
    <x v="3"/>
    <x v="1"/>
    <n v="22"/>
    <n v="2020"/>
    <x v="0"/>
    <n v="2"/>
    <x v="0"/>
    <s v="No"/>
    <x v="5"/>
    <n v="1"/>
    <x v="0"/>
    <x v="0"/>
    <s v="Yes"/>
    <x v="2"/>
    <x v="1"/>
    <x v="8"/>
    <s v="No"/>
    <s v="No"/>
    <x v="1"/>
    <s v="Software Development"/>
    <n v="2"/>
    <x v="3"/>
    <s v="Engaged"/>
    <x v="1"/>
    <s v="Bachelor"/>
    <x v="1"/>
    <n v="3.05"/>
    <s v="No"/>
    <n v="3.05"/>
    <n v="11"/>
    <n v="20000"/>
    <x v="0"/>
    <x v="0"/>
    <n v="57.2"/>
  </r>
  <r>
    <x v="3"/>
    <x v="1"/>
    <n v="21"/>
    <n v="2020"/>
    <x v="0"/>
    <n v="1"/>
    <x v="1"/>
    <s v="Yes"/>
    <x v="0"/>
    <n v="2"/>
    <x v="0"/>
    <x v="0"/>
    <s v="Yes"/>
    <x v="3"/>
    <x v="2"/>
    <x v="10"/>
    <s v="No"/>
    <s v="No"/>
    <x v="0"/>
    <s v="Software Development"/>
    <n v="1"/>
    <x v="2"/>
    <s v="Single"/>
    <x v="0"/>
    <s v="Family"/>
    <x v="0"/>
    <n v="4"/>
    <s v="No"/>
    <n v="4"/>
    <n v="11"/>
    <n v="80000"/>
    <x v="1"/>
    <x v="0"/>
    <n v="51.6"/>
  </r>
  <r>
    <x v="1"/>
    <x v="1"/>
    <n v="20"/>
    <n v="2020"/>
    <x v="0"/>
    <n v="2"/>
    <x v="0"/>
    <s v="No"/>
    <x v="5"/>
    <n v="1"/>
    <x v="0"/>
    <x v="0"/>
    <s v="Yes"/>
    <x v="1"/>
    <x v="0"/>
    <x v="8"/>
    <s v="No"/>
    <s v="No"/>
    <x v="0"/>
    <s v="Software Development"/>
    <n v="3"/>
    <x v="2"/>
    <s v="Married"/>
    <x v="0"/>
    <s v="Family"/>
    <x v="0"/>
    <n v="3.75"/>
    <s v="No"/>
    <n v="3.75"/>
    <n v="11"/>
    <n v="60000"/>
    <x v="1"/>
    <x v="0"/>
    <n v="60.2"/>
  </r>
  <r>
    <x v="1"/>
    <x v="0"/>
    <n v="22"/>
    <n v="2019"/>
    <x v="0"/>
    <n v="2"/>
    <x v="0"/>
    <s v="No"/>
    <x v="0"/>
    <n v="3"/>
    <x v="0"/>
    <x v="0"/>
    <s v="Yes"/>
    <x v="2"/>
    <x v="0"/>
    <x v="0"/>
    <s v="No"/>
    <s v="No"/>
    <x v="1"/>
    <s v="Software Development"/>
    <n v="4"/>
    <x v="2"/>
    <s v="Relationship"/>
    <x v="1"/>
    <s v="Bachelor"/>
    <x v="0"/>
    <n v="3.33"/>
    <s v="No"/>
    <n v="3.33"/>
    <n v="12"/>
    <n v="20000"/>
    <x v="0"/>
    <x v="0"/>
    <n v="57"/>
  </r>
  <r>
    <x v="1"/>
    <x v="0"/>
    <n v="20"/>
    <n v="2020"/>
    <x v="0"/>
    <n v="3"/>
    <x v="0"/>
    <s v="No"/>
    <x v="5"/>
    <n v="1"/>
    <x v="1"/>
    <x v="0"/>
    <s v="Yes"/>
    <x v="3"/>
    <x v="1"/>
    <x v="2"/>
    <s v="Yes"/>
    <s v="No"/>
    <x v="0"/>
    <s v="Software Development"/>
    <n v="2"/>
    <x v="4"/>
    <s v="Single"/>
    <x v="0"/>
    <s v="Bachelor"/>
    <x v="0"/>
    <n v="2.81"/>
    <s v="Yes"/>
    <n v="2.81"/>
    <n v="35"/>
    <n v="40000"/>
    <x v="0"/>
    <x v="0"/>
    <n v="50"/>
  </r>
  <r>
    <x v="3"/>
    <x v="0"/>
    <n v="21"/>
    <n v="2019"/>
    <x v="0"/>
    <n v="2"/>
    <x v="0"/>
    <s v="No"/>
    <x v="0"/>
    <n v="3"/>
    <x v="0"/>
    <x v="0"/>
    <s v="Yes"/>
    <x v="4"/>
    <x v="0"/>
    <x v="0"/>
    <s v="Yes"/>
    <s v="No"/>
    <x v="0"/>
    <s v="Data entry"/>
    <n v="0"/>
    <x v="2"/>
    <s v="Single"/>
    <x v="0"/>
    <s v="Bachelor"/>
    <x v="1"/>
    <n v="2.1800000000000002"/>
    <s v="No"/>
    <n v="2.08"/>
    <n v="11"/>
    <n v="35000"/>
    <x v="2"/>
    <x v="0"/>
    <n v="45"/>
  </r>
  <r>
    <x v="3"/>
    <x v="0"/>
    <n v="21"/>
    <n v="2020"/>
    <x v="0"/>
    <n v="1"/>
    <x v="1"/>
    <s v="Yes"/>
    <x v="5"/>
    <n v="2"/>
    <x v="0"/>
    <x v="0"/>
    <s v="Yes"/>
    <x v="3"/>
    <x v="0"/>
    <x v="5"/>
    <s v="No"/>
    <s v="No"/>
    <x v="0"/>
    <s v="Communication"/>
    <n v="2"/>
    <x v="2"/>
    <s v="Single"/>
    <x v="1"/>
    <s v="Family"/>
    <x v="0"/>
    <n v="0"/>
    <s v="No"/>
    <n v="0"/>
    <n v="0"/>
    <n v="30000"/>
    <x v="2"/>
    <x v="0"/>
    <n v="58"/>
  </r>
  <r>
    <x v="2"/>
    <x v="0"/>
    <n v="23"/>
    <n v="2018"/>
    <x v="0"/>
    <n v="8"/>
    <x v="1"/>
    <s v="Yes"/>
    <x v="9"/>
    <n v="3"/>
    <x v="0"/>
    <x v="0"/>
    <s v="No"/>
    <x v="1"/>
    <x v="0"/>
    <x v="7"/>
    <s v="No"/>
    <s v="No"/>
    <x v="1"/>
    <s v="Software Development"/>
    <n v="6"/>
    <x v="2"/>
    <s v="Single"/>
    <x v="1"/>
    <s v="Family"/>
    <x v="0"/>
    <n v="3.7"/>
    <s v="No"/>
    <n v="3.75"/>
    <n v="70"/>
    <n v="20000"/>
    <x v="1"/>
    <x v="1"/>
    <n v="46"/>
  </r>
  <r>
    <x v="0"/>
    <x v="1"/>
    <n v="24"/>
    <n v="2016"/>
    <x v="0"/>
    <n v="13"/>
    <x v="1"/>
    <s v="No"/>
    <x v="2"/>
    <n v="1"/>
    <x v="1"/>
    <x v="0"/>
    <s v="Yes"/>
    <x v="3"/>
    <x v="0"/>
    <x v="0"/>
    <s v="No"/>
    <s v="No"/>
    <x v="0"/>
    <s v="Networking"/>
    <n v="2"/>
    <x v="6"/>
    <s v="Engaged"/>
    <x v="1"/>
    <s v="Bachelor"/>
    <x v="1"/>
    <n v="3.62"/>
    <s v="No"/>
    <n v="3"/>
    <n v="140"/>
    <n v="62488"/>
    <x v="0"/>
    <x v="0"/>
    <n v="48"/>
  </r>
  <r>
    <x v="3"/>
    <x v="0"/>
    <n v="20"/>
    <n v="2020"/>
    <x v="0"/>
    <n v="3"/>
    <x v="1"/>
    <s v="Yes"/>
    <x v="2"/>
    <n v="2"/>
    <x v="0"/>
    <x v="0"/>
    <s v="Yes"/>
    <x v="1"/>
    <x v="1"/>
    <x v="17"/>
    <s v="No"/>
    <s v="No"/>
    <x v="0"/>
    <s v="Software Development"/>
    <n v="1"/>
    <x v="2"/>
    <s v="Single"/>
    <x v="1"/>
    <s v="Family"/>
    <x v="1"/>
    <n v="3.18"/>
    <s v="Yes"/>
    <n v="3.18"/>
    <n v="11"/>
    <n v="35000"/>
    <x v="0"/>
    <x v="0"/>
    <n v="43.800000000000004"/>
  </r>
  <r>
    <x v="3"/>
    <x v="1"/>
    <n v="21"/>
    <n v="2020"/>
    <x v="0"/>
    <n v="1"/>
    <x v="0"/>
    <s v="Yes"/>
    <x v="0"/>
    <n v="2"/>
    <x v="1"/>
    <x v="0"/>
    <s v="No"/>
    <x v="7"/>
    <x v="1"/>
    <x v="8"/>
    <s v="No"/>
    <s v="No"/>
    <x v="1"/>
    <s v="Software Development"/>
    <n v="1"/>
    <x v="2"/>
    <s v="Single"/>
    <x v="0"/>
    <s v="Family"/>
    <x v="1"/>
    <n v="3.55"/>
    <s v="Yes"/>
    <n v="3.59"/>
    <n v="11"/>
    <n v="100000"/>
    <x v="1"/>
    <x v="0"/>
    <n v="51.2"/>
  </r>
  <r>
    <x v="2"/>
    <x v="0"/>
    <n v="23"/>
    <n v="2020"/>
    <x v="0"/>
    <n v="3"/>
    <x v="0"/>
    <s v="No"/>
    <x v="5"/>
    <n v="2"/>
    <x v="0"/>
    <x v="0"/>
    <s v="Yes"/>
    <x v="2"/>
    <x v="1"/>
    <x v="5"/>
    <s v="No"/>
    <s v="No"/>
    <x v="1"/>
    <s v="Software Development"/>
    <n v="6"/>
    <x v="2"/>
    <s v="Single"/>
    <x v="0"/>
    <s v="Bachelor"/>
    <x v="0"/>
    <n v="3.58"/>
    <s v="No"/>
    <n v="3.75"/>
    <n v="23"/>
    <n v="15000"/>
    <x v="1"/>
    <x v="0"/>
    <n v="70"/>
  </r>
  <r>
    <x v="3"/>
    <x v="0"/>
    <n v="22"/>
    <n v="2020"/>
    <x v="0"/>
    <n v="2"/>
    <x v="0"/>
    <s v="No"/>
    <x v="2"/>
    <n v="1"/>
    <x v="0"/>
    <x v="0"/>
    <s v="Yes"/>
    <x v="7"/>
    <x v="1"/>
    <x v="0"/>
    <s v="No"/>
    <s v="No"/>
    <x v="1"/>
    <s v="Software Development"/>
    <n v="3"/>
    <x v="2"/>
    <s v="Single"/>
    <x v="1"/>
    <s v="Bachelor"/>
    <x v="1"/>
    <n v="3.88"/>
    <s v="No"/>
    <n v="3.88"/>
    <n v="12"/>
    <n v="10000"/>
    <x v="1"/>
    <x v="0"/>
    <n v="51"/>
  </r>
  <r>
    <x v="3"/>
    <x v="0"/>
    <n v="20"/>
    <n v="2020"/>
    <x v="0"/>
    <n v="2"/>
    <x v="0"/>
    <s v="No"/>
    <x v="2"/>
    <n v="1"/>
    <x v="0"/>
    <x v="0"/>
    <s v="Yes"/>
    <x v="9"/>
    <x v="1"/>
    <x v="0"/>
    <s v="No"/>
    <s v="No"/>
    <x v="1"/>
    <s v="Software Development"/>
    <n v="3"/>
    <x v="2"/>
    <s v="Single"/>
    <x v="1"/>
    <s v="Bachelor"/>
    <x v="0"/>
    <n v="3"/>
    <s v="No"/>
    <n v="3"/>
    <n v="12"/>
    <n v="30000"/>
    <x v="0"/>
    <x v="0"/>
    <n v="51"/>
  </r>
  <r>
    <x v="3"/>
    <x v="0"/>
    <n v="20"/>
    <n v="2020"/>
    <x v="0"/>
    <n v="2"/>
    <x v="0"/>
    <s v="No"/>
    <x v="5"/>
    <n v="2"/>
    <x v="0"/>
    <x v="0"/>
    <s v="Yes"/>
    <x v="3"/>
    <x v="0"/>
    <x v="4"/>
    <s v="No"/>
    <s v="Yes"/>
    <x v="0"/>
    <s v="Software Development"/>
    <n v="2"/>
    <x v="2"/>
    <s v="Single"/>
    <x v="0"/>
    <s v="Bachelor"/>
    <x v="0"/>
    <n v="4"/>
    <s v="No"/>
    <n v="4"/>
    <n v="11"/>
    <n v="40000"/>
    <x v="1"/>
    <x v="0"/>
    <n v="56"/>
  </r>
  <r>
    <x v="3"/>
    <x v="0"/>
    <n v="22"/>
    <n v="2016"/>
    <x v="0"/>
    <n v="2"/>
    <x v="0"/>
    <s v="Yes"/>
    <x v="2"/>
    <n v="2"/>
    <x v="1"/>
    <x v="0"/>
    <s v="Yes"/>
    <x v="3"/>
    <x v="1"/>
    <x v="2"/>
    <s v="No"/>
    <s v="No"/>
    <x v="0"/>
    <s v="Software Development"/>
    <n v="3"/>
    <x v="4"/>
    <s v="Relationship"/>
    <x v="0"/>
    <s v="Family"/>
    <x v="0"/>
    <n v="3.97"/>
    <s v="No"/>
    <n v="3.97"/>
    <n v="11"/>
    <n v="30000"/>
    <x v="1"/>
    <x v="0"/>
    <n v="47"/>
  </r>
  <r>
    <x v="1"/>
    <x v="0"/>
    <n v="22"/>
    <n v="2020"/>
    <x v="0"/>
    <n v="3"/>
    <x v="0"/>
    <s v="Yes"/>
    <x v="0"/>
    <n v="2"/>
    <x v="1"/>
    <x v="0"/>
    <s v="Yes"/>
    <x v="3"/>
    <x v="0"/>
    <x v="11"/>
    <s v="No"/>
    <s v="No"/>
    <x v="0"/>
    <s v="Software Development"/>
    <n v="2"/>
    <x v="2"/>
    <s v="Single"/>
    <x v="0"/>
    <s v="Bachelor"/>
    <x v="0"/>
    <n v="3.79"/>
    <s v="No"/>
    <n v="3.69"/>
    <n v="25"/>
    <n v="100000"/>
    <x v="1"/>
    <x v="0"/>
    <n v="45"/>
  </r>
  <r>
    <x v="4"/>
    <x v="0"/>
    <n v="22"/>
    <n v="2018"/>
    <x v="0"/>
    <n v="11"/>
    <x v="1"/>
    <s v="No"/>
    <x v="4"/>
    <n v="2"/>
    <x v="0"/>
    <x v="0"/>
    <s v="Yes"/>
    <x v="2"/>
    <x v="0"/>
    <x v="0"/>
    <s v="Yes"/>
    <s v="No"/>
    <x v="0"/>
    <s v="Software Development"/>
    <n v="2"/>
    <x v="2"/>
    <s v="Relationship"/>
    <x v="1"/>
    <s v="Bachelor"/>
    <x v="0"/>
    <n v="2.96"/>
    <s v="No"/>
    <n v="2.89"/>
    <n v="111"/>
    <n v="50000"/>
    <x v="0"/>
    <x v="0"/>
    <n v="60"/>
  </r>
  <r>
    <x v="1"/>
    <x v="0"/>
    <n v="21"/>
    <n v="2020"/>
    <x v="0"/>
    <n v="5"/>
    <x v="0"/>
    <s v="No"/>
    <x v="3"/>
    <n v="1"/>
    <x v="0"/>
    <x v="1"/>
    <s v="Yes"/>
    <x v="1"/>
    <x v="0"/>
    <x v="3"/>
    <s v="No"/>
    <s v="No"/>
    <x v="0"/>
    <s v="Software Development"/>
    <n v="3"/>
    <x v="2"/>
    <s v="Single"/>
    <x v="0"/>
    <s v="Bachelor"/>
    <x v="1"/>
    <n v="3.77"/>
    <s v="No"/>
    <n v="3.86"/>
    <n v="49"/>
    <n v="30000"/>
    <x v="1"/>
    <x v="0"/>
    <n v="59.2"/>
  </r>
  <r>
    <x v="4"/>
    <x v="0"/>
    <n v="25"/>
    <n v="2017"/>
    <x v="0"/>
    <n v="11"/>
    <x v="1"/>
    <s v="No"/>
    <x v="1"/>
    <n v="1"/>
    <x v="0"/>
    <x v="0"/>
    <s v="Yes"/>
    <x v="3"/>
    <x v="0"/>
    <x v="0"/>
    <s v="No"/>
    <s v="No"/>
    <x v="1"/>
    <s v="Software Development"/>
    <n v="4"/>
    <x v="2"/>
    <s v="Single"/>
    <x v="1"/>
    <s v="Family"/>
    <x v="0"/>
    <n v="3.44"/>
    <s v="No"/>
    <n v="3.48"/>
    <n v="124"/>
    <n v="50000"/>
    <x v="0"/>
    <x v="0"/>
    <n v="51"/>
  </r>
  <r>
    <x v="3"/>
    <x v="0"/>
    <n v="19"/>
    <n v="2021"/>
    <x v="0"/>
    <n v="1"/>
    <x v="0"/>
    <s v="No"/>
    <x v="5"/>
    <n v="3"/>
    <x v="0"/>
    <x v="0"/>
    <s v="Yes"/>
    <x v="1"/>
    <x v="2"/>
    <x v="5"/>
    <s v="No"/>
    <s v="No"/>
    <x v="0"/>
    <s v="Software Development"/>
    <n v="1"/>
    <x v="2"/>
    <s v="Single"/>
    <x v="1"/>
    <s v="Bachelor"/>
    <x v="1"/>
    <n v="0"/>
    <s v="No"/>
    <n v="0"/>
    <n v="0"/>
    <n v="40000"/>
    <x v="2"/>
    <x v="0"/>
    <n v="55"/>
  </r>
  <r>
    <x v="1"/>
    <x v="1"/>
    <n v="21"/>
    <n v="2019"/>
    <x v="0"/>
    <n v="3"/>
    <x v="0"/>
    <s v="Yes"/>
    <x v="2"/>
    <n v="2"/>
    <x v="1"/>
    <x v="0"/>
    <s v="Yes"/>
    <x v="2"/>
    <x v="0"/>
    <x v="9"/>
    <s v="No"/>
    <s v="No"/>
    <x v="0"/>
    <s v="Software Development"/>
    <n v="1"/>
    <x v="2"/>
    <s v="Single"/>
    <x v="1"/>
    <s v="Family"/>
    <x v="0"/>
    <n v="3.56"/>
    <s v="No"/>
    <n v="3.66"/>
    <n v="23"/>
    <n v="25000"/>
    <x v="1"/>
    <x v="0"/>
    <n v="43"/>
  </r>
  <r>
    <x v="2"/>
    <x v="0"/>
    <n v="19"/>
    <n v="2019"/>
    <x v="0"/>
    <n v="2"/>
    <x v="0"/>
    <s v="Yes"/>
    <x v="0"/>
    <n v="2"/>
    <x v="0"/>
    <x v="0"/>
    <s v="Yes"/>
    <x v="3"/>
    <x v="1"/>
    <x v="5"/>
    <s v="No"/>
    <s v="No"/>
    <x v="0"/>
    <s v="Software Development"/>
    <n v="1"/>
    <x v="2"/>
    <s v="Single"/>
    <x v="1"/>
    <s v="Family"/>
    <x v="0"/>
    <n v="3.56"/>
    <s v="No"/>
    <n v="3.56"/>
    <n v="12"/>
    <n v="40000"/>
    <x v="1"/>
    <x v="0"/>
    <n v="52"/>
  </r>
  <r>
    <x v="1"/>
    <x v="1"/>
    <n v="22"/>
    <n v="2020"/>
    <x v="0"/>
    <n v="4"/>
    <x v="0"/>
    <s v="Yes"/>
    <x v="3"/>
    <n v="2"/>
    <x v="0"/>
    <x v="0"/>
    <s v="Yes"/>
    <x v="2"/>
    <x v="0"/>
    <x v="3"/>
    <s v="No"/>
    <s v="No"/>
    <x v="0"/>
    <s v="Software Development"/>
    <n v="3"/>
    <x v="2"/>
    <s v="Single"/>
    <x v="0"/>
    <s v="Family"/>
    <x v="0"/>
    <n v="2.48"/>
    <s v="No"/>
    <n v="2.74"/>
    <n v="23"/>
    <n v="35000"/>
    <x v="0"/>
    <x v="0"/>
    <n v="59.2"/>
  </r>
  <r>
    <x v="3"/>
    <x v="1"/>
    <n v="20"/>
    <n v="2020"/>
    <x v="0"/>
    <n v="1"/>
    <x v="0"/>
    <s v="Yes"/>
    <x v="9"/>
    <n v="2"/>
    <x v="1"/>
    <x v="0"/>
    <s v="Yes"/>
    <x v="1"/>
    <x v="1"/>
    <x v="6"/>
    <s v="No"/>
    <s v="No"/>
    <x v="1"/>
    <s v="No skills"/>
    <n v="1"/>
    <x v="2"/>
    <s v="Single"/>
    <x v="1"/>
    <s v="Family"/>
    <x v="1"/>
    <n v="0"/>
    <s v="Yes"/>
    <n v="0"/>
    <n v="0"/>
    <n v="35000"/>
    <x v="2"/>
    <x v="0"/>
    <n v="41.800000000000004"/>
  </r>
  <r>
    <x v="3"/>
    <x v="0"/>
    <n v="20"/>
    <n v="2020"/>
    <x v="0"/>
    <n v="2"/>
    <x v="0"/>
    <s v="Yes"/>
    <x v="1"/>
    <n v="1"/>
    <x v="1"/>
    <x v="0"/>
    <s v="Yes"/>
    <x v="0"/>
    <x v="1"/>
    <x v="2"/>
    <s v="Yes"/>
    <s v="No"/>
    <x v="1"/>
    <s v="No Skill"/>
    <n v="0"/>
    <x v="2"/>
    <s v="Single"/>
    <x v="1"/>
    <s v="Family"/>
    <x v="0"/>
    <n v="3.25"/>
    <s v="No"/>
    <n v="3.2"/>
    <n v="11"/>
    <n v="40000"/>
    <x v="0"/>
    <x v="0"/>
    <n v="35"/>
  </r>
  <r>
    <x v="3"/>
    <x v="0"/>
    <n v="19"/>
    <n v="2021"/>
    <x v="0"/>
    <n v="1"/>
    <x v="0"/>
    <s v="No"/>
    <x v="5"/>
    <n v="2"/>
    <x v="0"/>
    <x v="0"/>
    <s v="Yes"/>
    <x v="0"/>
    <x v="1"/>
    <x v="9"/>
    <s v="No"/>
    <s v="No"/>
    <x v="0"/>
    <s v="No Skill"/>
    <n v="0"/>
    <x v="2"/>
    <s v="Single"/>
    <x v="0"/>
    <s v="Bachelor"/>
    <x v="0"/>
    <n v="0"/>
    <s v="No"/>
    <n v="0"/>
    <n v="0"/>
    <n v="50000"/>
    <x v="2"/>
    <x v="0"/>
    <n v="46"/>
  </r>
  <r>
    <x v="1"/>
    <x v="0"/>
    <n v="22"/>
    <n v="2019"/>
    <x v="0"/>
    <n v="4"/>
    <x v="0"/>
    <s v="No"/>
    <x v="2"/>
    <n v="1"/>
    <x v="0"/>
    <x v="0"/>
    <s v="Yes"/>
    <x v="1"/>
    <x v="0"/>
    <x v="2"/>
    <s v="No"/>
    <s v="No"/>
    <x v="0"/>
    <s v="Software Development"/>
    <n v="2"/>
    <x v="0"/>
    <s v="Single"/>
    <x v="0"/>
    <s v="Family"/>
    <x v="0"/>
    <n v="3.7"/>
    <s v="No"/>
    <n v="3.4"/>
    <n v="39"/>
    <n v="50000"/>
    <x v="0"/>
    <x v="0"/>
    <n v="44"/>
  </r>
  <r>
    <x v="1"/>
    <x v="1"/>
    <n v="20"/>
    <n v="2020"/>
    <x v="0"/>
    <n v="4"/>
    <x v="0"/>
    <s v="No"/>
    <x v="1"/>
    <n v="1"/>
    <x v="0"/>
    <x v="0"/>
    <s v="No"/>
    <x v="2"/>
    <x v="0"/>
    <x v="5"/>
    <s v="No"/>
    <s v="No"/>
    <x v="1"/>
    <s v="Software Development"/>
    <n v="0"/>
    <x v="0"/>
    <s v="Single"/>
    <x v="1"/>
    <s v="Family"/>
    <x v="0"/>
    <n v="3.38"/>
    <s v="No"/>
    <n v="3.58"/>
    <n v="25"/>
    <n v="80000"/>
    <x v="1"/>
    <x v="0"/>
    <n v="43"/>
  </r>
  <r>
    <x v="1"/>
    <x v="0"/>
    <n v="21"/>
    <n v="2019"/>
    <x v="0"/>
    <n v="4"/>
    <x v="0"/>
    <s v="No"/>
    <x v="1"/>
    <n v="2"/>
    <x v="1"/>
    <x v="0"/>
    <s v="Yes"/>
    <x v="2"/>
    <x v="0"/>
    <x v="2"/>
    <s v="No"/>
    <s v="No"/>
    <x v="0"/>
    <s v="Software Development"/>
    <n v="4"/>
    <x v="2"/>
    <s v="Single"/>
    <x v="0"/>
    <s v="Bachelor"/>
    <x v="0"/>
    <n v="3.78"/>
    <s v="No"/>
    <n v="3.9"/>
    <n v="49"/>
    <n v="40000"/>
    <x v="1"/>
    <x v="0"/>
    <n v="47"/>
  </r>
  <r>
    <x v="4"/>
    <x v="1"/>
    <n v="24"/>
    <n v="2016"/>
    <x v="0"/>
    <n v="10"/>
    <x v="1"/>
    <s v="No"/>
    <x v="5"/>
    <n v="2"/>
    <x v="0"/>
    <x v="0"/>
    <s v="Yes"/>
    <x v="1"/>
    <x v="0"/>
    <x v="4"/>
    <s v="No"/>
    <s v="No"/>
    <x v="0"/>
    <s v="Software Development"/>
    <n v="2"/>
    <x v="5"/>
    <s v="Single"/>
    <x v="1"/>
    <s v="Bachelor"/>
    <x v="0"/>
    <n v="3.4"/>
    <s v="No"/>
    <n v="3.5"/>
    <n v="106"/>
    <n v="20000"/>
    <x v="1"/>
    <x v="0"/>
    <n v="56"/>
  </r>
  <r>
    <x v="4"/>
    <x v="0"/>
    <n v="24"/>
    <n v="2017"/>
    <x v="0"/>
    <n v="10"/>
    <x v="1"/>
    <s v="No"/>
    <x v="2"/>
    <n v="1"/>
    <x v="0"/>
    <x v="0"/>
    <s v="Yes"/>
    <x v="1"/>
    <x v="0"/>
    <x v="2"/>
    <s v="No"/>
    <s v="No"/>
    <x v="0"/>
    <s v="Software Development"/>
    <n v="5"/>
    <x v="2"/>
    <s v="Single"/>
    <x v="0"/>
    <s v="Family"/>
    <x v="0"/>
    <n v="2.58"/>
    <s v="No"/>
    <n v="2.93"/>
    <n v="106"/>
    <n v="65000"/>
    <x v="0"/>
    <x v="0"/>
    <n v="53"/>
  </r>
  <r>
    <x v="2"/>
    <x v="0"/>
    <n v="21"/>
    <n v="2019"/>
    <x v="0"/>
    <n v="8"/>
    <x v="1"/>
    <s v="No"/>
    <x v="1"/>
    <n v="1"/>
    <x v="1"/>
    <x v="0"/>
    <s v="Yes"/>
    <x v="3"/>
    <x v="2"/>
    <x v="9"/>
    <s v="No"/>
    <s v="No"/>
    <x v="0"/>
    <s v="Software Development"/>
    <n v="1"/>
    <x v="4"/>
    <s v="Relationship"/>
    <x v="1"/>
    <s v="Bachelor"/>
    <x v="1"/>
    <n v="3.96"/>
    <s v="No"/>
    <n v="3.7"/>
    <n v="85"/>
    <n v="25000"/>
    <x v="1"/>
    <x v="0"/>
    <n v="40"/>
  </r>
  <r>
    <x v="1"/>
    <x v="1"/>
    <n v="21"/>
    <n v="2020"/>
    <x v="0"/>
    <n v="3"/>
    <x v="0"/>
    <s v="Yes"/>
    <x v="0"/>
    <n v="2"/>
    <x v="0"/>
    <x v="0"/>
    <s v="Yes"/>
    <x v="2"/>
    <x v="0"/>
    <x v="3"/>
    <s v="No"/>
    <s v="No"/>
    <x v="1"/>
    <s v="Software Development"/>
    <n v="2"/>
    <x v="2"/>
    <s v="Single"/>
    <x v="1"/>
    <s v="Family"/>
    <x v="0"/>
    <n v="3.58"/>
    <s v="No"/>
    <n v="3.76"/>
    <n v="25"/>
    <n v="40000"/>
    <x v="1"/>
    <x v="0"/>
    <n v="50.2"/>
  </r>
  <r>
    <x v="1"/>
    <x v="0"/>
    <n v="20"/>
    <n v="2020"/>
    <x v="0"/>
    <n v="3"/>
    <x v="0"/>
    <s v="No"/>
    <x v="2"/>
    <n v="2"/>
    <x v="1"/>
    <x v="0"/>
    <s v="Yes"/>
    <x v="4"/>
    <x v="0"/>
    <x v="10"/>
    <s v="No"/>
    <s v="No"/>
    <x v="0"/>
    <s v="Software Development"/>
    <n v="2"/>
    <x v="2"/>
    <s v="Relationship"/>
    <x v="0"/>
    <s v="Bachelor"/>
    <x v="0"/>
    <n v="3.79"/>
    <s v="No"/>
    <n v="3.91"/>
    <n v="23"/>
    <n v="50000"/>
    <x v="1"/>
    <x v="0"/>
    <n v="51.6"/>
  </r>
  <r>
    <x v="1"/>
    <x v="0"/>
    <n v="21"/>
    <n v="2019"/>
    <x v="0"/>
    <n v="5"/>
    <x v="1"/>
    <s v="No"/>
    <x v="1"/>
    <n v="2"/>
    <x v="0"/>
    <x v="0"/>
    <s v="Yes"/>
    <x v="3"/>
    <x v="0"/>
    <x v="24"/>
    <s v="No"/>
    <s v="Yes"/>
    <x v="0"/>
    <s v="Software Development"/>
    <n v="1"/>
    <x v="6"/>
    <s v="Single"/>
    <x v="0"/>
    <s v="Bachelor"/>
    <x v="0"/>
    <n v="2.17"/>
    <s v="No"/>
    <n v="3.06"/>
    <n v="44"/>
    <n v="15000"/>
    <x v="0"/>
    <x v="0"/>
    <e v="#VALUE!"/>
  </r>
  <r>
    <x v="1"/>
    <x v="0"/>
    <n v="22"/>
    <n v="2020"/>
    <x v="0"/>
    <n v="4"/>
    <x v="0"/>
    <s v="No"/>
    <x v="0"/>
    <n v="2"/>
    <x v="0"/>
    <x v="0"/>
    <s v="Yes"/>
    <x v="2"/>
    <x v="0"/>
    <x v="0"/>
    <s v="Yes"/>
    <s v="No"/>
    <x v="0"/>
    <s v="Software Development"/>
    <n v="4"/>
    <x v="2"/>
    <s v="Single"/>
    <x v="1"/>
    <s v="Bachelor"/>
    <x v="0"/>
    <n v="1.1200000000000001"/>
    <s v="No"/>
    <n v="1.88"/>
    <n v="32"/>
    <n v="60000"/>
    <x v="2"/>
    <x v="0"/>
    <n v="57"/>
  </r>
  <r>
    <x v="1"/>
    <x v="1"/>
    <n v="21"/>
    <n v="2019"/>
    <x v="0"/>
    <n v="3"/>
    <x v="0"/>
    <s v="Yes"/>
    <x v="5"/>
    <n v="3"/>
    <x v="1"/>
    <x v="0"/>
    <s v="Yes"/>
    <x v="3"/>
    <x v="0"/>
    <x v="10"/>
    <s v="No"/>
    <s v="No"/>
    <x v="1"/>
    <s v="Software Development"/>
    <n v="2"/>
    <x v="2"/>
    <s v="Single"/>
    <x v="1"/>
    <s v="Family"/>
    <x v="0"/>
    <n v="3.72"/>
    <s v="No"/>
    <n v="3.67"/>
    <n v="25"/>
    <n v="35000"/>
    <x v="1"/>
    <x v="0"/>
    <n v="57.6"/>
  </r>
  <r>
    <x v="3"/>
    <x v="0"/>
    <n v="20"/>
    <n v="2020"/>
    <x v="0"/>
    <n v="2"/>
    <x v="1"/>
    <s v="No"/>
    <x v="3"/>
    <n v="3"/>
    <x v="0"/>
    <x v="0"/>
    <s v="No"/>
    <x v="3"/>
    <x v="1"/>
    <x v="3"/>
    <s v="No"/>
    <s v="No"/>
    <x v="0"/>
    <s v="Software Development"/>
    <n v="2"/>
    <x v="2"/>
    <s v="Single"/>
    <x v="0"/>
    <s v="Family"/>
    <x v="0"/>
    <n v="3.55"/>
    <s v="No"/>
    <n v="3.55"/>
    <n v="11"/>
    <n v="35000"/>
    <x v="1"/>
    <x v="0"/>
    <n v="56.2"/>
  </r>
  <r>
    <x v="2"/>
    <x v="1"/>
    <n v="22"/>
    <n v="2018"/>
    <x v="0"/>
    <n v="8"/>
    <x v="1"/>
    <s v="No"/>
    <x v="5"/>
    <n v="2"/>
    <x v="0"/>
    <x v="0"/>
    <s v="Yes"/>
    <x v="2"/>
    <x v="0"/>
    <x v="8"/>
    <s v="No"/>
    <s v="No"/>
    <x v="1"/>
    <s v="Software Development"/>
    <n v="2"/>
    <x v="2"/>
    <s v="Single"/>
    <x v="1"/>
    <s v="Family"/>
    <x v="0"/>
    <n v="2.83"/>
    <s v="No"/>
    <n v="2.82"/>
    <n v="65"/>
    <n v="25000"/>
    <x v="0"/>
    <x v="0"/>
    <n v="57.2"/>
  </r>
  <r>
    <x v="3"/>
    <x v="1"/>
    <n v="20"/>
    <n v="2020"/>
    <x v="0"/>
    <n v="2"/>
    <x v="0"/>
    <s v="Yes"/>
    <x v="2"/>
    <n v="1"/>
    <x v="0"/>
    <x v="0"/>
    <s v="Yes"/>
    <x v="2"/>
    <x v="1"/>
    <x v="4"/>
    <s v="No"/>
    <s v="No"/>
    <x v="0"/>
    <s v="Networking"/>
    <n v="1"/>
    <x v="2"/>
    <s v="Single"/>
    <x v="1"/>
    <s v="Family"/>
    <x v="1"/>
    <n v="3.88"/>
    <s v="No"/>
    <n v="3.88"/>
    <n v="11"/>
    <n v="35000"/>
    <x v="1"/>
    <x v="0"/>
    <n v="47"/>
  </r>
  <r>
    <x v="3"/>
    <x v="0"/>
    <n v="21"/>
    <n v="2020"/>
    <x v="0"/>
    <n v="2"/>
    <x v="0"/>
    <s v="No"/>
    <x v="1"/>
    <n v="1"/>
    <x v="0"/>
    <x v="0"/>
    <s v="Yes"/>
    <x v="4"/>
    <x v="0"/>
    <x v="0"/>
    <s v="No"/>
    <s v="No"/>
    <x v="1"/>
    <s v="Networking"/>
    <n v="2"/>
    <x v="5"/>
    <s v="Single"/>
    <x v="0"/>
    <s v="Bachelor"/>
    <x v="1"/>
    <n v="4"/>
    <s v="No"/>
    <n v="4"/>
    <n v="12"/>
    <n v="25000"/>
    <x v="1"/>
    <x v="0"/>
    <n v="45"/>
  </r>
  <r>
    <x v="2"/>
    <x v="1"/>
    <n v="21"/>
    <n v="2019"/>
    <x v="0"/>
    <n v="8"/>
    <x v="1"/>
    <s v="Yes"/>
    <x v="0"/>
    <n v="1"/>
    <x v="0"/>
    <x v="0"/>
    <s v="Yes"/>
    <x v="1"/>
    <x v="0"/>
    <x v="6"/>
    <s v="No"/>
    <s v="No"/>
    <x v="1"/>
    <s v="Software Development"/>
    <n v="1"/>
    <x v="0"/>
    <s v="Single"/>
    <x v="0"/>
    <s v="Family"/>
    <x v="0"/>
    <n v="3"/>
    <s v="No"/>
    <n v="3.66"/>
    <n v="87"/>
    <n v="150000"/>
    <x v="1"/>
    <x v="0"/>
    <n v="50.800000000000004"/>
  </r>
  <r>
    <x v="0"/>
    <x v="0"/>
    <n v="26"/>
    <n v="2018"/>
    <x v="0"/>
    <n v="12"/>
    <x v="1"/>
    <s v="Yes"/>
    <x v="6"/>
    <n v="2"/>
    <x v="1"/>
    <x v="0"/>
    <s v="Yes"/>
    <x v="2"/>
    <x v="0"/>
    <x v="0"/>
    <s v="Yes"/>
    <s v="Yes"/>
    <x v="0"/>
    <s v="Software Development"/>
    <n v="5"/>
    <x v="2"/>
    <s v="Single"/>
    <x v="0"/>
    <s v="Bachelor"/>
    <x v="0"/>
    <n v="2.44"/>
    <s v="No"/>
    <n v="2.44"/>
    <n v="90"/>
    <n v="20000"/>
    <x v="2"/>
    <x v="0"/>
    <n v="75"/>
  </r>
  <r>
    <x v="1"/>
    <x v="0"/>
    <n v="21"/>
    <n v="2020"/>
    <x v="0"/>
    <n v="3"/>
    <x v="0"/>
    <s v="No"/>
    <x v="5"/>
    <n v="2"/>
    <x v="0"/>
    <x v="0"/>
    <s v="Yes"/>
    <x v="3"/>
    <x v="0"/>
    <x v="8"/>
    <s v="No"/>
    <s v="No"/>
    <x v="0"/>
    <s v="Software Development"/>
    <n v="1"/>
    <x v="2"/>
    <s v="Single"/>
    <x v="1"/>
    <s v="Family"/>
    <x v="0"/>
    <n v="2.82"/>
    <s v="No"/>
    <n v="3"/>
    <n v="23"/>
    <n v="25000"/>
    <x v="0"/>
    <x v="0"/>
    <n v="54.2"/>
  </r>
  <r>
    <x v="3"/>
    <x v="1"/>
    <n v="21"/>
    <n v="2019"/>
    <x v="0"/>
    <n v="2"/>
    <x v="0"/>
    <s v="Yes"/>
    <x v="2"/>
    <n v="2"/>
    <x v="0"/>
    <x v="0"/>
    <s v="Yes"/>
    <x v="3"/>
    <x v="0"/>
    <x v="5"/>
    <s v="No"/>
    <s v="No"/>
    <x v="1"/>
    <s v="Software Development"/>
    <n v="2"/>
    <x v="2"/>
    <s v="Single"/>
    <x v="1"/>
    <s v="Family"/>
    <x v="0"/>
    <n v="3.9"/>
    <s v="No"/>
    <n v="3.9"/>
    <n v="11"/>
    <n v="50000"/>
    <x v="1"/>
    <x v="0"/>
    <n v="52"/>
  </r>
  <r>
    <x v="3"/>
    <x v="0"/>
    <n v="21"/>
    <n v="2020"/>
    <x v="0"/>
    <n v="2"/>
    <x v="0"/>
    <s v="No"/>
    <x v="3"/>
    <n v="1"/>
    <x v="1"/>
    <x v="0"/>
    <s v="Yes"/>
    <x v="10"/>
    <x v="1"/>
    <x v="8"/>
    <s v="No"/>
    <s v="No"/>
    <x v="0"/>
    <s v="Software Development"/>
    <n v="2"/>
    <x v="2"/>
    <s v="Single"/>
    <x v="0"/>
    <s v="Bachelor"/>
    <x v="1"/>
    <n v="3.33"/>
    <s v="No"/>
    <n v="3.33"/>
    <n v="12"/>
    <n v="62488"/>
    <x v="0"/>
    <x v="0"/>
    <n v="60.2"/>
  </r>
  <r>
    <x v="3"/>
    <x v="1"/>
    <n v="20"/>
    <n v="2020"/>
    <x v="0"/>
    <n v="2"/>
    <x v="1"/>
    <s v="No"/>
    <x v="0"/>
    <n v="3"/>
    <x v="0"/>
    <x v="0"/>
    <s v="Yes"/>
    <x v="2"/>
    <x v="1"/>
    <x v="6"/>
    <s v="No"/>
    <s v="No"/>
    <x v="0"/>
    <s v="Software Development"/>
    <n v="2"/>
    <x v="2"/>
    <s v="Single"/>
    <x v="0"/>
    <s v="Bachelor"/>
    <x v="0"/>
    <n v="3.7"/>
    <s v="No"/>
    <n v="3.7"/>
    <n v="11"/>
    <n v="35000"/>
    <x v="1"/>
    <x v="0"/>
    <n v="53.800000000000004"/>
  </r>
  <r>
    <x v="3"/>
    <x v="0"/>
    <n v="20"/>
    <n v="2020"/>
    <x v="0"/>
    <n v="2"/>
    <x v="0"/>
    <s v="Yes"/>
    <x v="5"/>
    <n v="2"/>
    <x v="0"/>
    <x v="0"/>
    <s v="No"/>
    <x v="1"/>
    <x v="0"/>
    <x v="0"/>
    <s v="No"/>
    <s v="No"/>
    <x v="0"/>
    <s v="Software Development"/>
    <n v="1"/>
    <x v="2"/>
    <s v="Single"/>
    <x v="0"/>
    <s v="Family"/>
    <x v="0"/>
    <n v="3.98"/>
    <s v="No"/>
    <n v="3.98"/>
    <n v="11"/>
    <n v="25000"/>
    <x v="1"/>
    <x v="0"/>
    <n v="51"/>
  </r>
  <r>
    <x v="3"/>
    <x v="1"/>
    <n v="21"/>
    <n v="2020"/>
    <x v="0"/>
    <n v="1"/>
    <x v="0"/>
    <s v="No"/>
    <x v="2"/>
    <n v="2"/>
    <x v="0"/>
    <x v="0"/>
    <s v="No"/>
    <x v="3"/>
    <x v="1"/>
    <x v="5"/>
    <s v="No"/>
    <s v="No"/>
    <x v="1"/>
    <s v="Software Development"/>
    <n v="1"/>
    <x v="2"/>
    <s v="Single"/>
    <x v="1"/>
    <s v="Bachelor"/>
    <x v="0"/>
    <n v="3.4"/>
    <s v="No"/>
    <n v="3.8"/>
    <n v="11"/>
    <n v="60000"/>
    <x v="1"/>
    <x v="0"/>
    <n v="49"/>
  </r>
  <r>
    <x v="3"/>
    <x v="0"/>
    <n v="22"/>
    <n v="2019"/>
    <x v="0"/>
    <n v="2"/>
    <x v="0"/>
    <s v="Yes"/>
    <x v="1"/>
    <n v="1"/>
    <x v="1"/>
    <x v="0"/>
    <s v="Yes"/>
    <x v="2"/>
    <x v="0"/>
    <x v="7"/>
    <s v="No"/>
    <s v="No"/>
    <x v="0"/>
    <s v="Software Development"/>
    <n v="1"/>
    <x v="2"/>
    <s v="Single"/>
    <x v="0"/>
    <s v="Family"/>
    <x v="0"/>
    <n v="3.81"/>
    <s v="No"/>
    <n v="3.81"/>
    <n v="11"/>
    <n v="400000"/>
    <x v="1"/>
    <x v="0"/>
    <n v="34"/>
  </r>
  <r>
    <x v="3"/>
    <x v="1"/>
    <n v="23"/>
    <n v="2021"/>
    <x v="0"/>
    <n v="2"/>
    <x v="0"/>
    <s v="Yes"/>
    <x v="1"/>
    <n v="2"/>
    <x v="0"/>
    <x v="0"/>
    <s v="No"/>
    <x v="1"/>
    <x v="0"/>
    <x v="0"/>
    <s v="No"/>
    <s v="No"/>
    <x v="1"/>
    <s v="Software Development"/>
    <n v="0"/>
    <x v="2"/>
    <s v="Engaged"/>
    <x v="0"/>
    <s v="Family"/>
    <x v="1"/>
    <n v="3.97"/>
    <s v="No"/>
    <n v="3.97"/>
    <n v="11"/>
    <n v="25000"/>
    <x v="1"/>
    <x v="0"/>
    <n v="39"/>
  </r>
  <r>
    <x v="3"/>
    <x v="0"/>
    <n v="20"/>
    <n v="2020"/>
    <x v="0"/>
    <n v="2"/>
    <x v="0"/>
    <s v="Yes"/>
    <x v="6"/>
    <n v="2"/>
    <x v="0"/>
    <x v="0"/>
    <s v="Yes"/>
    <x v="7"/>
    <x v="1"/>
    <x v="0"/>
    <s v="No"/>
    <s v="No"/>
    <x v="1"/>
    <s v="Software Development"/>
    <n v="2"/>
    <x v="2"/>
    <s v="Single"/>
    <x v="0"/>
    <s v="Bachelor"/>
    <x v="0"/>
    <n v="3.33"/>
    <s v="No"/>
    <n v="3.33"/>
    <n v="12"/>
    <n v="30000"/>
    <x v="0"/>
    <x v="0"/>
    <n v="66"/>
  </r>
  <r>
    <x v="1"/>
    <x v="1"/>
    <n v="21"/>
    <n v="2020"/>
    <x v="0"/>
    <n v="3"/>
    <x v="0"/>
    <s v="No"/>
    <x v="0"/>
    <n v="1"/>
    <x v="0"/>
    <x v="0"/>
    <s v="No"/>
    <x v="1"/>
    <x v="0"/>
    <x v="7"/>
    <s v="No"/>
    <s v="No"/>
    <x v="0"/>
    <s v="Software Development"/>
    <n v="5"/>
    <x v="2"/>
    <s v="Single"/>
    <x v="1"/>
    <s v="Family"/>
    <x v="1"/>
    <n v="2.68"/>
    <s v="No"/>
    <n v="2.89"/>
    <n v="23"/>
    <n v="15000"/>
    <x v="0"/>
    <x v="0"/>
    <n v="52"/>
  </r>
  <r>
    <x v="1"/>
    <x v="1"/>
    <n v="20"/>
    <n v="2019"/>
    <x v="0"/>
    <n v="2"/>
    <x v="1"/>
    <s v="No"/>
    <x v="0"/>
    <n v="2"/>
    <x v="1"/>
    <x v="0"/>
    <s v="No"/>
    <x v="2"/>
    <x v="0"/>
    <x v="4"/>
    <s v="No"/>
    <s v="No"/>
    <x v="0"/>
    <s v="Software Development"/>
    <n v="1"/>
    <x v="2"/>
    <s v="Single"/>
    <x v="1"/>
    <s v="Bachelor"/>
    <x v="1"/>
    <n v="3.84"/>
    <s v="No"/>
    <n v="3.84"/>
    <n v="11"/>
    <n v="30000"/>
    <x v="1"/>
    <x v="0"/>
    <n v="50"/>
  </r>
  <r>
    <x v="1"/>
    <x v="1"/>
    <n v="20"/>
    <n v="2016"/>
    <x v="0"/>
    <n v="3"/>
    <x v="0"/>
    <s v="No"/>
    <x v="2"/>
    <n v="1"/>
    <x v="0"/>
    <x v="0"/>
    <s v="No"/>
    <x v="3"/>
    <x v="2"/>
    <x v="11"/>
    <s v="No"/>
    <s v="No"/>
    <x v="0"/>
    <s v="Software Development"/>
    <n v="1"/>
    <x v="4"/>
    <s v="Single"/>
    <x v="0"/>
    <s v="Family"/>
    <x v="0"/>
    <n v="3.54"/>
    <s v="No"/>
    <n v="3.69"/>
    <n v="25"/>
    <n v="20000"/>
    <x v="1"/>
    <x v="0"/>
    <n v="39"/>
  </r>
  <r>
    <x v="1"/>
    <x v="0"/>
    <n v="21"/>
    <n v="2020"/>
    <x v="0"/>
    <n v="3"/>
    <x v="1"/>
    <s v="No"/>
    <x v="2"/>
    <n v="2"/>
    <x v="0"/>
    <x v="0"/>
    <s v="Yes"/>
    <x v="1"/>
    <x v="0"/>
    <x v="3"/>
    <s v="No"/>
    <s v="No"/>
    <x v="0"/>
    <s v="Software Development"/>
    <n v="2"/>
    <x v="2"/>
    <s v="Single"/>
    <x v="1"/>
    <s v="Bachelor"/>
    <x v="0"/>
    <n v="1.78"/>
    <s v="No"/>
    <n v="3.15"/>
    <n v="20"/>
    <n v="25000"/>
    <x v="0"/>
    <x v="0"/>
    <n v="47.2"/>
  </r>
  <r>
    <x v="1"/>
    <x v="0"/>
    <n v="19"/>
    <n v="2020"/>
    <x v="0"/>
    <n v="3"/>
    <x v="0"/>
    <s v="Yes"/>
    <x v="2"/>
    <n v="1"/>
    <x v="0"/>
    <x v="0"/>
    <s v="Yes"/>
    <x v="1"/>
    <x v="0"/>
    <x v="0"/>
    <s v="No"/>
    <s v="No"/>
    <x v="1"/>
    <s v="Software Development"/>
    <n v="1"/>
    <x v="4"/>
    <s v="Single"/>
    <x v="0"/>
    <s v="Family"/>
    <x v="1"/>
    <n v="2.3199999999999998"/>
    <s v="No"/>
    <n v="2.8"/>
    <n v="24"/>
    <n v="35000"/>
    <x v="0"/>
    <x v="0"/>
    <n v="45"/>
  </r>
  <r>
    <x v="3"/>
    <x v="0"/>
    <n v="20"/>
    <n v="2020"/>
    <x v="0"/>
    <n v="2"/>
    <x v="0"/>
    <s v="No"/>
    <x v="0"/>
    <n v="1"/>
    <x v="0"/>
    <x v="0"/>
    <s v="Yes"/>
    <x v="1"/>
    <x v="1"/>
    <x v="0"/>
    <s v="No"/>
    <s v="No"/>
    <x v="1"/>
    <s v="Software Development"/>
    <n v="2"/>
    <x v="2"/>
    <s v="Single"/>
    <x v="1"/>
    <s v="Bachelor"/>
    <x v="0"/>
    <n v="4"/>
    <s v="No"/>
    <n v="4"/>
    <n v="11"/>
    <n v="50000"/>
    <x v="1"/>
    <x v="0"/>
    <n v="51"/>
  </r>
  <r>
    <x v="3"/>
    <x v="0"/>
    <n v="22"/>
    <n v="2019"/>
    <x v="0"/>
    <n v="1"/>
    <x v="1"/>
    <s v="No"/>
    <x v="2"/>
    <n v="2"/>
    <x v="1"/>
    <x v="0"/>
    <s v="Yes"/>
    <x v="2"/>
    <x v="0"/>
    <x v="4"/>
    <s v="No"/>
    <s v="No"/>
    <x v="0"/>
    <s v="videography, video editing"/>
    <n v="2"/>
    <x v="2"/>
    <s v="Single"/>
    <x v="0"/>
    <s v="Family"/>
    <x v="1"/>
    <n v="0"/>
    <s v="No"/>
    <n v="0"/>
    <n v="0"/>
    <n v="62488"/>
    <x v="2"/>
    <x v="0"/>
    <n v="50"/>
  </r>
  <r>
    <x v="3"/>
    <x v="0"/>
    <n v="20"/>
    <n v="2020"/>
    <x v="0"/>
    <n v="2"/>
    <x v="1"/>
    <s v="No"/>
    <x v="3"/>
    <n v="2"/>
    <x v="0"/>
    <x v="0"/>
    <s v="Yes"/>
    <x v="3"/>
    <x v="1"/>
    <x v="0"/>
    <s v="No"/>
    <s v="No"/>
    <x v="0"/>
    <s v="Software Development"/>
    <n v="2"/>
    <x v="2"/>
    <s v="Single"/>
    <x v="1"/>
    <s v="Bachelor"/>
    <x v="0"/>
    <n v="3.8"/>
    <s v="No"/>
    <n v="3.8"/>
    <n v="12"/>
    <n v="20000"/>
    <x v="1"/>
    <x v="0"/>
    <n v="57"/>
  </r>
  <r>
    <x v="1"/>
    <x v="0"/>
    <n v="22"/>
    <n v="2019"/>
    <x v="0"/>
    <n v="5"/>
    <x v="1"/>
    <s v="Yes"/>
    <x v="9"/>
    <n v="0"/>
    <x v="1"/>
    <x v="0"/>
    <s v="Yes"/>
    <x v="1"/>
    <x v="1"/>
    <x v="5"/>
    <s v="No"/>
    <s v="No"/>
    <x v="1"/>
    <s v="Software Development"/>
    <n v="6"/>
    <x v="2"/>
    <s v="Single"/>
    <x v="1"/>
    <s v="Family"/>
    <x v="0"/>
    <n v="2.08"/>
    <s v="No"/>
    <n v="2.91"/>
    <n v="49"/>
    <n v="30000"/>
    <x v="0"/>
    <x v="0"/>
    <n v="58"/>
  </r>
  <r>
    <x v="3"/>
    <x v="0"/>
    <n v="20"/>
    <n v="2020"/>
    <x v="0"/>
    <n v="2"/>
    <x v="1"/>
    <s v="No"/>
    <x v="2"/>
    <n v="3"/>
    <x v="0"/>
    <x v="0"/>
    <s v="No"/>
    <x v="3"/>
    <x v="1"/>
    <x v="4"/>
    <s v="No"/>
    <s v="No"/>
    <x v="0"/>
    <s v="Software Development"/>
    <n v="2"/>
    <x v="2"/>
    <s v="Single"/>
    <x v="0"/>
    <s v="Bachelor"/>
    <x v="0"/>
    <n v="3.05"/>
    <s v="No"/>
    <n v="3.05"/>
    <n v="12"/>
    <n v="25000"/>
    <x v="0"/>
    <x v="0"/>
    <n v="50"/>
  </r>
  <r>
    <x v="3"/>
    <x v="0"/>
    <n v="21"/>
    <n v="2020"/>
    <x v="0"/>
    <n v="2"/>
    <x v="0"/>
    <s v="Yes"/>
    <x v="0"/>
    <n v="2"/>
    <x v="1"/>
    <x v="0"/>
    <s v="Yes"/>
    <x v="0"/>
    <x v="2"/>
    <x v="0"/>
    <s v="No"/>
    <s v="No"/>
    <x v="0"/>
    <s v="Software Development"/>
    <n v="0"/>
    <x v="2"/>
    <s v="Single"/>
    <x v="0"/>
    <s v="Family"/>
    <x v="0"/>
    <n v="3.45"/>
    <s v="No"/>
    <n v="3.45"/>
    <n v="12"/>
    <n v="30000"/>
    <x v="0"/>
    <x v="0"/>
    <n v="45"/>
  </r>
  <r>
    <x v="3"/>
    <x v="1"/>
    <n v="19"/>
    <n v="2020"/>
    <x v="0"/>
    <n v="1"/>
    <x v="1"/>
    <s v="Yes"/>
    <x v="1"/>
    <n v="2"/>
    <x v="0"/>
    <x v="0"/>
    <s v="No"/>
    <x v="1"/>
    <x v="1"/>
    <x v="8"/>
    <s v="No"/>
    <s v="No"/>
    <x v="1"/>
    <s v="No skills"/>
    <n v="2"/>
    <x v="2"/>
    <s v="Single"/>
    <x v="1"/>
    <s v="Family"/>
    <x v="0"/>
    <n v="0"/>
    <s v="No"/>
    <n v="0"/>
    <n v="0"/>
    <n v="20000"/>
    <x v="2"/>
    <x v="0"/>
    <n v="48.2"/>
  </r>
  <r>
    <x v="3"/>
    <x v="0"/>
    <n v="20"/>
    <n v="2020"/>
    <x v="0"/>
    <n v="1"/>
    <x v="0"/>
    <s v="Yes"/>
    <x v="5"/>
    <n v="2"/>
    <x v="0"/>
    <x v="0"/>
    <s v="Yes"/>
    <x v="1"/>
    <x v="1"/>
    <x v="1"/>
    <s v="Yes"/>
    <s v="Yes"/>
    <x v="0"/>
    <s v="Software Development"/>
    <n v="2"/>
    <x v="2"/>
    <s v="Single"/>
    <x v="1"/>
    <s v="Bachelor"/>
    <x v="0"/>
    <n v="2.73"/>
    <s v="No"/>
    <n v="2.73"/>
    <n v="12"/>
    <n v="20000"/>
    <x v="0"/>
    <x v="0"/>
    <n v="56.400000000000006"/>
  </r>
  <r>
    <x v="0"/>
    <x v="0"/>
    <n v="22"/>
    <n v="2018"/>
    <x v="0"/>
    <n v="11"/>
    <x v="1"/>
    <s v="No"/>
    <x v="1"/>
    <n v="1"/>
    <x v="0"/>
    <x v="0"/>
    <s v="Yes"/>
    <x v="2"/>
    <x v="0"/>
    <x v="2"/>
    <s v="No"/>
    <s v="No"/>
    <x v="0"/>
    <s v="Software Development"/>
    <n v="3"/>
    <x v="2"/>
    <s v="Single"/>
    <x v="0"/>
    <s v="Bachelor"/>
    <x v="0"/>
    <n v="3.2"/>
    <s v="No"/>
    <n v="3.29"/>
    <n v="132"/>
    <n v="40000"/>
    <x v="0"/>
    <x v="0"/>
    <n v="44"/>
  </r>
  <r>
    <x v="4"/>
    <x v="1"/>
    <n v="20"/>
    <n v="2019"/>
    <x v="0"/>
    <n v="8"/>
    <x v="0"/>
    <s v="No"/>
    <x v="4"/>
    <n v="2"/>
    <x v="0"/>
    <x v="0"/>
    <s v="Yes"/>
    <x v="2"/>
    <x v="0"/>
    <x v="5"/>
    <s v="No"/>
    <s v="No"/>
    <x v="0"/>
    <s v="Software Development"/>
    <n v="2"/>
    <x v="2"/>
    <s v="Single"/>
    <x v="0"/>
    <s v="Family"/>
    <x v="0"/>
    <n v="3.96"/>
    <s v="No"/>
    <n v="3.94"/>
    <n v="85"/>
    <n v="100000"/>
    <x v="1"/>
    <x v="0"/>
    <n v="64"/>
  </r>
  <r>
    <x v="2"/>
    <x v="0"/>
    <n v="22"/>
    <n v="2019"/>
    <x v="0"/>
    <n v="7"/>
    <x v="0"/>
    <s v="Yes"/>
    <x v="9"/>
    <n v="2"/>
    <x v="0"/>
    <x v="0"/>
    <s v="Yes"/>
    <x v="5"/>
    <x v="0"/>
    <x v="23"/>
    <s v="No"/>
    <s v="No"/>
    <x v="1"/>
    <s v="Nothing properly"/>
    <n v="0"/>
    <x v="2"/>
    <s v="Single"/>
    <x v="1"/>
    <s v="Family"/>
    <x v="0"/>
    <n v="3.56"/>
    <s v="No"/>
    <n v="3.69"/>
    <n v="87"/>
    <n v="40000"/>
    <x v="1"/>
    <x v="1"/>
    <n v="24"/>
  </r>
  <r>
    <x v="3"/>
    <x v="0"/>
    <n v="23"/>
    <n v="2019"/>
    <x v="0"/>
    <n v="1"/>
    <x v="0"/>
    <s v="Yes"/>
    <x v="2"/>
    <n v="1"/>
    <x v="0"/>
    <x v="0"/>
    <s v="Yes"/>
    <x v="7"/>
    <x v="1"/>
    <x v="5"/>
    <s v="No"/>
    <s v="No"/>
    <x v="1"/>
    <s v="Networking"/>
    <n v="1"/>
    <x v="2"/>
    <s v="Single"/>
    <x v="1"/>
    <s v="Family"/>
    <x v="0"/>
    <n v="0"/>
    <s v="No"/>
    <n v="0"/>
    <n v="0"/>
    <n v="40000"/>
    <x v="2"/>
    <x v="0"/>
    <n v="49"/>
  </r>
  <r>
    <x v="3"/>
    <x v="1"/>
    <n v="19"/>
    <n v="2020"/>
    <x v="0"/>
    <n v="2"/>
    <x v="0"/>
    <s v="Yes"/>
    <x v="2"/>
    <n v="1"/>
    <x v="0"/>
    <x v="0"/>
    <s v="Yes"/>
    <x v="3"/>
    <x v="1"/>
    <x v="5"/>
    <s v="No"/>
    <s v="No"/>
    <x v="1"/>
    <s v="Software Development"/>
    <n v="1"/>
    <x v="2"/>
    <s v="Single"/>
    <x v="0"/>
    <s v="Family"/>
    <x v="0"/>
    <n v="3.89"/>
    <s v="No"/>
    <n v="3.89"/>
    <n v="11"/>
    <n v="70000"/>
    <x v="1"/>
    <x v="0"/>
    <n v="49"/>
  </r>
  <r>
    <x v="3"/>
    <x v="1"/>
    <n v="20"/>
    <n v="2020"/>
    <x v="0"/>
    <n v="1"/>
    <x v="0"/>
    <s v="Yes"/>
    <x v="2"/>
    <n v="1"/>
    <x v="0"/>
    <x v="0"/>
    <s v="No"/>
    <x v="6"/>
    <x v="0"/>
    <x v="5"/>
    <s v="No"/>
    <s v="No"/>
    <x v="0"/>
    <s v="Networking"/>
    <n v="1"/>
    <x v="2"/>
    <s v="Single"/>
    <x v="0"/>
    <s v="Family"/>
    <x v="0"/>
    <n v="0"/>
    <s v="No"/>
    <n v="0"/>
    <n v="0"/>
    <n v="15000"/>
    <x v="2"/>
    <x v="0"/>
    <n v="49"/>
  </r>
  <r>
    <x v="1"/>
    <x v="1"/>
    <n v="26"/>
    <n v="2014"/>
    <x v="0"/>
    <n v="3"/>
    <x v="0"/>
    <s v="No"/>
    <x v="5"/>
    <n v="3"/>
    <x v="0"/>
    <x v="0"/>
    <s v="Yes"/>
    <x v="1"/>
    <x v="1"/>
    <x v="14"/>
    <s v="No"/>
    <s v="No"/>
    <x v="1"/>
    <s v="Software Development"/>
    <n v="1"/>
    <x v="2"/>
    <s v="Married"/>
    <x v="1"/>
    <s v="Family"/>
    <x v="0"/>
    <n v="3.89"/>
    <s v="No"/>
    <n v="3.36"/>
    <n v="23"/>
    <n v="80000"/>
    <x v="0"/>
    <x v="0"/>
    <n v="35"/>
  </r>
  <r>
    <x v="3"/>
    <x v="0"/>
    <n v="20"/>
    <n v="2020"/>
    <x v="0"/>
    <n v="2"/>
    <x v="0"/>
    <s v="Yes"/>
    <x v="0"/>
    <n v="1"/>
    <x v="0"/>
    <x v="0"/>
    <s v="Yes"/>
    <x v="2"/>
    <x v="1"/>
    <x v="25"/>
    <s v="No"/>
    <s v="No"/>
    <x v="1"/>
    <s v="Software Development"/>
    <n v="1"/>
    <x v="10"/>
    <s v="Single"/>
    <x v="1"/>
    <s v="Family"/>
    <x v="0"/>
    <n v="3.68"/>
    <s v="No"/>
    <n v="3.68"/>
    <n v="14"/>
    <n v="24000"/>
    <x v="1"/>
    <x v="0"/>
    <n v="16"/>
  </r>
  <r>
    <x v="3"/>
    <x v="0"/>
    <n v="19"/>
    <n v="2020"/>
    <x v="0"/>
    <n v="1"/>
    <x v="0"/>
    <s v="Yes"/>
    <x v="1"/>
    <n v="2"/>
    <x v="1"/>
    <x v="0"/>
    <s v="Yes"/>
    <x v="1"/>
    <x v="0"/>
    <x v="5"/>
    <s v="No"/>
    <s v="No"/>
    <x v="0"/>
    <s v="None"/>
    <n v="2"/>
    <x v="2"/>
    <s v="Single"/>
    <x v="1"/>
    <s v="Family"/>
    <x v="0"/>
    <n v="0"/>
    <s v="No"/>
    <n v="0"/>
    <n v="0"/>
    <n v="20000"/>
    <x v="2"/>
    <x v="0"/>
    <n v="49"/>
  </r>
  <r>
    <x v="3"/>
    <x v="0"/>
    <n v="19"/>
    <n v="2020"/>
    <x v="0"/>
    <n v="2"/>
    <x v="0"/>
    <s v="Yes"/>
    <x v="3"/>
    <n v="2"/>
    <x v="0"/>
    <x v="0"/>
    <s v="Yes"/>
    <x v="2"/>
    <x v="0"/>
    <x v="8"/>
    <s v="Yes"/>
    <s v="No"/>
    <x v="0"/>
    <s v="Software Development"/>
    <n v="2"/>
    <x v="2"/>
    <s v="Single"/>
    <x v="0"/>
    <s v="Family"/>
    <x v="0"/>
    <n v="2.93"/>
    <s v="No"/>
    <n v="2.93"/>
    <n v="11"/>
    <n v="35000"/>
    <x v="0"/>
    <x v="0"/>
    <n v="60.2"/>
  </r>
  <r>
    <x v="3"/>
    <x v="0"/>
    <n v="20"/>
    <n v="2020"/>
    <x v="0"/>
    <n v="2"/>
    <x v="0"/>
    <s v="No"/>
    <x v="5"/>
    <n v="3"/>
    <x v="1"/>
    <x v="0"/>
    <s v="Yes"/>
    <x v="2"/>
    <x v="1"/>
    <x v="5"/>
    <s v="No"/>
    <s v="No"/>
    <x v="1"/>
    <s v="Software Development"/>
    <n v="2"/>
    <x v="2"/>
    <s v="Single"/>
    <x v="1"/>
    <s v="Family"/>
    <x v="0"/>
    <n v="3.81"/>
    <s v="No"/>
    <n v="3.81"/>
    <n v="12"/>
    <n v="50000"/>
    <x v="1"/>
    <x v="0"/>
    <n v="58"/>
  </r>
  <r>
    <x v="1"/>
    <x v="1"/>
    <n v="19"/>
    <n v="2020"/>
    <x v="0"/>
    <n v="2"/>
    <x v="1"/>
    <s v="Yes"/>
    <x v="0"/>
    <n v="2"/>
    <x v="0"/>
    <x v="0"/>
    <s v="No"/>
    <x v="2"/>
    <x v="0"/>
    <x v="8"/>
    <s v="No"/>
    <s v="No"/>
    <x v="1"/>
    <s v="Software Development"/>
    <n v="1"/>
    <x v="2"/>
    <s v="Single"/>
    <x v="1"/>
    <s v="Family"/>
    <x v="1"/>
    <n v="3.37"/>
    <s v="Yes"/>
    <n v="3.37"/>
    <n v="11"/>
    <n v="25000"/>
    <x v="0"/>
    <x v="0"/>
    <n v="51.2"/>
  </r>
  <r>
    <x v="3"/>
    <x v="0"/>
    <n v="19"/>
    <n v="2020"/>
    <x v="0"/>
    <n v="2"/>
    <x v="0"/>
    <s v="No"/>
    <x v="0"/>
    <n v="1"/>
    <x v="0"/>
    <x v="0"/>
    <s v="Yes"/>
    <x v="1"/>
    <x v="0"/>
    <x v="5"/>
    <s v="Yes"/>
    <s v="No"/>
    <x v="0"/>
    <s v="Software Development"/>
    <n v="1"/>
    <x v="11"/>
    <s v="Married"/>
    <x v="1"/>
    <s v="Family"/>
    <x v="0"/>
    <n v="3.25"/>
    <s v="No"/>
    <n v="3.25"/>
    <n v="10"/>
    <n v="62488"/>
    <x v="0"/>
    <x v="0"/>
    <n v="52"/>
  </r>
  <r>
    <x v="3"/>
    <x v="0"/>
    <n v="20"/>
    <n v="2020"/>
    <x v="0"/>
    <n v="2"/>
    <x v="0"/>
    <s v="No"/>
    <x v="0"/>
    <n v="2"/>
    <x v="1"/>
    <x v="0"/>
    <s v="Yes"/>
    <x v="1"/>
    <x v="1"/>
    <x v="9"/>
    <s v="No"/>
    <s v="No"/>
    <x v="1"/>
    <s v="Software Development"/>
    <n v="2"/>
    <x v="3"/>
    <s v="Single"/>
    <x v="1"/>
    <s v="Family"/>
    <x v="0"/>
    <n v="2.89"/>
    <s v="No"/>
    <n v="2.89"/>
    <n v="11"/>
    <n v="30000"/>
    <x v="0"/>
    <x v="0"/>
    <n v="49"/>
  </r>
  <r>
    <x v="3"/>
    <x v="0"/>
    <n v="22"/>
    <n v="2019"/>
    <x v="0"/>
    <n v="2"/>
    <x v="1"/>
    <s v="No"/>
    <x v="2"/>
    <n v="1"/>
    <x v="0"/>
    <x v="0"/>
    <s v="Yes"/>
    <x v="1"/>
    <x v="1"/>
    <x v="4"/>
    <s v="Yes"/>
    <s v="No"/>
    <x v="1"/>
    <s v="Software Development"/>
    <n v="1"/>
    <x v="2"/>
    <s v="Engaged"/>
    <x v="0"/>
    <s v="Bachelor"/>
    <x v="1"/>
    <n v="1.45"/>
    <s v="No"/>
    <n v="1.45"/>
    <n v="11"/>
    <n v="40000"/>
    <x v="2"/>
    <x v="0"/>
    <n v="47"/>
  </r>
  <r>
    <x v="3"/>
    <x v="0"/>
    <n v="20"/>
    <n v="2020"/>
    <x v="0"/>
    <n v="2"/>
    <x v="1"/>
    <s v="Yes"/>
    <x v="2"/>
    <n v="2"/>
    <x v="0"/>
    <x v="0"/>
    <s v="No"/>
    <x v="4"/>
    <x v="0"/>
    <x v="8"/>
    <s v="No"/>
    <s v="No"/>
    <x v="0"/>
    <s v="No skill"/>
    <n v="2"/>
    <x v="2"/>
    <s v="Single"/>
    <x v="1"/>
    <s v="Family"/>
    <x v="0"/>
    <n v="3.73"/>
    <s v="No"/>
    <n v="3.73"/>
    <n v="11"/>
    <n v="35000"/>
    <x v="1"/>
    <x v="0"/>
    <n v="51.2"/>
  </r>
  <r>
    <x v="3"/>
    <x v="0"/>
    <n v="20"/>
    <n v="2020"/>
    <x v="0"/>
    <n v="2"/>
    <x v="0"/>
    <s v="No"/>
    <x v="2"/>
    <n v="2"/>
    <x v="0"/>
    <x v="0"/>
    <s v="Yes"/>
    <x v="3"/>
    <x v="0"/>
    <x v="13"/>
    <s v="No"/>
    <s v="No"/>
    <x v="1"/>
    <s v="Software Development"/>
    <n v="4"/>
    <x v="2"/>
    <s v="Single"/>
    <x v="1"/>
    <s v="Bachelor"/>
    <x v="0"/>
    <n v="3.18"/>
    <s v="No"/>
    <n v="3.18"/>
    <n v="11"/>
    <n v="25000"/>
    <x v="0"/>
    <x v="0"/>
    <n v="54.800000000000004"/>
  </r>
  <r>
    <x v="0"/>
    <x v="1"/>
    <n v="22"/>
    <n v="2017"/>
    <x v="0"/>
    <n v="12"/>
    <x v="1"/>
    <s v="Yes"/>
    <x v="3"/>
    <n v="2"/>
    <x v="0"/>
    <x v="0"/>
    <s v="Yes"/>
    <x v="4"/>
    <x v="0"/>
    <x v="10"/>
    <s v="No"/>
    <s v="No"/>
    <x v="1"/>
    <s v="Software Development"/>
    <n v="1"/>
    <x v="2"/>
    <s v="Single"/>
    <x v="0"/>
    <s v="Family"/>
    <x v="0"/>
    <n v="3.5"/>
    <s v="No"/>
    <n v="3.7"/>
    <n v="100"/>
    <n v="30000"/>
    <x v="1"/>
    <x v="0"/>
    <n v="57.6"/>
  </r>
  <r>
    <x v="3"/>
    <x v="0"/>
    <n v="19"/>
    <n v="2020"/>
    <x v="0"/>
    <n v="2"/>
    <x v="0"/>
    <s v="No"/>
    <x v="1"/>
    <n v="1"/>
    <x v="1"/>
    <x v="0"/>
    <s v="Yes"/>
    <x v="2"/>
    <x v="1"/>
    <x v="0"/>
    <s v="Yes"/>
    <s v="No"/>
    <x v="1"/>
    <s v="Software Development"/>
    <n v="1"/>
    <x v="2"/>
    <s v="Single"/>
    <x v="1"/>
    <s v="Bachelor"/>
    <x v="1"/>
    <n v="2.9"/>
    <s v="No"/>
    <n v="2.9"/>
    <n v="11"/>
    <n v="60000"/>
    <x v="0"/>
    <x v="0"/>
    <n v="42"/>
  </r>
  <r>
    <x v="3"/>
    <x v="0"/>
    <n v="18"/>
    <n v="2020"/>
    <x v="0"/>
    <n v="2"/>
    <x v="0"/>
    <s v="No"/>
    <x v="4"/>
    <n v="3"/>
    <x v="0"/>
    <x v="0"/>
    <s v="Yes"/>
    <x v="2"/>
    <x v="1"/>
    <x v="4"/>
    <s v="No"/>
    <s v="No"/>
    <x v="0"/>
    <s v="Software Development"/>
    <n v="2"/>
    <x v="2"/>
    <s v="Single"/>
    <x v="1"/>
    <s v="Family"/>
    <x v="0"/>
    <n v="3.48"/>
    <s v="No"/>
    <n v="3.48"/>
    <n v="12"/>
    <n v="25000"/>
    <x v="0"/>
    <x v="0"/>
    <n v="62"/>
  </r>
  <r>
    <x v="3"/>
    <x v="0"/>
    <n v="20"/>
    <n v="2020"/>
    <x v="0"/>
    <n v="2"/>
    <x v="0"/>
    <s v="No"/>
    <x v="0"/>
    <n v="2"/>
    <x v="0"/>
    <x v="0"/>
    <s v="Yes"/>
    <x v="4"/>
    <x v="1"/>
    <x v="4"/>
    <s v="Yes"/>
    <s v="No"/>
    <x v="1"/>
    <s v="Software Development"/>
    <n v="3"/>
    <x v="7"/>
    <s v="Single"/>
    <x v="1"/>
    <s v="Family"/>
    <x v="0"/>
    <n v="3.6"/>
    <s v="No"/>
    <n v="3.6"/>
    <n v="11"/>
    <n v="25000"/>
    <x v="1"/>
    <x v="0"/>
    <n v="56"/>
  </r>
  <r>
    <x v="1"/>
    <x v="0"/>
    <n v="21"/>
    <n v="2019"/>
    <x v="0"/>
    <n v="2"/>
    <x v="1"/>
    <s v="No"/>
    <x v="2"/>
    <n v="3"/>
    <x v="1"/>
    <x v="0"/>
    <s v="Yes"/>
    <x v="2"/>
    <x v="1"/>
    <x v="0"/>
    <s v="No"/>
    <s v="No"/>
    <x v="0"/>
    <s v="Software Development"/>
    <n v="4"/>
    <x v="2"/>
    <s v="Single"/>
    <x v="1"/>
    <s v="Bachelor"/>
    <x v="0"/>
    <n v="3.13"/>
    <s v="No"/>
    <n v="3.17"/>
    <n v="11"/>
    <n v="40000"/>
    <x v="0"/>
    <x v="0"/>
    <n v="54"/>
  </r>
  <r>
    <x v="1"/>
    <x v="0"/>
    <n v="21"/>
    <n v="2019"/>
    <x v="0"/>
    <n v="2"/>
    <x v="0"/>
    <s v="No"/>
    <x v="0"/>
    <n v="2"/>
    <x v="1"/>
    <x v="0"/>
    <s v="Yes"/>
    <x v="2"/>
    <x v="1"/>
    <x v="0"/>
    <s v="Yes"/>
    <s v="No"/>
    <x v="0"/>
    <s v="Software Development"/>
    <n v="2"/>
    <x v="2"/>
    <s v="Single"/>
    <x v="1"/>
    <s v="Bachelor"/>
    <x v="0"/>
    <n v="1.42"/>
    <s v="No"/>
    <n v="1.42"/>
    <n v="5"/>
    <n v="50000"/>
    <x v="2"/>
    <x v="0"/>
    <n v="51"/>
  </r>
  <r>
    <x v="3"/>
    <x v="0"/>
    <n v="19"/>
    <n v="2020"/>
    <x v="0"/>
    <n v="2"/>
    <x v="0"/>
    <s v="Yes"/>
    <x v="2"/>
    <n v="1"/>
    <x v="0"/>
    <x v="0"/>
    <s v="Yes"/>
    <x v="3"/>
    <x v="0"/>
    <x v="3"/>
    <s v="No"/>
    <s v="No"/>
    <x v="0"/>
    <s v="Software Development"/>
    <n v="2"/>
    <x v="2"/>
    <s v="Single"/>
    <x v="1"/>
    <s v="Family"/>
    <x v="0"/>
    <n v="3.13"/>
    <s v="No"/>
    <n v="3.13"/>
    <n v="11"/>
    <n v="40000"/>
    <x v="0"/>
    <x v="0"/>
    <n v="47.2"/>
  </r>
  <r>
    <x v="3"/>
    <x v="0"/>
    <n v="20"/>
    <n v="2020"/>
    <x v="0"/>
    <n v="2"/>
    <x v="0"/>
    <s v="No"/>
    <x v="0"/>
    <n v="2"/>
    <x v="1"/>
    <x v="0"/>
    <s v="Yes"/>
    <x v="2"/>
    <x v="0"/>
    <x v="5"/>
    <s v="No"/>
    <s v="No"/>
    <x v="0"/>
    <s v="Software Development"/>
    <n v="1"/>
    <x v="2"/>
    <s v="Single"/>
    <x v="1"/>
    <s v="Bachelor"/>
    <x v="0"/>
    <n v="3.85"/>
    <s v="No"/>
    <n v="3.85"/>
    <n v="12"/>
    <n v="30000"/>
    <x v="1"/>
    <x v="0"/>
    <n v="52"/>
  </r>
  <r>
    <x v="3"/>
    <x v="0"/>
    <n v="21"/>
    <n v="2020"/>
    <x v="0"/>
    <n v="2"/>
    <x v="0"/>
    <s v="Yes"/>
    <x v="5"/>
    <n v="2"/>
    <x v="1"/>
    <x v="0"/>
    <s v="Yes"/>
    <x v="3"/>
    <x v="0"/>
    <x v="5"/>
    <s v="No"/>
    <s v="No"/>
    <x v="0"/>
    <s v="Software Development"/>
    <n v="1"/>
    <x v="2"/>
    <s v="Single"/>
    <x v="0"/>
    <s v="Family"/>
    <x v="1"/>
    <n v="3.6"/>
    <s v="No"/>
    <n v="3.6"/>
    <n v="11"/>
    <n v="35000"/>
    <x v="1"/>
    <x v="0"/>
    <n v="55"/>
  </r>
  <r>
    <x v="3"/>
    <x v="1"/>
    <n v="18"/>
    <n v="2020"/>
    <x v="0"/>
    <n v="2"/>
    <x v="0"/>
    <s v="No"/>
    <x v="2"/>
    <n v="2"/>
    <x v="1"/>
    <x v="0"/>
    <s v="Yes"/>
    <x v="3"/>
    <x v="0"/>
    <x v="5"/>
    <s v="No"/>
    <s v="No"/>
    <x v="0"/>
    <s v="Software Development"/>
    <n v="1"/>
    <x v="2"/>
    <s v="Single"/>
    <x v="0"/>
    <s v="Family"/>
    <x v="0"/>
    <n v="3.54"/>
    <s v="No"/>
    <n v="3.54"/>
    <n v="11"/>
    <n v="14000"/>
    <x v="1"/>
    <x v="0"/>
    <n v="49"/>
  </r>
  <r>
    <x v="3"/>
    <x v="0"/>
    <n v="20"/>
    <n v="2020"/>
    <x v="0"/>
    <n v="2"/>
    <x v="0"/>
    <s v="No"/>
    <x v="1"/>
    <n v="1"/>
    <x v="0"/>
    <x v="0"/>
    <s v="Yes"/>
    <x v="4"/>
    <x v="1"/>
    <x v="3"/>
    <s v="No"/>
    <s v="No"/>
    <x v="1"/>
    <s v="Software Development"/>
    <n v="3"/>
    <x v="2"/>
    <s v="Single"/>
    <x v="1"/>
    <s v="Bachelor"/>
    <x v="0"/>
    <n v="3.54"/>
    <s v="No"/>
    <n v="3.55"/>
    <n v="11"/>
    <n v="62488"/>
    <x v="1"/>
    <x v="0"/>
    <n v="47.2"/>
  </r>
  <r>
    <x v="3"/>
    <x v="0"/>
    <n v="19"/>
    <n v="2020"/>
    <x v="0"/>
    <n v="2"/>
    <x v="1"/>
    <s v="No"/>
    <x v="0"/>
    <n v="2"/>
    <x v="1"/>
    <x v="0"/>
    <s v="Yes"/>
    <x v="4"/>
    <x v="0"/>
    <x v="4"/>
    <s v="Yes"/>
    <s v="No"/>
    <x v="1"/>
    <s v="Software Development"/>
    <n v="6"/>
    <x v="2"/>
    <s v="Single"/>
    <x v="1"/>
    <s v="Bachelor"/>
    <x v="0"/>
    <n v="2.1"/>
    <s v="No"/>
    <n v="2.1"/>
    <n v="12"/>
    <n v="10000"/>
    <x v="2"/>
    <x v="0"/>
    <n v="65"/>
  </r>
  <r>
    <x v="3"/>
    <x v="0"/>
    <n v="20"/>
    <n v="2020"/>
    <x v="0"/>
    <n v="2"/>
    <x v="0"/>
    <s v="No"/>
    <x v="0"/>
    <n v="2"/>
    <x v="0"/>
    <x v="0"/>
    <s v="Yes"/>
    <x v="0"/>
    <x v="1"/>
    <x v="0"/>
    <s v="No"/>
    <s v="No"/>
    <x v="0"/>
    <s v="Software Development"/>
    <n v="1"/>
    <x v="2"/>
    <s v="Single"/>
    <x v="0"/>
    <s v="Bachelor"/>
    <x v="0"/>
    <n v="2.5"/>
    <s v="No"/>
    <n v="2.5"/>
    <n v="12"/>
    <n v="25000"/>
    <x v="0"/>
    <x v="0"/>
    <n v="48"/>
  </r>
  <r>
    <x v="4"/>
    <x v="0"/>
    <n v="24"/>
    <n v="2017"/>
    <x v="0"/>
    <n v="11"/>
    <x v="0"/>
    <s v="No"/>
    <x v="7"/>
    <n v="1"/>
    <x v="0"/>
    <x v="0"/>
    <s v="Yes"/>
    <x v="3"/>
    <x v="0"/>
    <x v="0"/>
    <s v="No"/>
    <s v="No"/>
    <x v="1"/>
    <s v="Software Development"/>
    <n v="5"/>
    <x v="2"/>
    <s v="Relationship"/>
    <x v="0"/>
    <s v="Bachelor"/>
    <x v="0"/>
    <n v="3.31"/>
    <s v="No"/>
    <n v="3.76"/>
    <n v="139"/>
    <n v="30000"/>
    <x v="1"/>
    <x v="0"/>
    <n v="72"/>
  </r>
  <r>
    <x v="3"/>
    <x v="0"/>
    <n v="21"/>
    <n v="2020"/>
    <x v="0"/>
    <n v="2"/>
    <x v="1"/>
    <s v="No"/>
    <x v="1"/>
    <n v="2"/>
    <x v="1"/>
    <x v="0"/>
    <s v="Yes"/>
    <x v="4"/>
    <x v="2"/>
    <x v="9"/>
    <s v="No"/>
    <s v="No"/>
    <x v="0"/>
    <s v="Cyber security"/>
    <n v="0"/>
    <x v="2"/>
    <s v="Single"/>
    <x v="1"/>
    <s v="Bachelor"/>
    <x v="0"/>
    <n v="3.75"/>
    <s v="No"/>
    <n v="3.75"/>
    <n v="12"/>
    <n v="50000"/>
    <x v="1"/>
    <x v="0"/>
    <n v="37"/>
  </r>
  <r>
    <x v="1"/>
    <x v="0"/>
    <n v="21"/>
    <n v="2020"/>
    <x v="0"/>
    <n v="2"/>
    <x v="0"/>
    <s v="No"/>
    <x v="4"/>
    <n v="3"/>
    <x v="1"/>
    <x v="0"/>
    <s v="Yes"/>
    <x v="2"/>
    <x v="0"/>
    <x v="8"/>
    <s v="No"/>
    <s v="No"/>
    <x v="0"/>
    <s v="Software Development"/>
    <n v="3"/>
    <x v="2"/>
    <s v="Single"/>
    <x v="1"/>
    <s v="Bachelor"/>
    <x v="1"/>
    <n v="3.7"/>
    <s v="No"/>
    <n v="3.7"/>
    <n v="13"/>
    <n v="25000"/>
    <x v="1"/>
    <x v="0"/>
    <n v="66.2"/>
  </r>
  <r>
    <x v="1"/>
    <x v="0"/>
    <n v="21"/>
    <n v="2020"/>
    <x v="0"/>
    <n v="2"/>
    <x v="1"/>
    <s v="No"/>
    <x v="0"/>
    <n v="3"/>
    <x v="1"/>
    <x v="0"/>
    <s v="Yes"/>
    <x v="3"/>
    <x v="0"/>
    <x v="6"/>
    <s v="No"/>
    <s v="No"/>
    <x v="0"/>
    <s v="Software Development"/>
    <n v="3"/>
    <x v="5"/>
    <s v="Single"/>
    <x v="1"/>
    <s v="Bachelor"/>
    <x v="1"/>
    <n v="3.5"/>
    <s v="No"/>
    <n v="3.5"/>
    <n v="13"/>
    <n v="33000"/>
    <x v="1"/>
    <x v="0"/>
    <n v="56.800000000000004"/>
  </r>
  <r>
    <x v="2"/>
    <x v="1"/>
    <n v="20"/>
    <n v="2019"/>
    <x v="0"/>
    <n v="2"/>
    <x v="0"/>
    <s v="Yes"/>
    <x v="0"/>
    <n v="2"/>
    <x v="0"/>
    <x v="0"/>
    <s v="Yes"/>
    <x v="4"/>
    <x v="1"/>
    <x v="0"/>
    <s v="Yes"/>
    <s v="No"/>
    <x v="1"/>
    <s v="Software Development"/>
    <n v="2"/>
    <x v="6"/>
    <s v="Single"/>
    <x v="1"/>
    <s v="Family"/>
    <x v="0"/>
    <n v="3.7"/>
    <s v="No"/>
    <n v="3.7"/>
    <n v="11"/>
    <n v="60000"/>
    <x v="1"/>
    <x v="0"/>
    <n v="51"/>
  </r>
  <r>
    <x v="3"/>
    <x v="0"/>
    <n v="20"/>
    <n v="2020"/>
    <x v="0"/>
    <n v="2"/>
    <x v="0"/>
    <s v="No"/>
    <x v="0"/>
    <n v="1"/>
    <x v="0"/>
    <x v="0"/>
    <s v="Yes"/>
    <x v="1"/>
    <x v="1"/>
    <x v="7"/>
    <s v="Yes"/>
    <s v="Yes"/>
    <x v="0"/>
    <s v="Software Development"/>
    <n v="2"/>
    <x v="2"/>
    <s v="Single"/>
    <x v="1"/>
    <s v="Bachelor"/>
    <x v="0"/>
    <n v="3.24"/>
    <s v="No"/>
    <n v="3.24"/>
    <n v="11"/>
    <n v="40000"/>
    <x v="0"/>
    <x v="0"/>
    <n v="43"/>
  </r>
  <r>
    <x v="4"/>
    <x v="1"/>
    <n v="22"/>
    <n v="2018"/>
    <x v="0"/>
    <n v="11"/>
    <x v="1"/>
    <s v="Yes"/>
    <x v="2"/>
    <n v="1"/>
    <x v="0"/>
    <x v="0"/>
    <s v="Yes"/>
    <x v="2"/>
    <x v="0"/>
    <x v="10"/>
    <s v="Yes"/>
    <s v="No"/>
    <x v="1"/>
    <s v="Software Development"/>
    <n v="1"/>
    <x v="2"/>
    <s v="Single"/>
    <x v="1"/>
    <s v="Family"/>
    <x v="0"/>
    <n v="2.2999999999999998"/>
    <s v="No"/>
    <n v="2.8"/>
    <n v="113"/>
    <n v="60000"/>
    <x v="0"/>
    <x v="0"/>
    <n v="48.6"/>
  </r>
  <r>
    <x v="4"/>
    <x v="1"/>
    <n v="22"/>
    <n v="2018"/>
    <x v="0"/>
    <n v="12"/>
    <x v="1"/>
    <s v="No"/>
    <x v="2"/>
    <n v="1"/>
    <x v="0"/>
    <x v="0"/>
    <s v="No"/>
    <x v="1"/>
    <x v="0"/>
    <x v="7"/>
    <s v="No"/>
    <s v="No"/>
    <x v="1"/>
    <s v="Software Development"/>
    <n v="2"/>
    <x v="5"/>
    <s v="Engaged"/>
    <x v="1"/>
    <s v="Family"/>
    <x v="0"/>
    <n v="3.87"/>
    <s v="No"/>
    <n v="3.6"/>
    <n v="141"/>
    <n v="70000"/>
    <x v="1"/>
    <x v="0"/>
    <n v="40"/>
  </r>
  <r>
    <x v="2"/>
    <x v="0"/>
    <n v="22"/>
    <n v="2020"/>
    <x v="0"/>
    <n v="3"/>
    <x v="0"/>
    <s v="Yes"/>
    <x v="0"/>
    <n v="2"/>
    <x v="0"/>
    <x v="0"/>
    <s v="Yes"/>
    <x v="4"/>
    <x v="0"/>
    <x v="26"/>
    <s v="No"/>
    <s v="No"/>
    <x v="0"/>
    <s v="Software Development"/>
    <n v="1"/>
    <x v="3"/>
    <s v="Single"/>
    <x v="0"/>
    <s v="Family"/>
    <x v="0"/>
    <n v="3.24"/>
    <s v="Yes"/>
    <n v="3.5"/>
    <n v="27"/>
    <n v="25000"/>
    <x v="1"/>
    <x v="0"/>
    <n v="26.8"/>
  </r>
  <r>
    <x v="1"/>
    <x v="0"/>
    <n v="19"/>
    <n v="2020"/>
    <x v="0"/>
    <n v="2"/>
    <x v="1"/>
    <s v="No"/>
    <x v="0"/>
    <n v="2"/>
    <x v="0"/>
    <x v="0"/>
    <s v="No"/>
    <x v="1"/>
    <x v="1"/>
    <x v="9"/>
    <s v="No"/>
    <s v="No"/>
    <x v="1"/>
    <s v="Software Development"/>
    <n v="2"/>
    <x v="2"/>
    <s v="Single"/>
    <x v="1"/>
    <s v="Family"/>
    <x v="0"/>
    <n v="3.65"/>
    <s v="No"/>
    <n v="3.65"/>
    <n v="11"/>
    <n v="62488"/>
    <x v="1"/>
    <x v="0"/>
    <n v="49"/>
  </r>
  <r>
    <x v="1"/>
    <x v="0"/>
    <n v="21"/>
    <n v="2019"/>
    <x v="0"/>
    <n v="3"/>
    <x v="0"/>
    <s v="No"/>
    <x v="5"/>
    <n v="2"/>
    <x v="0"/>
    <x v="0"/>
    <s v="Yes"/>
    <x v="1"/>
    <x v="0"/>
    <x v="2"/>
    <s v="No"/>
    <s v="No"/>
    <x v="0"/>
    <s v="Software Development"/>
    <n v="2"/>
    <x v="2"/>
    <s v="Single"/>
    <x v="0"/>
    <s v="Bachelor"/>
    <x v="0"/>
    <n v="3.52"/>
    <s v="No"/>
    <n v="3.5"/>
    <n v="21"/>
    <n v="25000"/>
    <x v="1"/>
    <x v="0"/>
    <n v="50"/>
  </r>
  <r>
    <x v="3"/>
    <x v="0"/>
    <n v="20"/>
    <n v="2020"/>
    <x v="0"/>
    <n v="2"/>
    <x v="0"/>
    <s v="No"/>
    <x v="0"/>
    <n v="1"/>
    <x v="0"/>
    <x v="0"/>
    <s v="Yes"/>
    <x v="2"/>
    <x v="1"/>
    <x v="4"/>
    <s v="No"/>
    <s v="No"/>
    <x v="1"/>
    <s v="Software Development"/>
    <n v="4"/>
    <x v="2"/>
    <s v="Single"/>
    <x v="1"/>
    <s v="Bachelor"/>
    <x v="0"/>
    <n v="2.73"/>
    <s v="No"/>
    <n v="2.73"/>
    <n v="11"/>
    <n v="21000"/>
    <x v="0"/>
    <x v="0"/>
    <n v="59"/>
  </r>
  <r>
    <x v="1"/>
    <x v="0"/>
    <n v="24"/>
    <n v="2020"/>
    <x v="0"/>
    <n v="3"/>
    <x v="0"/>
    <s v="No"/>
    <x v="0"/>
    <n v="2"/>
    <x v="0"/>
    <x v="0"/>
    <s v="Yes"/>
    <x v="3"/>
    <x v="1"/>
    <x v="0"/>
    <s v="No"/>
    <s v="No"/>
    <x v="0"/>
    <s v="Software Development"/>
    <n v="2"/>
    <x v="2"/>
    <s v="Single"/>
    <x v="1"/>
    <s v="Family"/>
    <x v="0"/>
    <n v="3.79"/>
    <s v="No"/>
    <n v="3.88"/>
    <n v="23"/>
    <n v="13000"/>
    <x v="1"/>
    <x v="0"/>
    <n v="51"/>
  </r>
  <r>
    <x v="4"/>
    <x v="1"/>
    <n v="23"/>
    <n v="2016"/>
    <x v="0"/>
    <n v="11"/>
    <x v="0"/>
    <s v="No"/>
    <x v="2"/>
    <n v="1"/>
    <x v="0"/>
    <x v="0"/>
    <s v="Yes"/>
    <x v="2"/>
    <x v="1"/>
    <x v="7"/>
    <s v="No"/>
    <s v="No"/>
    <x v="1"/>
    <s v="Nothing"/>
    <n v="0"/>
    <x v="2"/>
    <s v="Engaged"/>
    <x v="1"/>
    <s v="Bachelor"/>
    <x v="0"/>
    <n v="3.96"/>
    <s v="No"/>
    <n v="3.91"/>
    <n v="116"/>
    <n v="30000"/>
    <x v="1"/>
    <x v="0"/>
    <n v="34"/>
  </r>
  <r>
    <x v="3"/>
    <x v="1"/>
    <n v="20"/>
    <n v="2021"/>
    <x v="0"/>
    <n v="2"/>
    <x v="1"/>
    <s v="Yes"/>
    <x v="3"/>
    <n v="2"/>
    <x v="1"/>
    <x v="0"/>
    <s v="Yes"/>
    <x v="2"/>
    <x v="1"/>
    <x v="0"/>
    <s v="Yes"/>
    <s v="No"/>
    <x v="0"/>
    <s v="Software Development"/>
    <n v="1"/>
    <x v="2"/>
    <s v="Single"/>
    <x v="1"/>
    <s v="Family"/>
    <x v="0"/>
    <n v="3.15"/>
    <s v="No"/>
    <n v="3.15"/>
    <n v="11"/>
    <n v="60000"/>
    <x v="0"/>
    <x v="0"/>
    <n v="54"/>
  </r>
  <r>
    <x v="3"/>
    <x v="1"/>
    <n v="21"/>
    <n v="2020"/>
    <x v="0"/>
    <n v="2"/>
    <x v="1"/>
    <s v="Yes"/>
    <x v="7"/>
    <n v="2"/>
    <x v="0"/>
    <x v="0"/>
    <s v="No"/>
    <x v="3"/>
    <x v="0"/>
    <x v="5"/>
    <s v="No"/>
    <s v="No"/>
    <x v="1"/>
    <s v="Software Development"/>
    <n v="2"/>
    <x v="2"/>
    <s v="Single"/>
    <x v="0"/>
    <s v="Family"/>
    <x v="1"/>
    <n v="3.4"/>
    <s v="No"/>
    <n v="3.4"/>
    <n v="12"/>
    <n v="15000"/>
    <x v="0"/>
    <x v="0"/>
    <n v="67"/>
  </r>
  <r>
    <x v="4"/>
    <x v="1"/>
    <n v="22"/>
    <n v="2018"/>
    <x v="0"/>
    <n v="11"/>
    <x v="1"/>
    <s v="Yes"/>
    <x v="2"/>
    <n v="2"/>
    <x v="1"/>
    <x v="0"/>
    <s v="Yes"/>
    <x v="3"/>
    <x v="0"/>
    <x v="0"/>
    <s v="No"/>
    <s v="No"/>
    <x v="1"/>
    <s v="Software Development"/>
    <n v="2"/>
    <x v="2"/>
    <s v="Single"/>
    <x v="1"/>
    <s v="Family"/>
    <x v="0"/>
    <n v="3.49"/>
    <s v="No"/>
    <n v="3.39"/>
    <n v="126"/>
    <n v="20000"/>
    <x v="0"/>
    <x v="0"/>
    <n v="48"/>
  </r>
  <r>
    <x v="3"/>
    <x v="0"/>
    <n v="23"/>
    <n v="2020"/>
    <x v="0"/>
    <n v="2"/>
    <x v="1"/>
    <s v="Yes"/>
    <x v="4"/>
    <n v="2"/>
    <x v="1"/>
    <x v="0"/>
    <s v="Yes"/>
    <x v="3"/>
    <x v="0"/>
    <x v="5"/>
    <s v="No"/>
    <s v="No"/>
    <x v="1"/>
    <s v="Software Development"/>
    <n v="2"/>
    <x v="2"/>
    <s v="Single"/>
    <x v="0"/>
    <s v="Family"/>
    <x v="0"/>
    <n v="3.85"/>
    <s v="No"/>
    <n v="3.85"/>
    <n v="12"/>
    <n v="30000"/>
    <x v="1"/>
    <x v="0"/>
    <n v="64"/>
  </r>
  <r>
    <x v="2"/>
    <x v="0"/>
    <n v="21"/>
    <n v="2018"/>
    <x v="0"/>
    <n v="8"/>
    <x v="1"/>
    <s v="Yes"/>
    <x v="5"/>
    <n v="2"/>
    <x v="0"/>
    <x v="0"/>
    <s v="Yes"/>
    <x v="3"/>
    <x v="0"/>
    <x v="0"/>
    <s v="Yes"/>
    <s v="No"/>
    <x v="1"/>
    <s v="Software Development"/>
    <n v="2"/>
    <x v="2"/>
    <s v="Single"/>
    <x v="0"/>
    <s v="Family"/>
    <x v="0"/>
    <n v="2.02"/>
    <s v="No"/>
    <n v="2.4"/>
    <n v="71"/>
    <n v="35000"/>
    <x v="2"/>
    <x v="0"/>
    <n v="54"/>
  </r>
  <r>
    <x v="1"/>
    <x v="1"/>
    <n v="26"/>
    <n v="2014"/>
    <x v="0"/>
    <n v="3"/>
    <x v="0"/>
    <s v="No"/>
    <x v="3"/>
    <n v="3"/>
    <x v="0"/>
    <x v="0"/>
    <s v="Yes"/>
    <x v="1"/>
    <x v="1"/>
    <x v="14"/>
    <s v="No"/>
    <s v="No"/>
    <x v="1"/>
    <s v="Software Development"/>
    <n v="2"/>
    <x v="2"/>
    <s v="Married"/>
    <x v="1"/>
    <s v="Family"/>
    <x v="0"/>
    <n v="3.89"/>
    <s v="No"/>
    <n v="3.38"/>
    <n v="23"/>
    <n v="80000"/>
    <x v="0"/>
    <x v="0"/>
    <n v="41"/>
  </r>
  <r>
    <x v="3"/>
    <x v="0"/>
    <n v="22"/>
    <n v="2020"/>
    <x v="0"/>
    <n v="2"/>
    <x v="0"/>
    <s v="Yes"/>
    <x v="2"/>
    <n v="1"/>
    <x v="1"/>
    <x v="0"/>
    <s v="Yes"/>
    <x v="2"/>
    <x v="0"/>
    <x v="0"/>
    <s v="No"/>
    <s v="No"/>
    <x v="0"/>
    <s v="Its on learning phase"/>
    <n v="3"/>
    <x v="2"/>
    <s v="Single"/>
    <x v="1"/>
    <s v="Family"/>
    <x v="0"/>
    <n v="3.93"/>
    <s v="No"/>
    <n v="3.93"/>
    <n v="12"/>
    <n v="55000"/>
    <x v="1"/>
    <x v="0"/>
    <n v="51"/>
  </r>
  <r>
    <x v="1"/>
    <x v="1"/>
    <n v="20"/>
    <n v="2020"/>
    <x v="0"/>
    <n v="2"/>
    <x v="1"/>
    <s v="Yes"/>
    <x v="3"/>
    <n v="2"/>
    <x v="0"/>
    <x v="0"/>
    <s v="Yes"/>
    <x v="2"/>
    <x v="1"/>
    <x v="10"/>
    <s v="No"/>
    <s v="No"/>
    <x v="1"/>
    <s v="Software Development"/>
    <n v="1"/>
    <x v="5"/>
    <s v="Single"/>
    <x v="1"/>
    <s v="Family"/>
    <x v="0"/>
    <n v="3.9"/>
    <s v="No"/>
    <n v="3.9"/>
    <n v="11"/>
    <n v="20000"/>
    <x v="1"/>
    <x v="0"/>
    <n v="57.6"/>
  </r>
  <r>
    <x v="3"/>
    <x v="0"/>
    <n v="20"/>
    <n v="2020"/>
    <x v="0"/>
    <n v="2"/>
    <x v="0"/>
    <s v="Yes"/>
    <x v="0"/>
    <n v="3"/>
    <x v="0"/>
    <x v="0"/>
    <s v="Yes"/>
    <x v="1"/>
    <x v="0"/>
    <x v="4"/>
    <s v="Yes"/>
    <s v="No"/>
    <x v="0"/>
    <s v="Software Development"/>
    <n v="1"/>
    <x v="2"/>
    <s v="Single"/>
    <x v="1"/>
    <s v="Bachelor"/>
    <x v="0"/>
    <n v="3.47"/>
    <s v="No"/>
    <n v="3.47"/>
    <n v="12"/>
    <n v="30000"/>
    <x v="0"/>
    <x v="0"/>
    <n v="50"/>
  </r>
  <r>
    <x v="3"/>
    <x v="1"/>
    <n v="20"/>
    <n v="2019"/>
    <x v="0"/>
    <n v="2"/>
    <x v="1"/>
    <s v="Yes"/>
    <x v="2"/>
    <n v="2"/>
    <x v="0"/>
    <x v="0"/>
    <s v="Yes"/>
    <x v="2"/>
    <x v="0"/>
    <x v="0"/>
    <s v="No"/>
    <s v="No"/>
    <x v="0"/>
    <s v="Graphics designing"/>
    <n v="1"/>
    <x v="2"/>
    <s v="Single"/>
    <x v="0"/>
    <s v="Family"/>
    <x v="0"/>
    <n v="3.7"/>
    <s v="No"/>
    <n v="3.7"/>
    <n v="12"/>
    <n v="30000"/>
    <x v="1"/>
    <x v="0"/>
    <n v="45"/>
  </r>
  <r>
    <x v="3"/>
    <x v="0"/>
    <n v="20"/>
    <n v="2020"/>
    <x v="0"/>
    <n v="2"/>
    <x v="0"/>
    <s v="Yes"/>
    <x v="5"/>
    <n v="1"/>
    <x v="0"/>
    <x v="0"/>
    <s v="Yes"/>
    <x v="2"/>
    <x v="0"/>
    <x v="5"/>
    <s v="No"/>
    <s v="No"/>
    <x v="1"/>
    <s v="Software Development"/>
    <n v="2"/>
    <x v="2"/>
    <s v="Single"/>
    <x v="0"/>
    <s v="Family"/>
    <x v="1"/>
    <n v="3.45"/>
    <s v="No"/>
    <n v="3.45"/>
    <n v="11"/>
    <n v="20000"/>
    <x v="0"/>
    <x v="0"/>
    <n v="58"/>
  </r>
  <r>
    <x v="3"/>
    <x v="0"/>
    <n v="22"/>
    <n v="2020"/>
    <x v="0"/>
    <n v="2"/>
    <x v="0"/>
    <s v="Yes"/>
    <x v="0"/>
    <n v="2"/>
    <x v="0"/>
    <x v="0"/>
    <s v="Yes"/>
    <x v="2"/>
    <x v="0"/>
    <x v="8"/>
    <s v="Yes"/>
    <s v="No"/>
    <x v="0"/>
    <s v="Software Development"/>
    <n v="1"/>
    <x v="2"/>
    <s v="Single"/>
    <x v="1"/>
    <s v="Family"/>
    <x v="0"/>
    <n v="3.73"/>
    <s v="No"/>
    <n v="3.73"/>
    <n v="11"/>
    <n v="100000"/>
    <x v="1"/>
    <x v="0"/>
    <n v="51.2"/>
  </r>
  <r>
    <x v="1"/>
    <x v="0"/>
    <n v="21"/>
    <n v="2019"/>
    <x v="0"/>
    <n v="3"/>
    <x v="0"/>
    <s v="Yes"/>
    <x v="5"/>
    <n v="4"/>
    <x v="1"/>
    <x v="0"/>
    <s v="Yes"/>
    <x v="2"/>
    <x v="0"/>
    <x v="4"/>
    <s v="No"/>
    <s v="No"/>
    <x v="0"/>
    <s v="Software Development"/>
    <n v="3"/>
    <x v="2"/>
    <s v="Single"/>
    <x v="0"/>
    <s v="Bachelor"/>
    <x v="1"/>
    <n v="3.73"/>
    <s v="Yes"/>
    <n v="3.68"/>
    <n v="26"/>
    <n v="35000"/>
    <x v="1"/>
    <x v="0"/>
    <n v="59"/>
  </r>
  <r>
    <x v="3"/>
    <x v="1"/>
    <n v="22"/>
    <n v="2020"/>
    <x v="0"/>
    <n v="2"/>
    <x v="0"/>
    <s v="Yes"/>
    <x v="0"/>
    <n v="2"/>
    <x v="1"/>
    <x v="0"/>
    <s v="Yes"/>
    <x v="3"/>
    <x v="0"/>
    <x v="4"/>
    <s v="No"/>
    <s v="No"/>
    <x v="0"/>
    <s v="Software Development"/>
    <n v="2"/>
    <x v="2"/>
    <s v="Single"/>
    <x v="1"/>
    <s v="Bachelor"/>
    <x v="0"/>
    <n v="3.65"/>
    <s v="No"/>
    <n v="3.65"/>
    <n v="11"/>
    <n v="20000"/>
    <x v="1"/>
    <x v="0"/>
    <n v="53"/>
  </r>
  <r>
    <x v="3"/>
    <x v="1"/>
    <n v="21"/>
    <n v="2020"/>
    <x v="0"/>
    <n v="2"/>
    <x v="0"/>
    <s v="Yes"/>
    <x v="5"/>
    <n v="2"/>
    <x v="0"/>
    <x v="0"/>
    <s v="Yes"/>
    <x v="1"/>
    <x v="1"/>
    <x v="5"/>
    <s v="No"/>
    <s v="No"/>
    <x v="0"/>
    <s v="Software Development"/>
    <n v="2"/>
    <x v="2"/>
    <s v="Single"/>
    <x v="1"/>
    <s v="Family"/>
    <x v="0"/>
    <n v="3.45"/>
    <s v="No"/>
    <n v="3.45"/>
    <n v="11"/>
    <n v="35000"/>
    <x v="0"/>
    <x v="0"/>
    <n v="58"/>
  </r>
  <r>
    <x v="3"/>
    <x v="0"/>
    <n v="21"/>
    <n v="2020"/>
    <x v="0"/>
    <n v="2"/>
    <x v="0"/>
    <s v="Yes"/>
    <x v="5"/>
    <n v="2"/>
    <x v="0"/>
    <x v="0"/>
    <s v="Yes"/>
    <x v="1"/>
    <x v="1"/>
    <x v="5"/>
    <s v="No"/>
    <s v="No"/>
    <x v="0"/>
    <s v="Software Development"/>
    <n v="2"/>
    <x v="2"/>
    <s v="Single"/>
    <x v="1"/>
    <s v="Bachelor"/>
    <x v="0"/>
    <n v="2.58"/>
    <s v="No"/>
    <n v="2.58"/>
    <n v="11"/>
    <n v="35000"/>
    <x v="0"/>
    <x v="0"/>
    <n v="58"/>
  </r>
  <r>
    <x v="1"/>
    <x v="1"/>
    <n v="20"/>
    <n v="2020"/>
    <x v="0"/>
    <n v="3"/>
    <x v="0"/>
    <s v="No"/>
    <x v="5"/>
    <n v="2"/>
    <x v="1"/>
    <x v="0"/>
    <s v="No"/>
    <x v="2"/>
    <x v="2"/>
    <x v="8"/>
    <s v="Yes"/>
    <s v="No"/>
    <x v="0"/>
    <s v="Software Development"/>
    <n v="5"/>
    <x v="2"/>
    <s v="Single"/>
    <x v="1"/>
    <s v="Bachelor"/>
    <x v="1"/>
    <n v="1.87"/>
    <s v="No"/>
    <n v="3.5"/>
    <n v="32"/>
    <n v="20000"/>
    <x v="1"/>
    <x v="0"/>
    <n v="66.2"/>
  </r>
  <r>
    <x v="2"/>
    <x v="0"/>
    <n v="21"/>
    <n v="2019"/>
    <x v="0"/>
    <n v="7"/>
    <x v="1"/>
    <s v="No"/>
    <x v="1"/>
    <n v="1"/>
    <x v="0"/>
    <x v="0"/>
    <s v="Yes"/>
    <x v="2"/>
    <x v="0"/>
    <x v="27"/>
    <s v="No"/>
    <s v="No"/>
    <x v="1"/>
    <s v="Software Development"/>
    <n v="1"/>
    <x v="2"/>
    <s v="Single"/>
    <x v="1"/>
    <s v="Family"/>
    <x v="0"/>
    <n v="2.68"/>
    <s v="No"/>
    <n v="3.15"/>
    <n v="77"/>
    <n v="40000"/>
    <x v="0"/>
    <x v="0"/>
    <n v="43.2"/>
  </r>
  <r>
    <x v="2"/>
    <x v="1"/>
    <n v="20"/>
    <n v="2019"/>
    <x v="0"/>
    <n v="7"/>
    <x v="0"/>
    <s v="Yes"/>
    <x v="5"/>
    <n v="2"/>
    <x v="1"/>
    <x v="0"/>
    <s v="Yes"/>
    <x v="3"/>
    <x v="0"/>
    <x v="8"/>
    <s v="No"/>
    <s v="No"/>
    <x v="0"/>
    <s v="Software Development"/>
    <n v="3"/>
    <x v="2"/>
    <s v="Single"/>
    <x v="0"/>
    <s v="Family"/>
    <x v="0"/>
    <n v="3.96"/>
    <s v="No"/>
    <n v="3.99"/>
    <n v="76"/>
    <n v="25000"/>
    <x v="1"/>
    <x v="0"/>
    <n v="60.2"/>
  </r>
  <r>
    <x v="4"/>
    <x v="0"/>
    <n v="22"/>
    <n v="2019"/>
    <x v="0"/>
    <n v="8"/>
    <x v="0"/>
    <s v="Yes"/>
    <x v="5"/>
    <n v="2"/>
    <x v="1"/>
    <x v="0"/>
    <s v="Yes"/>
    <x v="3"/>
    <x v="0"/>
    <x v="0"/>
    <s v="No"/>
    <s v="No"/>
    <x v="1"/>
    <s v="Software Development"/>
    <n v="2"/>
    <x v="2"/>
    <s v="Single"/>
    <x v="1"/>
    <s v="Family"/>
    <x v="1"/>
    <n v="3.68"/>
    <s v="No"/>
    <n v="3.73"/>
    <n v="84"/>
    <n v="62488"/>
    <x v="1"/>
    <x v="0"/>
    <n v="54"/>
  </r>
  <r>
    <x v="4"/>
    <x v="0"/>
    <n v="20"/>
    <n v="2019"/>
    <x v="0"/>
    <n v="9"/>
    <x v="0"/>
    <s v="No"/>
    <x v="3"/>
    <n v="2"/>
    <x v="0"/>
    <x v="0"/>
    <s v="Yes"/>
    <x v="9"/>
    <x v="1"/>
    <x v="14"/>
    <s v="Yes"/>
    <s v="No"/>
    <x v="1"/>
    <s v="Software Development"/>
    <n v="2"/>
    <x v="2"/>
    <s v="Married"/>
    <x v="0"/>
    <s v="Bachelor"/>
    <x v="0"/>
    <n v="3.35"/>
    <s v="No"/>
    <n v="2.2999999999999998"/>
    <n v="90"/>
    <n v="50000"/>
    <x v="2"/>
    <x v="0"/>
    <n v="41"/>
  </r>
  <r>
    <x v="4"/>
    <x v="0"/>
    <n v="22"/>
    <n v="2017"/>
    <x v="0"/>
    <n v="9"/>
    <x v="1"/>
    <s v="Yes"/>
    <x v="5"/>
    <n v="2"/>
    <x v="0"/>
    <x v="0"/>
    <s v="Yes"/>
    <x v="4"/>
    <x v="0"/>
    <x v="0"/>
    <s v="No"/>
    <s v="No"/>
    <x v="0"/>
    <s v="Software Development"/>
    <n v="6"/>
    <x v="2"/>
    <s v="Single"/>
    <x v="0"/>
    <s v="Family"/>
    <x v="0"/>
    <n v="2.04"/>
    <s v="No"/>
    <n v="2.86"/>
    <n v="93"/>
    <n v="50000"/>
    <x v="0"/>
    <x v="0"/>
    <n v="66"/>
  </r>
  <r>
    <x v="2"/>
    <x v="0"/>
    <n v="21"/>
    <n v="2019"/>
    <x v="0"/>
    <n v="8"/>
    <x v="0"/>
    <s v="Yes"/>
    <x v="9"/>
    <n v="1"/>
    <x v="0"/>
    <x v="0"/>
    <s v="Yes"/>
    <x v="2"/>
    <x v="2"/>
    <x v="4"/>
    <s v="No"/>
    <s v="No"/>
    <x v="1"/>
    <s v="Software Development"/>
    <n v="1"/>
    <x v="2"/>
    <s v="Single"/>
    <x v="1"/>
    <s v="Family"/>
    <x v="0"/>
    <n v="3.74"/>
    <s v="No"/>
    <n v="3.67"/>
    <n v="90"/>
    <n v="30000"/>
    <x v="1"/>
    <x v="0"/>
    <n v="41"/>
  </r>
  <r>
    <x v="2"/>
    <x v="1"/>
    <n v="21"/>
    <n v="2019"/>
    <x v="0"/>
    <n v="8"/>
    <x v="1"/>
    <s v="No"/>
    <x v="5"/>
    <n v="2"/>
    <x v="0"/>
    <x v="0"/>
    <s v="Yes"/>
    <x v="2"/>
    <x v="0"/>
    <x v="4"/>
    <s v="No"/>
    <s v="No"/>
    <x v="1"/>
    <s v="Software Development"/>
    <n v="1"/>
    <x v="2"/>
    <s v="Single"/>
    <x v="1"/>
    <s v="Bachelor"/>
    <x v="0"/>
    <n v="3.75"/>
    <s v="No"/>
    <n v="3.75"/>
    <n v="110"/>
    <n v="250000"/>
    <x v="1"/>
    <x v="0"/>
    <n v="53"/>
  </r>
  <r>
    <x v="2"/>
    <x v="1"/>
    <n v="22"/>
    <n v="2018"/>
    <x v="0"/>
    <n v="8"/>
    <x v="1"/>
    <s v="No"/>
    <x v="2"/>
    <n v="3"/>
    <x v="0"/>
    <x v="0"/>
    <s v="Yes"/>
    <x v="3"/>
    <x v="0"/>
    <x v="0"/>
    <s v="No"/>
    <s v="No"/>
    <x v="0"/>
    <s v="Software Development"/>
    <n v="2"/>
    <x v="0"/>
    <s v="Single"/>
    <x v="1"/>
    <s v="Bachelor"/>
    <x v="0"/>
    <n v="3.3"/>
    <s v="No"/>
    <n v="3.26"/>
    <n v="86"/>
    <n v="50000"/>
    <x v="0"/>
    <x v="0"/>
    <n v="48"/>
  </r>
  <r>
    <x v="4"/>
    <x v="0"/>
    <n v="23"/>
    <n v="2019"/>
    <x v="0"/>
    <n v="8"/>
    <x v="0"/>
    <s v="No"/>
    <x v="3"/>
    <n v="3"/>
    <x v="0"/>
    <x v="0"/>
    <s v="Yes"/>
    <x v="4"/>
    <x v="0"/>
    <x v="8"/>
    <s v="No"/>
    <s v="No"/>
    <x v="0"/>
    <s v="Software Development"/>
    <n v="3"/>
    <x v="4"/>
    <s v="Single"/>
    <x v="0"/>
    <s v="Bachelor"/>
    <x v="1"/>
    <n v="3.72"/>
    <s v="No"/>
    <n v="3.45"/>
    <n v="90"/>
    <n v="25000"/>
    <x v="0"/>
    <x v="0"/>
    <n v="63.2"/>
  </r>
  <r>
    <x v="4"/>
    <x v="0"/>
    <n v="24"/>
    <n v="2018"/>
    <x v="0"/>
    <n v="8"/>
    <x v="1"/>
    <s v="No"/>
    <x v="5"/>
    <n v="2"/>
    <x v="0"/>
    <x v="0"/>
    <s v="Yes"/>
    <x v="1"/>
    <x v="0"/>
    <x v="3"/>
    <s v="No"/>
    <s v="No"/>
    <x v="0"/>
    <s v="Software Development"/>
    <n v="2"/>
    <x v="5"/>
    <s v="Single"/>
    <x v="0"/>
    <s v="Bachelor"/>
    <x v="0"/>
    <n v="3.21"/>
    <s v="No"/>
    <n v="3.42"/>
    <n v="85"/>
    <n v="40000"/>
    <x v="0"/>
    <x v="0"/>
    <n v="53.2"/>
  </r>
  <r>
    <x v="2"/>
    <x v="1"/>
    <n v="21"/>
    <n v="2018"/>
    <x v="0"/>
    <n v="7"/>
    <x v="0"/>
    <s v="Yes"/>
    <x v="1"/>
    <n v="1"/>
    <x v="0"/>
    <x v="0"/>
    <s v="Yes"/>
    <x v="1"/>
    <x v="0"/>
    <x v="6"/>
    <s v="No"/>
    <s v="No"/>
    <x v="1"/>
    <s v="Nothing much"/>
    <n v="0"/>
    <x v="3"/>
    <s v="Married"/>
    <x v="0"/>
    <s v="Family"/>
    <x v="0"/>
    <n v="3.64"/>
    <s v="No"/>
    <n v="3.65"/>
    <n v="76"/>
    <n v="60000"/>
    <x v="1"/>
    <x v="0"/>
    <n v="41.800000000000004"/>
  </r>
  <r>
    <x v="2"/>
    <x v="1"/>
    <n v="22"/>
    <n v="2018"/>
    <x v="0"/>
    <n v="8"/>
    <x v="0"/>
    <s v="Yes"/>
    <x v="0"/>
    <n v="1"/>
    <x v="0"/>
    <x v="0"/>
    <s v="Yes"/>
    <x v="0"/>
    <x v="2"/>
    <x v="0"/>
    <s v="No"/>
    <s v="No"/>
    <x v="1"/>
    <s v="E-commerce"/>
    <n v="2"/>
    <x v="4"/>
    <s v="Relationship"/>
    <x v="1"/>
    <s v="Family"/>
    <x v="1"/>
    <n v="2.86"/>
    <s v="No"/>
    <n v="3.42"/>
    <n v="87"/>
    <n v="50000"/>
    <x v="0"/>
    <x v="0"/>
    <n v="51"/>
  </r>
  <r>
    <x v="4"/>
    <x v="0"/>
    <n v="22"/>
    <n v="2018"/>
    <x v="0"/>
    <n v="8"/>
    <x v="0"/>
    <s v="Yes"/>
    <x v="5"/>
    <n v="2"/>
    <x v="0"/>
    <x v="0"/>
    <s v="Yes"/>
    <x v="3"/>
    <x v="0"/>
    <x v="0"/>
    <s v="No"/>
    <s v="No"/>
    <x v="0"/>
    <s v="Software Development"/>
    <n v="2"/>
    <x v="2"/>
    <s v="Single"/>
    <x v="1"/>
    <s v="Family"/>
    <x v="0"/>
    <n v="3.78"/>
    <s v="No"/>
    <n v="3.88"/>
    <n v="93"/>
    <n v="30000"/>
    <x v="1"/>
    <x v="0"/>
    <n v="54"/>
  </r>
  <r>
    <x v="7"/>
    <x v="0"/>
    <n v="24"/>
    <n v="2014"/>
    <x v="0"/>
    <n v="13"/>
    <x v="1"/>
    <s v="Yes"/>
    <x v="3"/>
    <n v="2"/>
    <x v="0"/>
    <x v="0"/>
    <s v="Yes"/>
    <x v="0"/>
    <x v="1"/>
    <x v="10"/>
    <s v="Yes"/>
    <s v="No"/>
    <x v="1"/>
    <s v="Software Development"/>
    <n v="2"/>
    <x v="2"/>
    <s v="Single"/>
    <x v="0"/>
    <s v="Bachelor"/>
    <x v="0"/>
    <n v="2.66"/>
    <s v="No"/>
    <n v="2.76"/>
    <n v="115"/>
    <n v="50000"/>
    <x v="0"/>
    <x v="0"/>
    <n v="60.6"/>
  </r>
  <r>
    <x v="2"/>
    <x v="1"/>
    <n v="21"/>
    <n v="2019"/>
    <x v="0"/>
    <n v="8"/>
    <x v="1"/>
    <s v="Yes"/>
    <x v="2"/>
    <n v="2"/>
    <x v="0"/>
    <x v="0"/>
    <s v="Yes"/>
    <x v="1"/>
    <x v="2"/>
    <x v="0"/>
    <s v="No"/>
    <s v="No"/>
    <x v="1"/>
    <s v="Software Development"/>
    <n v="1"/>
    <x v="2"/>
    <s v="Married"/>
    <x v="0"/>
    <s v="Family"/>
    <x v="0"/>
    <n v="3.04"/>
    <s v="No"/>
    <n v="2.87"/>
    <n v="85"/>
    <n v="100000"/>
    <x v="0"/>
    <x v="0"/>
    <n v="45"/>
  </r>
  <r>
    <x v="2"/>
    <x v="0"/>
    <n v="20"/>
    <n v="2019"/>
    <x v="0"/>
    <n v="8"/>
    <x v="1"/>
    <s v="No"/>
    <x v="1"/>
    <n v="1"/>
    <x v="0"/>
    <x v="0"/>
    <s v="Yes"/>
    <x v="4"/>
    <x v="0"/>
    <x v="2"/>
    <s v="No"/>
    <s v="No"/>
    <x v="1"/>
    <s v="Software Development"/>
    <n v="1"/>
    <x v="2"/>
    <s v="Single"/>
    <x v="1"/>
    <s v="Family"/>
    <x v="0"/>
    <n v="1.76"/>
    <s v="No"/>
    <n v="2.5499999999999998"/>
    <n v="64"/>
    <n v="35000"/>
    <x v="0"/>
    <x v="0"/>
    <n v="38"/>
  </r>
  <r>
    <x v="2"/>
    <x v="0"/>
    <n v="22"/>
    <n v="2019"/>
    <x v="0"/>
    <n v="8"/>
    <x v="0"/>
    <s v="Yes"/>
    <x v="0"/>
    <n v="3"/>
    <x v="1"/>
    <x v="0"/>
    <s v="Yes"/>
    <x v="2"/>
    <x v="2"/>
    <x v="8"/>
    <s v="No"/>
    <s v="No"/>
    <x v="0"/>
    <s v="Software Development"/>
    <n v="2"/>
    <x v="2"/>
    <s v="Single"/>
    <x v="1"/>
    <s v="Family"/>
    <x v="0"/>
    <n v="3.15"/>
    <s v="No"/>
    <n v="3.71"/>
    <n v="84"/>
    <n v="5000"/>
    <x v="1"/>
    <x v="0"/>
    <n v="54.2"/>
  </r>
  <r>
    <x v="2"/>
    <x v="0"/>
    <n v="22"/>
    <n v="2019"/>
    <x v="0"/>
    <n v="8"/>
    <x v="0"/>
    <s v="Yes"/>
    <x v="2"/>
    <n v="2"/>
    <x v="0"/>
    <x v="0"/>
    <s v="Yes"/>
    <x v="3"/>
    <x v="0"/>
    <x v="5"/>
    <s v="No"/>
    <s v="No"/>
    <x v="0"/>
    <s v="Software Development"/>
    <n v="4"/>
    <x v="2"/>
    <s v="Single"/>
    <x v="1"/>
    <s v="Bachelor"/>
    <x v="0"/>
    <n v="4"/>
    <s v="No"/>
    <n v="3.62"/>
    <n v="86"/>
    <n v="50000"/>
    <x v="1"/>
    <x v="0"/>
    <n v="58"/>
  </r>
  <r>
    <x v="3"/>
    <x v="1"/>
    <n v="20"/>
    <n v="2020"/>
    <x v="0"/>
    <n v="2"/>
    <x v="1"/>
    <s v="Yes"/>
    <x v="0"/>
    <n v="1"/>
    <x v="0"/>
    <x v="0"/>
    <s v="Yes"/>
    <x v="2"/>
    <x v="0"/>
    <x v="5"/>
    <s v="No"/>
    <s v="No"/>
    <x v="1"/>
    <s v="Software Development"/>
    <n v="3"/>
    <x v="2"/>
    <s v="Single"/>
    <x v="1"/>
    <s v="Family"/>
    <x v="0"/>
    <n v="3.58"/>
    <s v="No"/>
    <n v="3.58"/>
    <n v="14"/>
    <n v="45000"/>
    <x v="1"/>
    <x v="0"/>
    <n v="58"/>
  </r>
  <r>
    <x v="3"/>
    <x v="0"/>
    <n v="21"/>
    <n v="2019"/>
    <x v="0"/>
    <n v="1"/>
    <x v="1"/>
    <s v="Yes"/>
    <x v="4"/>
    <n v="2"/>
    <x v="0"/>
    <x v="0"/>
    <s v="Yes"/>
    <x v="2"/>
    <x v="0"/>
    <x v="3"/>
    <s v="No"/>
    <s v="No"/>
    <x v="1"/>
    <s v="Software Development"/>
    <n v="2"/>
    <x v="2"/>
    <s v="Single"/>
    <x v="0"/>
    <s v="Family"/>
    <x v="1"/>
    <n v="3.4"/>
    <s v="No"/>
    <n v="3.4"/>
    <n v="11"/>
    <n v="30000"/>
    <x v="0"/>
    <x v="0"/>
    <n v="59.2"/>
  </r>
  <r>
    <x v="2"/>
    <x v="0"/>
    <n v="22"/>
    <n v="2019"/>
    <x v="0"/>
    <n v="8"/>
    <x v="1"/>
    <s v="Yes"/>
    <x v="2"/>
    <n v="1"/>
    <x v="1"/>
    <x v="0"/>
    <s v="Yes"/>
    <x v="13"/>
    <x v="2"/>
    <x v="28"/>
    <s v="Yes"/>
    <s v="No"/>
    <x v="1"/>
    <s v="Software Development"/>
    <n v="2"/>
    <x v="2"/>
    <s v="Single"/>
    <x v="1"/>
    <s v="Family"/>
    <x v="1"/>
    <n v="2.44"/>
    <s v="No"/>
    <n v="2.77"/>
    <n v="76"/>
    <n v="30000"/>
    <x v="0"/>
    <x v="0"/>
    <n v="43.2"/>
  </r>
  <r>
    <x v="2"/>
    <x v="0"/>
    <n v="22"/>
    <n v="2019"/>
    <x v="0"/>
    <n v="7"/>
    <x v="0"/>
    <s v="Yes"/>
    <x v="4"/>
    <n v="3"/>
    <x v="1"/>
    <x v="0"/>
    <s v="Yes"/>
    <x v="3"/>
    <x v="2"/>
    <x v="6"/>
    <s v="No"/>
    <s v="No"/>
    <x v="1"/>
    <s v="Software Development"/>
    <n v="1"/>
    <x v="2"/>
    <s v="Single"/>
    <x v="0"/>
    <s v="Family"/>
    <x v="0"/>
    <n v="3.94"/>
    <s v="No"/>
    <n v="3.91"/>
    <n v="75"/>
    <n v="40000"/>
    <x v="1"/>
    <x v="0"/>
    <n v="59.800000000000004"/>
  </r>
  <r>
    <x v="0"/>
    <x v="0"/>
    <n v="24"/>
    <n v="2016"/>
    <x v="0"/>
    <n v="10"/>
    <x v="0"/>
    <s v="No"/>
    <x v="0"/>
    <n v="1"/>
    <x v="0"/>
    <x v="0"/>
    <s v="Yes"/>
    <x v="3"/>
    <x v="0"/>
    <x v="2"/>
    <s v="No"/>
    <s v="No"/>
    <x v="0"/>
    <s v="Teaching"/>
    <n v="0"/>
    <x v="12"/>
    <s v="Single"/>
    <x v="0"/>
    <s v="Bachelor"/>
    <x v="1"/>
    <n v="3"/>
    <s v="No"/>
    <n v="2.85"/>
    <n v="90"/>
    <n v="50000"/>
    <x v="0"/>
    <x v="0"/>
    <n v="41"/>
  </r>
  <r>
    <x v="2"/>
    <x v="1"/>
    <n v="21"/>
    <n v="2019"/>
    <x v="0"/>
    <n v="8"/>
    <x v="0"/>
    <s v="Yes"/>
    <x v="1"/>
    <n v="1"/>
    <x v="0"/>
    <x v="0"/>
    <s v="Yes"/>
    <x v="1"/>
    <x v="0"/>
    <x v="9"/>
    <s v="No"/>
    <s v="No"/>
    <x v="1"/>
    <s v="Software Development"/>
    <n v="1"/>
    <x v="2"/>
    <s v="Engaged"/>
    <x v="1"/>
    <s v="Family"/>
    <x v="1"/>
    <n v="3.32"/>
    <s v="No"/>
    <n v="3.27"/>
    <n v="88"/>
    <n v="50000"/>
    <x v="0"/>
    <x v="0"/>
    <n v="40"/>
  </r>
  <r>
    <x v="3"/>
    <x v="0"/>
    <n v="22"/>
    <n v="2020"/>
    <x v="0"/>
    <n v="2"/>
    <x v="0"/>
    <s v="Yes"/>
    <x v="2"/>
    <n v="1"/>
    <x v="0"/>
    <x v="0"/>
    <s v="Yes"/>
    <x v="0"/>
    <x v="1"/>
    <x v="0"/>
    <s v="No"/>
    <s v="No"/>
    <x v="0"/>
    <s v="Software Development"/>
    <n v="2"/>
    <x v="2"/>
    <s v="Single"/>
    <x v="1"/>
    <s v="Family"/>
    <x v="0"/>
    <n v="2.8"/>
    <s v="No"/>
    <n v="2.8"/>
    <n v="11"/>
    <n v="30000"/>
    <x v="0"/>
    <x v="0"/>
    <n v="48"/>
  </r>
  <r>
    <x v="2"/>
    <x v="1"/>
    <n v="22"/>
    <n v="2018"/>
    <x v="0"/>
    <n v="6"/>
    <x v="1"/>
    <s v="No"/>
    <x v="0"/>
    <n v="2"/>
    <x v="0"/>
    <x v="0"/>
    <s v="Yes"/>
    <x v="1"/>
    <x v="0"/>
    <x v="10"/>
    <s v="No"/>
    <s v="No"/>
    <x v="0"/>
    <s v="Software Development"/>
    <n v="2"/>
    <x v="3"/>
    <s v="Single"/>
    <x v="0"/>
    <s v="Bachelor"/>
    <x v="0"/>
    <n v="3.39"/>
    <s v="No"/>
    <n v="3.33"/>
    <n v="70"/>
    <n v="40000"/>
    <x v="0"/>
    <x v="0"/>
    <n v="54.6"/>
  </r>
  <r>
    <x v="3"/>
    <x v="0"/>
    <n v="20"/>
    <n v="2020"/>
    <x v="0"/>
    <n v="2"/>
    <x v="1"/>
    <s v="No"/>
    <x v="1"/>
    <n v="1"/>
    <x v="1"/>
    <x v="0"/>
    <s v="No"/>
    <x v="2"/>
    <x v="0"/>
    <x v="4"/>
    <s v="No"/>
    <s v="No"/>
    <x v="0"/>
    <s v="Software Development"/>
    <n v="1"/>
    <x v="2"/>
    <s v="Single"/>
    <x v="0"/>
    <s v="Bachelor"/>
    <x v="0"/>
    <n v="4"/>
    <s v="No"/>
    <n v="4"/>
    <n v="12"/>
    <n v="40000"/>
    <x v="1"/>
    <x v="0"/>
    <n v="44"/>
  </r>
  <r>
    <x v="5"/>
    <x v="1"/>
    <n v="26"/>
    <n v="2013"/>
    <x v="0"/>
    <n v="11"/>
    <x v="0"/>
    <s v="Yes"/>
    <x v="1"/>
    <n v="1"/>
    <x v="1"/>
    <x v="0"/>
    <s v="Yes"/>
    <x v="3"/>
    <x v="0"/>
    <x v="5"/>
    <s v="No"/>
    <s v="No"/>
    <x v="0"/>
    <s v="Networking"/>
    <n v="2"/>
    <x v="6"/>
    <s v="Married"/>
    <x v="1"/>
    <s v="Family"/>
    <x v="0"/>
    <n v="3.2"/>
    <s v="No"/>
    <n v="3.44"/>
    <n v="117"/>
    <n v="40000"/>
    <x v="0"/>
    <x v="0"/>
    <n v="49"/>
  </r>
  <r>
    <x v="2"/>
    <x v="1"/>
    <n v="21"/>
    <n v="2019"/>
    <x v="0"/>
    <n v="7"/>
    <x v="0"/>
    <s v="No"/>
    <x v="2"/>
    <n v="2"/>
    <x v="0"/>
    <x v="0"/>
    <s v="Yes"/>
    <x v="2"/>
    <x v="0"/>
    <x v="3"/>
    <s v="No"/>
    <s v="No"/>
    <x v="0"/>
    <s v="Software Development"/>
    <n v="1"/>
    <x v="0"/>
    <s v="Single"/>
    <x v="0"/>
    <s v="Bachelor"/>
    <x v="0"/>
    <n v="3.31"/>
    <s v="No"/>
    <n v="2.9"/>
    <n v="70"/>
    <n v="20000"/>
    <x v="0"/>
    <x v="0"/>
    <n v="44.2"/>
  </r>
  <r>
    <x v="0"/>
    <x v="0"/>
    <n v="23"/>
    <n v="2017"/>
    <x v="0"/>
    <n v="14"/>
    <x v="1"/>
    <s v="Yes"/>
    <x v="3"/>
    <n v="2"/>
    <x v="1"/>
    <x v="1"/>
    <s v="Yes"/>
    <x v="4"/>
    <x v="0"/>
    <x v="9"/>
    <s v="Yes"/>
    <s v="No"/>
    <x v="0"/>
    <s v="Software Development"/>
    <n v="1"/>
    <x v="2"/>
    <s v="Single"/>
    <x v="0"/>
    <s v="Family"/>
    <x v="0"/>
    <n v="2.96"/>
    <s v="No"/>
    <n v="3.06"/>
    <n v="136"/>
    <n v="20000"/>
    <x v="0"/>
    <x v="0"/>
    <n v="52"/>
  </r>
  <r>
    <x v="3"/>
    <x v="0"/>
    <n v="20"/>
    <n v="2020"/>
    <x v="0"/>
    <n v="2"/>
    <x v="0"/>
    <s v="Yes"/>
    <x v="0"/>
    <n v="2"/>
    <x v="0"/>
    <x v="0"/>
    <s v="Yes"/>
    <x v="4"/>
    <x v="1"/>
    <x v="5"/>
    <s v="No"/>
    <s v="No"/>
    <x v="1"/>
    <s v="Software Development"/>
    <n v="2"/>
    <x v="2"/>
    <s v="Single"/>
    <x v="1"/>
    <s v="Family"/>
    <x v="0"/>
    <n v="3.68"/>
    <s v="No"/>
    <n v="3.68"/>
    <n v="11"/>
    <n v="35000"/>
    <x v="1"/>
    <x v="0"/>
    <n v="55"/>
  </r>
  <r>
    <x v="3"/>
    <x v="1"/>
    <n v="20"/>
    <n v="2018"/>
    <x v="0"/>
    <n v="2"/>
    <x v="1"/>
    <s v="Yes"/>
    <x v="5"/>
    <n v="2"/>
    <x v="1"/>
    <x v="0"/>
    <s v="Yes"/>
    <x v="5"/>
    <x v="1"/>
    <x v="5"/>
    <s v="No"/>
    <s v="No"/>
    <x v="0"/>
    <s v="Software Development"/>
    <n v="2"/>
    <x v="2"/>
    <s v="Single"/>
    <x v="0"/>
    <s v="Family"/>
    <x v="0"/>
    <n v="3.78"/>
    <s v="No"/>
    <n v="3.78"/>
    <n v="11"/>
    <n v="4000"/>
    <x v="1"/>
    <x v="0"/>
    <n v="58"/>
  </r>
  <r>
    <x v="2"/>
    <x v="0"/>
    <n v="21"/>
    <n v="2019"/>
    <x v="0"/>
    <n v="7"/>
    <x v="0"/>
    <s v="No"/>
    <x v="5"/>
    <n v="3"/>
    <x v="0"/>
    <x v="0"/>
    <s v="Yes"/>
    <x v="3"/>
    <x v="0"/>
    <x v="4"/>
    <s v="No"/>
    <s v="No"/>
    <x v="1"/>
    <s v="Software Development"/>
    <n v="3"/>
    <x v="2"/>
    <s v="Single"/>
    <x v="0"/>
    <s v="Bachelor"/>
    <x v="1"/>
    <n v="3.87"/>
    <s v="No"/>
    <n v="3.68"/>
    <n v="86"/>
    <n v="15000"/>
    <x v="1"/>
    <x v="0"/>
    <n v="59"/>
  </r>
  <r>
    <x v="1"/>
    <x v="0"/>
    <n v="21"/>
    <n v="2019"/>
    <x v="0"/>
    <n v="4"/>
    <x v="0"/>
    <s v="Yes"/>
    <x v="10"/>
    <n v="2"/>
    <x v="0"/>
    <x v="0"/>
    <s v="Yes"/>
    <x v="2"/>
    <x v="1"/>
    <x v="4"/>
    <s v="Yes"/>
    <s v="Yes"/>
    <x v="1"/>
    <s v="Software Development"/>
    <n v="2"/>
    <x v="4"/>
    <s v="Single"/>
    <x v="1"/>
    <s v="Family"/>
    <x v="0"/>
    <n v="2.68"/>
    <s v="No"/>
    <n v="2.4700000000000002"/>
    <n v="25"/>
    <n v="40000"/>
    <x v="2"/>
    <x v="0"/>
    <n v="74"/>
  </r>
  <r>
    <x v="3"/>
    <x v="0"/>
    <n v="21"/>
    <n v="2020"/>
    <x v="0"/>
    <n v="2"/>
    <x v="0"/>
    <s v="Yes"/>
    <x v="0"/>
    <n v="2"/>
    <x v="0"/>
    <x v="0"/>
    <s v="Yes"/>
    <x v="2"/>
    <x v="0"/>
    <x v="0"/>
    <s v="No"/>
    <s v="No"/>
    <x v="0"/>
    <s v="Software Development"/>
    <n v="1"/>
    <x v="2"/>
    <s v="Single"/>
    <x v="1"/>
    <s v="Family"/>
    <x v="0"/>
    <n v="3.9"/>
    <s v="No"/>
    <n v="3.9"/>
    <n v="11"/>
    <n v="20000"/>
    <x v="1"/>
    <x v="0"/>
    <n v="48"/>
  </r>
  <r>
    <x v="0"/>
    <x v="0"/>
    <n v="24"/>
    <n v="2017"/>
    <x v="0"/>
    <n v="13"/>
    <x v="1"/>
    <s v="No"/>
    <x v="2"/>
    <n v="1"/>
    <x v="1"/>
    <x v="0"/>
    <s v="Yes"/>
    <x v="2"/>
    <x v="2"/>
    <x v="0"/>
    <s v="No"/>
    <s v="No"/>
    <x v="1"/>
    <s v="Software Development"/>
    <n v="4"/>
    <x v="6"/>
    <s v="Engaged"/>
    <x v="1"/>
    <s v="Family"/>
    <x v="0"/>
    <n v="2.65"/>
    <s v="No"/>
    <n v="2.97"/>
    <n v="130"/>
    <n v="62488"/>
    <x v="0"/>
    <x v="0"/>
    <n v="54"/>
  </r>
  <r>
    <x v="2"/>
    <x v="0"/>
    <n v="22"/>
    <n v="2019"/>
    <x v="0"/>
    <n v="8"/>
    <x v="1"/>
    <s v="No"/>
    <x v="2"/>
    <n v="1"/>
    <x v="0"/>
    <x v="0"/>
    <s v="Yes"/>
    <x v="1"/>
    <x v="0"/>
    <x v="17"/>
    <s v="No"/>
    <s v="No"/>
    <x v="1"/>
    <s v="Software Development"/>
    <n v="1"/>
    <x v="10"/>
    <s v="Single"/>
    <x v="1"/>
    <s v="Bachelor"/>
    <x v="0"/>
    <n v="3.29"/>
    <s v="No"/>
    <n v="3.65"/>
    <n v="100"/>
    <n v="100000"/>
    <x v="1"/>
    <x v="0"/>
    <n v="43.800000000000004"/>
  </r>
  <r>
    <x v="2"/>
    <x v="1"/>
    <n v="20"/>
    <n v="2019"/>
    <x v="0"/>
    <n v="8"/>
    <x v="1"/>
    <s v="Yes"/>
    <x v="0"/>
    <n v="2"/>
    <x v="1"/>
    <x v="0"/>
    <s v="Yes"/>
    <x v="2"/>
    <x v="0"/>
    <x v="6"/>
    <s v="No"/>
    <s v="No"/>
    <x v="0"/>
    <s v="Software Development"/>
    <n v="2"/>
    <x v="5"/>
    <s v="Single"/>
    <x v="0"/>
    <s v="Family"/>
    <x v="0"/>
    <n v="3.14"/>
    <s v="No"/>
    <n v="3.62"/>
    <n v="95"/>
    <n v="48400"/>
    <x v="1"/>
    <x v="0"/>
    <n v="53.800000000000004"/>
  </r>
  <r>
    <x v="5"/>
    <x v="0"/>
    <n v="24"/>
    <n v="2016"/>
    <x v="0"/>
    <n v="17"/>
    <x v="1"/>
    <s v="No"/>
    <x v="5"/>
    <n v="2"/>
    <x v="0"/>
    <x v="0"/>
    <s v="Yes"/>
    <x v="7"/>
    <x v="0"/>
    <x v="2"/>
    <s v="Yes"/>
    <s v="Yes"/>
    <x v="0"/>
    <s v="Software Development"/>
    <n v="10"/>
    <x v="2"/>
    <s v="Single"/>
    <x v="1"/>
    <s v="Family"/>
    <x v="1"/>
    <n v="3.15"/>
    <s v="No"/>
    <n v="3.39"/>
    <n v="140"/>
    <n v="30000"/>
    <x v="0"/>
    <x v="0"/>
    <n v="74"/>
  </r>
  <r>
    <x v="2"/>
    <x v="1"/>
    <n v="21"/>
    <n v="2019"/>
    <x v="0"/>
    <n v="8"/>
    <x v="0"/>
    <s v="Yes"/>
    <x v="2"/>
    <n v="2"/>
    <x v="1"/>
    <x v="0"/>
    <s v="Yes"/>
    <x v="2"/>
    <x v="0"/>
    <x v="5"/>
    <s v="No"/>
    <s v="No"/>
    <x v="0"/>
    <s v="Software Development"/>
    <n v="3"/>
    <x v="2"/>
    <s v="Single"/>
    <x v="1"/>
    <s v="Family"/>
    <x v="0"/>
    <n v="3.46"/>
    <s v="No"/>
    <n v="3.55"/>
    <n v="88"/>
    <n v="80000"/>
    <x v="1"/>
    <x v="0"/>
    <n v="55"/>
  </r>
  <r>
    <x v="2"/>
    <x v="1"/>
    <n v="22"/>
    <n v="2019"/>
    <x v="0"/>
    <n v="8"/>
    <x v="1"/>
    <s v="No"/>
    <x v="1"/>
    <n v="1"/>
    <x v="1"/>
    <x v="0"/>
    <s v="Yes"/>
    <x v="1"/>
    <x v="0"/>
    <x v="10"/>
    <s v="No"/>
    <s v="No"/>
    <x v="0"/>
    <s v="Software Development"/>
    <n v="0"/>
    <x v="2"/>
    <s v="Single"/>
    <x v="1"/>
    <s v="Family"/>
    <x v="0"/>
    <n v="3.32"/>
    <s v="No"/>
    <n v="3.17"/>
    <n v="85"/>
    <n v="40000"/>
    <x v="0"/>
    <x v="0"/>
    <n v="42.6"/>
  </r>
  <r>
    <x v="2"/>
    <x v="1"/>
    <n v="21"/>
    <n v="2019"/>
    <x v="0"/>
    <n v="7"/>
    <x v="0"/>
    <s v="Yes"/>
    <x v="0"/>
    <n v="1"/>
    <x v="0"/>
    <x v="0"/>
    <s v="Yes"/>
    <x v="4"/>
    <x v="0"/>
    <x v="4"/>
    <s v="No"/>
    <s v="No"/>
    <x v="1"/>
    <s v="Software Development"/>
    <n v="2"/>
    <x v="2"/>
    <s v="Single"/>
    <x v="1"/>
    <s v="Family"/>
    <x v="0"/>
    <n v="3.21"/>
    <s v="No"/>
    <n v="3.36"/>
    <n v="76"/>
    <n v="25000"/>
    <x v="0"/>
    <x v="0"/>
    <n v="53"/>
  </r>
  <r>
    <x v="3"/>
    <x v="0"/>
    <n v="19"/>
    <n v="2020"/>
    <x v="0"/>
    <n v="2"/>
    <x v="0"/>
    <s v="No"/>
    <x v="3"/>
    <n v="2"/>
    <x v="0"/>
    <x v="0"/>
    <s v="Yes"/>
    <x v="2"/>
    <x v="1"/>
    <x v="5"/>
    <s v="No"/>
    <s v="No"/>
    <x v="0"/>
    <s v="Software Development"/>
    <n v="4"/>
    <x v="3"/>
    <s v="Single"/>
    <x v="1"/>
    <s v="Bachelor"/>
    <x v="0"/>
    <n v="3.93"/>
    <s v="No"/>
    <n v="3.93"/>
    <n v="11"/>
    <n v="15000"/>
    <x v="1"/>
    <x v="0"/>
    <n v="67"/>
  </r>
  <r>
    <x v="4"/>
    <x v="0"/>
    <n v="24"/>
    <n v="2017"/>
    <x v="0"/>
    <n v="11"/>
    <x v="1"/>
    <s v="No"/>
    <x v="4"/>
    <n v="2"/>
    <x v="0"/>
    <x v="0"/>
    <s v="Yes"/>
    <x v="3"/>
    <x v="0"/>
    <x v="0"/>
    <s v="No"/>
    <s v="No"/>
    <x v="1"/>
    <s v="Software Development"/>
    <n v="3"/>
    <x v="2"/>
    <s v="Single"/>
    <x v="1"/>
    <s v="Family"/>
    <x v="0"/>
    <n v="3.94"/>
    <s v="No"/>
    <n v="3.76"/>
    <n v="130"/>
    <n v="40000"/>
    <x v="1"/>
    <x v="0"/>
    <n v="63"/>
  </r>
  <r>
    <x v="1"/>
    <x v="1"/>
    <n v="22"/>
    <n v="2021"/>
    <x v="0"/>
    <n v="3"/>
    <x v="1"/>
    <s v="No"/>
    <x v="5"/>
    <n v="2"/>
    <x v="1"/>
    <x v="0"/>
    <s v="Yes"/>
    <x v="1"/>
    <x v="0"/>
    <x v="4"/>
    <s v="Yes"/>
    <s v="No"/>
    <x v="0"/>
    <s v="Software Development"/>
    <n v="2"/>
    <x v="2"/>
    <s v="Single"/>
    <x v="0"/>
    <s v="Bachelor"/>
    <x v="0"/>
    <n v="2.87"/>
    <s v="No"/>
    <n v="2.31"/>
    <n v="24"/>
    <n v="200000"/>
    <x v="2"/>
    <x v="0"/>
    <n v="56"/>
  </r>
  <r>
    <x v="1"/>
    <x v="0"/>
    <n v="21"/>
    <n v="2020"/>
    <x v="0"/>
    <n v="5"/>
    <x v="1"/>
    <s v="No"/>
    <x v="0"/>
    <n v="3"/>
    <x v="0"/>
    <x v="0"/>
    <s v="Yes"/>
    <x v="2"/>
    <x v="1"/>
    <x v="5"/>
    <s v="No"/>
    <s v="No"/>
    <x v="0"/>
    <s v="Software Development"/>
    <n v="2"/>
    <x v="2"/>
    <s v="Single"/>
    <x v="1"/>
    <s v="Bachelor"/>
    <x v="0"/>
    <n v="3.31"/>
    <s v="No"/>
    <n v="3.27"/>
    <n v="49"/>
    <n v="30000"/>
    <x v="0"/>
    <x v="0"/>
    <n v="55"/>
  </r>
  <r>
    <x v="3"/>
    <x v="1"/>
    <n v="19"/>
    <n v="2020"/>
    <x v="0"/>
    <n v="2"/>
    <x v="0"/>
    <s v="Yes"/>
    <x v="3"/>
    <n v="2"/>
    <x v="1"/>
    <x v="0"/>
    <s v="Yes"/>
    <x v="3"/>
    <x v="0"/>
    <x v="10"/>
    <s v="No"/>
    <s v="No"/>
    <x v="0"/>
    <s v="Software Development"/>
    <n v="1"/>
    <x v="2"/>
    <s v="Single"/>
    <x v="0"/>
    <s v="Family"/>
    <x v="0"/>
    <n v="4"/>
    <s v="Yes"/>
    <n v="4"/>
    <n v="11"/>
    <n v="35000"/>
    <x v="1"/>
    <x v="0"/>
    <n v="57.6"/>
  </r>
  <r>
    <x v="3"/>
    <x v="0"/>
    <n v="20"/>
    <n v="2020"/>
    <x v="0"/>
    <n v="2"/>
    <x v="0"/>
    <s v="No"/>
    <x v="9"/>
    <n v="0"/>
    <x v="0"/>
    <x v="0"/>
    <s v="Yes"/>
    <x v="4"/>
    <x v="1"/>
    <x v="5"/>
    <s v="No"/>
    <s v="No"/>
    <x v="1"/>
    <s v="Software Development"/>
    <n v="1"/>
    <x v="2"/>
    <s v="Single"/>
    <x v="1"/>
    <s v="Bachelor"/>
    <x v="0"/>
    <n v="4"/>
    <s v="No"/>
    <n v="4"/>
    <n v="12"/>
    <n v="20000"/>
    <x v="1"/>
    <x v="0"/>
    <n v="43"/>
  </r>
  <r>
    <x v="1"/>
    <x v="0"/>
    <n v="20"/>
    <n v="2020"/>
    <x v="0"/>
    <n v="3"/>
    <x v="0"/>
    <s v="No"/>
    <x v="1"/>
    <n v="1"/>
    <x v="1"/>
    <x v="0"/>
    <s v="Yes"/>
    <x v="2"/>
    <x v="0"/>
    <x v="11"/>
    <s v="Yes"/>
    <s v="No"/>
    <x v="0"/>
    <s v="Software Development"/>
    <n v="1"/>
    <x v="5"/>
    <s v="Single"/>
    <x v="1"/>
    <s v="Bachelor"/>
    <x v="1"/>
    <n v="2.08"/>
    <s v="No"/>
    <n v="2.68"/>
    <n v="20"/>
    <n v="50000"/>
    <x v="0"/>
    <x v="0"/>
    <n v="36"/>
  </r>
  <r>
    <x v="1"/>
    <x v="1"/>
    <n v="22"/>
    <n v="2020"/>
    <x v="0"/>
    <n v="3"/>
    <x v="1"/>
    <s v="Yes"/>
    <x v="4"/>
    <n v="2"/>
    <x v="0"/>
    <x v="0"/>
    <s v="Yes"/>
    <x v="1"/>
    <x v="1"/>
    <x v="2"/>
    <s v="Yes"/>
    <s v="No"/>
    <x v="0"/>
    <s v="Software Development"/>
    <n v="2"/>
    <x v="2"/>
    <s v="Single"/>
    <x v="1"/>
    <s v="Family"/>
    <x v="0"/>
    <n v="2.62"/>
    <s v="No"/>
    <n v="2.64"/>
    <n v="18"/>
    <n v="5000"/>
    <x v="0"/>
    <x v="0"/>
    <n v="56"/>
  </r>
  <r>
    <x v="3"/>
    <x v="0"/>
    <n v="19"/>
    <n v="2020"/>
    <x v="0"/>
    <n v="1"/>
    <x v="0"/>
    <s v="Yes"/>
    <x v="2"/>
    <n v="1"/>
    <x v="0"/>
    <x v="0"/>
    <s v="Yes"/>
    <x v="7"/>
    <x v="1"/>
    <x v="5"/>
    <s v="No"/>
    <s v="No"/>
    <x v="0"/>
    <s v="Software Development"/>
    <n v="2"/>
    <x v="2"/>
    <s v="Single"/>
    <x v="0"/>
    <s v="Bachelor"/>
    <x v="0"/>
    <n v="3.89"/>
    <s v="No"/>
    <n v="3.89"/>
    <n v="12"/>
    <n v="35000"/>
    <x v="1"/>
    <x v="0"/>
    <n v="52"/>
  </r>
  <r>
    <x v="0"/>
    <x v="1"/>
    <n v="23"/>
    <n v="2016"/>
    <x v="0"/>
    <n v="14"/>
    <x v="1"/>
    <s v="Yes"/>
    <x v="2"/>
    <n v="1"/>
    <x v="0"/>
    <x v="0"/>
    <s v="Yes"/>
    <x v="7"/>
    <x v="2"/>
    <x v="7"/>
    <s v="Yes"/>
    <s v="No"/>
    <x v="0"/>
    <s v="Networking"/>
    <n v="1"/>
    <x v="5"/>
    <s v="Relationship"/>
    <x v="1"/>
    <s v="Family"/>
    <x v="0"/>
    <n v="2.75"/>
    <s v="No"/>
    <n v="2.88"/>
    <n v="111"/>
    <n v="70000"/>
    <x v="0"/>
    <x v="0"/>
    <n v="37"/>
  </r>
  <r>
    <x v="2"/>
    <x v="0"/>
    <n v="22"/>
    <n v="2018"/>
    <x v="0"/>
    <n v="8"/>
    <x v="1"/>
    <s v="No"/>
    <x v="3"/>
    <n v="2"/>
    <x v="1"/>
    <x v="1"/>
    <s v="Yes"/>
    <x v="2"/>
    <x v="0"/>
    <x v="8"/>
    <s v="No"/>
    <s v="No"/>
    <x v="1"/>
    <s v="Software Development"/>
    <n v="3"/>
    <x v="2"/>
    <s v="Single"/>
    <x v="1"/>
    <s v="Family"/>
    <x v="0"/>
    <n v="4"/>
    <s v="No"/>
    <n v="3.97"/>
    <n v="87"/>
    <n v="30000"/>
    <x v="1"/>
    <x v="0"/>
    <n v="63.2"/>
  </r>
  <r>
    <x v="2"/>
    <x v="0"/>
    <n v="22"/>
    <n v="2018"/>
    <x v="0"/>
    <n v="8"/>
    <x v="0"/>
    <s v="No"/>
    <x v="0"/>
    <n v="2"/>
    <x v="1"/>
    <x v="0"/>
    <s v="Yes"/>
    <x v="2"/>
    <x v="0"/>
    <x v="4"/>
    <s v="No"/>
    <s v="No"/>
    <x v="1"/>
    <s v="Software Development"/>
    <n v="2"/>
    <x v="2"/>
    <s v="Single"/>
    <x v="1"/>
    <s v="Bachelor"/>
    <x v="0"/>
    <n v="3.57"/>
    <s v="No"/>
    <n v="3.57"/>
    <n v="90"/>
    <n v="40000"/>
    <x v="1"/>
    <x v="0"/>
    <n v="53"/>
  </r>
  <r>
    <x v="2"/>
    <x v="1"/>
    <n v="22"/>
    <n v="2018"/>
    <x v="0"/>
    <n v="8"/>
    <x v="0"/>
    <s v="No"/>
    <x v="2"/>
    <n v="1"/>
    <x v="0"/>
    <x v="0"/>
    <s v="Yes"/>
    <x v="2"/>
    <x v="0"/>
    <x v="8"/>
    <s v="No"/>
    <s v="No"/>
    <x v="0"/>
    <s v="Software Development"/>
    <n v="0"/>
    <x v="2"/>
    <s v="Single"/>
    <x v="1"/>
    <s v="Bachelor"/>
    <x v="1"/>
    <n v="3.19"/>
    <s v="No"/>
    <n v="3.41"/>
    <n v="90"/>
    <n v="62488"/>
    <x v="0"/>
    <x v="0"/>
    <n v="45.2"/>
  </r>
  <r>
    <x v="4"/>
    <x v="0"/>
    <n v="23"/>
    <n v="2018"/>
    <x v="0"/>
    <n v="11"/>
    <x v="0"/>
    <s v="No"/>
    <x v="6"/>
    <n v="2"/>
    <x v="0"/>
    <x v="0"/>
    <s v="Yes"/>
    <x v="2"/>
    <x v="0"/>
    <x v="10"/>
    <s v="No"/>
    <s v="No"/>
    <x v="1"/>
    <s v="Software Development"/>
    <n v="3"/>
    <x v="2"/>
    <s v="Single"/>
    <x v="1"/>
    <s v="Bachelor"/>
    <x v="0"/>
    <n v="3.6"/>
    <s v="No"/>
    <n v="3.9"/>
    <n v="130"/>
    <n v="24000"/>
    <x v="1"/>
    <x v="0"/>
    <n v="72.599999999999994"/>
  </r>
  <r>
    <x v="2"/>
    <x v="1"/>
    <n v="20"/>
    <n v="2019"/>
    <x v="0"/>
    <n v="7"/>
    <x v="1"/>
    <s v="Yes"/>
    <x v="4"/>
    <n v="2"/>
    <x v="0"/>
    <x v="0"/>
    <s v="Yes"/>
    <x v="5"/>
    <x v="0"/>
    <x v="9"/>
    <s v="Yes"/>
    <s v="No"/>
    <x v="0"/>
    <s v="Software Development"/>
    <n v="3"/>
    <x v="2"/>
    <s v="Single"/>
    <x v="1"/>
    <s v="Family"/>
    <x v="0"/>
    <n v="2.88"/>
    <s v="No"/>
    <n v="2.88"/>
    <n v="68"/>
    <n v="100000"/>
    <x v="0"/>
    <x v="0"/>
    <n v="61"/>
  </r>
  <r>
    <x v="3"/>
    <x v="0"/>
    <n v="20"/>
    <n v="2020"/>
    <x v="0"/>
    <n v="2"/>
    <x v="0"/>
    <s v="No"/>
    <x v="0"/>
    <n v="2"/>
    <x v="0"/>
    <x v="0"/>
    <s v="No"/>
    <x v="5"/>
    <x v="1"/>
    <x v="0"/>
    <s v="Yes"/>
    <s v="No"/>
    <x v="0"/>
    <s v="Software Development"/>
    <n v="2"/>
    <x v="2"/>
    <s v="Single"/>
    <x v="1"/>
    <s v="Bachelor"/>
    <x v="0"/>
    <n v="2.74"/>
    <s v="No"/>
    <n v="2.74"/>
    <n v="23"/>
    <n v="20000"/>
    <x v="0"/>
    <x v="0"/>
    <n v="51"/>
  </r>
  <r>
    <x v="1"/>
    <x v="1"/>
    <n v="20"/>
    <n v="2019"/>
    <x v="0"/>
    <n v="3"/>
    <x v="1"/>
    <s v="Yes"/>
    <x v="3"/>
    <n v="3"/>
    <x v="0"/>
    <x v="0"/>
    <s v="No"/>
    <x v="1"/>
    <x v="1"/>
    <x v="14"/>
    <s v="Yes"/>
    <s v="No"/>
    <x v="1"/>
    <s v="Software Development"/>
    <n v="3"/>
    <x v="6"/>
    <s v="Single"/>
    <x v="1"/>
    <s v="Family"/>
    <x v="0"/>
    <n v="1.41"/>
    <s v="No"/>
    <n v="2.5499999999999998"/>
    <n v="25"/>
    <n v="10000"/>
    <x v="0"/>
    <x v="0"/>
    <n v="44"/>
  </r>
  <r>
    <x v="4"/>
    <x v="1"/>
    <n v="22"/>
    <n v="2017"/>
    <x v="0"/>
    <n v="11"/>
    <x v="1"/>
    <s v="No"/>
    <x v="3"/>
    <n v="2"/>
    <x v="0"/>
    <x v="0"/>
    <s v="Yes"/>
    <x v="1"/>
    <x v="0"/>
    <x v="5"/>
    <s v="No"/>
    <s v="No"/>
    <x v="0"/>
    <s v="Software Development"/>
    <n v="2"/>
    <x v="5"/>
    <s v="Single"/>
    <x v="1"/>
    <s v="Bachelor"/>
    <x v="0"/>
    <n v="3.42"/>
    <s v="No"/>
    <n v="3.32"/>
    <n v="122"/>
    <n v="40000"/>
    <x v="0"/>
    <x v="0"/>
    <n v="61"/>
  </r>
  <r>
    <x v="4"/>
    <x v="1"/>
    <n v="22"/>
    <n v="2017"/>
    <x v="0"/>
    <n v="11"/>
    <x v="1"/>
    <s v="No"/>
    <x v="3"/>
    <n v="2"/>
    <x v="0"/>
    <x v="0"/>
    <s v="Yes"/>
    <x v="1"/>
    <x v="0"/>
    <x v="10"/>
    <s v="No"/>
    <s v="No"/>
    <x v="0"/>
    <s v="Software Development"/>
    <n v="2"/>
    <x v="5"/>
    <s v="Single"/>
    <x v="1"/>
    <s v="Bachelor"/>
    <x v="0"/>
    <n v="3.1"/>
    <s v="No"/>
    <n v="3.08"/>
    <n v="118"/>
    <n v="40000"/>
    <x v="0"/>
    <x v="0"/>
    <n v="60.6"/>
  </r>
  <r>
    <x v="2"/>
    <x v="0"/>
    <n v="21"/>
    <n v="2019"/>
    <x v="0"/>
    <n v="8"/>
    <x v="0"/>
    <s v="No"/>
    <x v="2"/>
    <n v="1"/>
    <x v="1"/>
    <x v="0"/>
    <s v="Yes"/>
    <x v="3"/>
    <x v="2"/>
    <x v="0"/>
    <s v="No"/>
    <s v="No"/>
    <x v="1"/>
    <s v="Software Development"/>
    <n v="2"/>
    <x v="5"/>
    <s v="Single"/>
    <x v="1"/>
    <s v="Bachelor"/>
    <x v="0"/>
    <n v="3.96"/>
    <s v="No"/>
    <n v="3.86"/>
    <n v="87"/>
    <n v="120000"/>
    <x v="1"/>
    <x v="0"/>
    <n v="48"/>
  </r>
  <r>
    <x v="3"/>
    <x v="0"/>
    <n v="20"/>
    <n v="2020"/>
    <x v="0"/>
    <n v="2"/>
    <x v="0"/>
    <s v="No"/>
    <x v="0"/>
    <n v="2"/>
    <x v="1"/>
    <x v="0"/>
    <s v="Yes"/>
    <x v="2"/>
    <x v="0"/>
    <x v="7"/>
    <s v="No"/>
    <s v="No"/>
    <x v="0"/>
    <s v="Software Development"/>
    <n v="1"/>
    <x v="0"/>
    <s v="Single"/>
    <x v="1"/>
    <s v="Bachelor"/>
    <x v="0"/>
    <n v="3.29"/>
    <s v="No"/>
    <n v="3.29"/>
    <n v="11"/>
    <n v="40000"/>
    <x v="0"/>
    <x v="0"/>
    <n v="40"/>
  </r>
  <r>
    <x v="3"/>
    <x v="1"/>
    <n v="22"/>
    <n v="2017"/>
    <x v="0"/>
    <n v="1"/>
    <x v="0"/>
    <s v="Yes"/>
    <x v="0"/>
    <n v="3"/>
    <x v="0"/>
    <x v="0"/>
    <s v="Yes"/>
    <x v="1"/>
    <x v="1"/>
    <x v="5"/>
    <s v="No"/>
    <s v="No"/>
    <x v="1"/>
    <s v="Software Development"/>
    <n v="2"/>
    <x v="2"/>
    <s v="Single"/>
    <x v="1"/>
    <s v="Family"/>
    <x v="0"/>
    <n v="3.75"/>
    <s v="No"/>
    <n v="3.75"/>
    <n v="12"/>
    <n v="50000"/>
    <x v="1"/>
    <x v="0"/>
    <n v="55"/>
  </r>
  <r>
    <x v="2"/>
    <x v="1"/>
    <n v="21"/>
    <n v="2019"/>
    <x v="0"/>
    <n v="8"/>
    <x v="0"/>
    <s v="No"/>
    <x v="3"/>
    <n v="2"/>
    <x v="0"/>
    <x v="0"/>
    <s v="Yes"/>
    <x v="2"/>
    <x v="0"/>
    <x v="5"/>
    <s v="No"/>
    <s v="No"/>
    <x v="0"/>
    <s v="Software Development"/>
    <n v="2"/>
    <x v="2"/>
    <s v="Single"/>
    <x v="1"/>
    <s v="Bachelor"/>
    <x v="0"/>
    <n v="3.66"/>
    <s v="No"/>
    <n v="3.8"/>
    <n v="87"/>
    <n v="50000"/>
    <x v="1"/>
    <x v="0"/>
    <n v="61"/>
  </r>
  <r>
    <x v="3"/>
    <x v="1"/>
    <n v="20"/>
    <n v="2019"/>
    <x v="0"/>
    <n v="1"/>
    <x v="0"/>
    <s v="Yes"/>
    <x v="2"/>
    <n v="3"/>
    <x v="0"/>
    <x v="0"/>
    <s v="Yes"/>
    <x v="3"/>
    <x v="1"/>
    <x v="6"/>
    <s v="No"/>
    <s v="No"/>
    <x v="0"/>
    <s v="Software Development"/>
    <n v="2"/>
    <x v="4"/>
    <s v="Single"/>
    <x v="0"/>
    <s v="Family"/>
    <x v="0"/>
    <n v="0"/>
    <s v="No"/>
    <n v="0"/>
    <n v="0"/>
    <n v="45000"/>
    <x v="2"/>
    <x v="0"/>
    <n v="50.800000000000004"/>
  </r>
  <r>
    <x v="4"/>
    <x v="0"/>
    <n v="21"/>
    <n v="2019"/>
    <x v="0"/>
    <n v="8"/>
    <x v="0"/>
    <s v="No"/>
    <x v="5"/>
    <n v="2"/>
    <x v="0"/>
    <x v="0"/>
    <s v="Yes"/>
    <x v="3"/>
    <x v="0"/>
    <x v="0"/>
    <s v="No"/>
    <s v="No"/>
    <x v="0"/>
    <s v="Cyber security"/>
    <n v="2"/>
    <x v="4"/>
    <s v="Single"/>
    <x v="1"/>
    <s v="Bachelor"/>
    <x v="0"/>
    <n v="3.88"/>
    <s v="No"/>
    <n v="3.71"/>
    <n v="92"/>
    <n v="30000"/>
    <x v="1"/>
    <x v="0"/>
    <n v="54"/>
  </r>
  <r>
    <x v="2"/>
    <x v="0"/>
    <n v="22"/>
    <n v="2018"/>
    <x v="0"/>
    <n v="8"/>
    <x v="0"/>
    <s v="Yes"/>
    <x v="2"/>
    <n v="1"/>
    <x v="1"/>
    <x v="0"/>
    <s v="Yes"/>
    <x v="3"/>
    <x v="0"/>
    <x v="0"/>
    <s v="No"/>
    <s v="No"/>
    <x v="1"/>
    <s v="Software Development"/>
    <n v="2"/>
    <x v="2"/>
    <s v="Single"/>
    <x v="0"/>
    <s v="Bachelor"/>
    <x v="0"/>
    <n v="4"/>
    <s v="No"/>
    <n v="3.89"/>
    <n v="75"/>
    <n v="30000"/>
    <x v="1"/>
    <x v="0"/>
    <n v="48"/>
  </r>
  <r>
    <x v="4"/>
    <x v="0"/>
    <n v="21"/>
    <n v="2018"/>
    <x v="0"/>
    <n v="8"/>
    <x v="0"/>
    <s v="Yes"/>
    <x v="2"/>
    <n v="2"/>
    <x v="0"/>
    <x v="1"/>
    <s v="Yes"/>
    <x v="1"/>
    <x v="0"/>
    <x v="0"/>
    <s v="No"/>
    <s v="No"/>
    <x v="0"/>
    <s v="Software Development"/>
    <n v="2"/>
    <x v="2"/>
    <s v="Single"/>
    <x v="0"/>
    <s v="Bachelor"/>
    <x v="0"/>
    <n v="3.64"/>
    <s v="No"/>
    <n v="3.42"/>
    <n v="100"/>
    <n v="18000"/>
    <x v="0"/>
    <x v="0"/>
    <n v="48"/>
  </r>
  <r>
    <x v="0"/>
    <x v="0"/>
    <n v="25"/>
    <n v="2016"/>
    <x v="0"/>
    <n v="13"/>
    <x v="0"/>
    <s v="Yes"/>
    <x v="2"/>
    <n v="2"/>
    <x v="1"/>
    <x v="0"/>
    <s v="Yes"/>
    <x v="1"/>
    <x v="0"/>
    <x v="0"/>
    <s v="Yes"/>
    <s v="Yes"/>
    <x v="0"/>
    <s v="Software Development"/>
    <n v="2"/>
    <x v="2"/>
    <s v="Single"/>
    <x v="1"/>
    <s v="Family"/>
    <x v="0"/>
    <n v="2.4"/>
    <s v="No"/>
    <n v="2.41"/>
    <n v="86"/>
    <n v="50000"/>
    <x v="2"/>
    <x v="0"/>
    <n v="48"/>
  </r>
  <r>
    <x v="1"/>
    <x v="1"/>
    <n v="20"/>
    <n v="2020"/>
    <x v="0"/>
    <n v="2"/>
    <x v="1"/>
    <s v="No"/>
    <x v="2"/>
    <n v="1"/>
    <x v="0"/>
    <x v="0"/>
    <s v="No"/>
    <x v="1"/>
    <x v="1"/>
    <x v="0"/>
    <s v="No"/>
    <s v="No"/>
    <x v="1"/>
    <s v="Software Development"/>
    <n v="2"/>
    <x v="2"/>
    <s v="Single"/>
    <x v="0"/>
    <s v="Bachelor"/>
    <x v="1"/>
    <n v="2.67"/>
    <s v="No"/>
    <n v="2.67"/>
    <n v="12"/>
    <n v="25000"/>
    <x v="0"/>
    <x v="0"/>
    <n v="48"/>
  </r>
  <r>
    <x v="1"/>
    <x v="1"/>
    <n v="22"/>
    <n v="2018"/>
    <x v="0"/>
    <n v="2"/>
    <x v="0"/>
    <s v="No"/>
    <x v="5"/>
    <n v="2"/>
    <x v="0"/>
    <x v="0"/>
    <s v="Yes"/>
    <x v="1"/>
    <x v="1"/>
    <x v="2"/>
    <s v="Yes"/>
    <s v="No"/>
    <x v="0"/>
    <s v="Software Development"/>
    <n v="3"/>
    <x v="2"/>
    <s v="Married"/>
    <x v="1"/>
    <s v="Family"/>
    <x v="1"/>
    <n v="2.86"/>
    <s v="No"/>
    <n v="2.86"/>
    <n v="15"/>
    <n v="50000"/>
    <x v="0"/>
    <x v="0"/>
    <n v="53"/>
  </r>
  <r>
    <x v="1"/>
    <x v="0"/>
    <n v="20"/>
    <n v="2020"/>
    <x v="0"/>
    <n v="3"/>
    <x v="0"/>
    <s v="No"/>
    <x v="1"/>
    <n v="1"/>
    <x v="1"/>
    <x v="0"/>
    <s v="Yes"/>
    <x v="2"/>
    <x v="0"/>
    <x v="2"/>
    <s v="No"/>
    <s v="No"/>
    <x v="1"/>
    <s v="Software Development"/>
    <n v="1"/>
    <x v="2"/>
    <s v="Single"/>
    <x v="0"/>
    <s v="Bachelor"/>
    <x v="1"/>
    <n v="2.63"/>
    <s v="No"/>
    <n v="3.07"/>
    <n v="27"/>
    <n v="25000"/>
    <x v="0"/>
    <x v="0"/>
    <n v="38"/>
  </r>
  <r>
    <x v="2"/>
    <x v="1"/>
    <n v="21"/>
    <n v="2018"/>
    <x v="0"/>
    <n v="8"/>
    <x v="1"/>
    <s v="Yes"/>
    <x v="0"/>
    <n v="2"/>
    <x v="1"/>
    <x v="0"/>
    <s v="Yes"/>
    <x v="3"/>
    <x v="0"/>
    <x v="1"/>
    <s v="No"/>
    <s v="No"/>
    <x v="0"/>
    <s v="Software Development"/>
    <n v="2"/>
    <x v="5"/>
    <s v="Single"/>
    <x v="1"/>
    <s v="Family"/>
    <x v="1"/>
    <n v="3.48"/>
    <s v="No"/>
    <n v="3.74"/>
    <n v="87"/>
    <n v="20000"/>
    <x v="1"/>
    <x v="0"/>
    <n v="53.400000000000006"/>
  </r>
  <r>
    <x v="3"/>
    <x v="0"/>
    <n v="19"/>
    <n v="2020"/>
    <x v="0"/>
    <n v="2"/>
    <x v="0"/>
    <s v="Yes"/>
    <x v="1"/>
    <n v="1"/>
    <x v="0"/>
    <x v="0"/>
    <s v="Yes"/>
    <x v="4"/>
    <x v="0"/>
    <x v="10"/>
    <s v="No"/>
    <s v="No"/>
    <x v="1"/>
    <s v="Software Development"/>
    <n v="1"/>
    <x v="2"/>
    <s v="Single"/>
    <x v="1"/>
    <s v="Family"/>
    <x v="0"/>
    <n v="3.75"/>
    <s v="No"/>
    <n v="3.75"/>
    <n v="12"/>
    <n v="30000"/>
    <x v="1"/>
    <x v="0"/>
    <n v="45.6"/>
  </r>
  <r>
    <x v="4"/>
    <x v="0"/>
    <n v="21"/>
    <n v="2019"/>
    <x v="0"/>
    <n v="8"/>
    <x v="0"/>
    <s v="Yes"/>
    <x v="2"/>
    <n v="1"/>
    <x v="0"/>
    <x v="0"/>
    <s v="Yes"/>
    <x v="3"/>
    <x v="0"/>
    <x v="4"/>
    <s v="No"/>
    <s v="No"/>
    <x v="0"/>
    <s v="Software Development"/>
    <n v="2"/>
    <x v="2"/>
    <s v="Single"/>
    <x v="0"/>
    <s v="Family"/>
    <x v="0"/>
    <n v="3.94"/>
    <s v="No"/>
    <n v="3.88"/>
    <n v="90"/>
    <n v="30000"/>
    <x v="1"/>
    <x v="0"/>
    <n v="50"/>
  </r>
  <r>
    <x v="3"/>
    <x v="1"/>
    <n v="21"/>
    <n v="2019"/>
    <x v="0"/>
    <n v="1"/>
    <x v="0"/>
    <s v="Yes"/>
    <x v="2"/>
    <n v="1"/>
    <x v="0"/>
    <x v="0"/>
    <s v="No"/>
    <x v="0"/>
    <x v="0"/>
    <x v="5"/>
    <s v="No"/>
    <s v="No"/>
    <x v="0"/>
    <s v="Networking"/>
    <n v="1"/>
    <x v="2"/>
    <s v="Single"/>
    <x v="1"/>
    <s v="Family"/>
    <x v="0"/>
    <n v="0"/>
    <s v="No"/>
    <n v="0"/>
    <n v="0"/>
    <n v="40000"/>
    <x v="2"/>
    <x v="0"/>
    <n v="49"/>
  </r>
  <r>
    <x v="3"/>
    <x v="1"/>
    <n v="20"/>
    <n v="2020"/>
    <x v="0"/>
    <n v="1"/>
    <x v="0"/>
    <s v="No"/>
    <x v="2"/>
    <n v="1"/>
    <x v="0"/>
    <x v="0"/>
    <s v="Yes"/>
    <x v="2"/>
    <x v="1"/>
    <x v="10"/>
    <s v="No"/>
    <s v="No"/>
    <x v="0"/>
    <s v="Software Development"/>
    <n v="2"/>
    <x v="2"/>
    <s v="Single"/>
    <x v="1"/>
    <s v="Family"/>
    <x v="0"/>
    <n v="4"/>
    <s v="No"/>
    <n v="4"/>
    <n v="13"/>
    <n v="62488"/>
    <x v="1"/>
    <x v="0"/>
    <n v="51.6"/>
  </r>
  <r>
    <x v="2"/>
    <x v="1"/>
    <n v="21"/>
    <n v="2018"/>
    <x v="0"/>
    <n v="8"/>
    <x v="0"/>
    <s v="No"/>
    <x v="2"/>
    <n v="2"/>
    <x v="0"/>
    <x v="0"/>
    <s v="Yes"/>
    <x v="2"/>
    <x v="0"/>
    <x v="2"/>
    <s v="No"/>
    <s v="No"/>
    <x v="0"/>
    <s v="Software Development"/>
    <n v="1"/>
    <x v="2"/>
    <s v="Engaged"/>
    <x v="1"/>
    <s v="Family"/>
    <x v="1"/>
    <n v="3.5"/>
    <s v="No"/>
    <n v="3.63"/>
    <n v="87"/>
    <n v="90000"/>
    <x v="1"/>
    <x v="0"/>
    <n v="41"/>
  </r>
  <r>
    <x v="3"/>
    <x v="0"/>
    <n v="19"/>
    <n v="2020"/>
    <x v="0"/>
    <n v="2"/>
    <x v="0"/>
    <s v="No"/>
    <x v="0"/>
    <n v="1"/>
    <x v="1"/>
    <x v="0"/>
    <s v="Yes"/>
    <x v="2"/>
    <x v="1"/>
    <x v="9"/>
    <s v="No"/>
    <s v="No"/>
    <x v="1"/>
    <s v="Cyber security"/>
    <n v="1"/>
    <x v="2"/>
    <s v="Single"/>
    <x v="1"/>
    <s v="Family"/>
    <x v="0"/>
    <n v="1.91"/>
    <s v="No"/>
    <n v="1.75"/>
    <n v="6"/>
    <n v="300000"/>
    <x v="2"/>
    <x v="0"/>
    <n v="46"/>
  </r>
  <r>
    <x v="3"/>
    <x v="0"/>
    <n v="20"/>
    <n v="2021"/>
    <x v="0"/>
    <n v="2"/>
    <x v="0"/>
    <s v="Yes"/>
    <x v="2"/>
    <n v="2"/>
    <x v="0"/>
    <x v="0"/>
    <s v="Yes"/>
    <x v="3"/>
    <x v="1"/>
    <x v="0"/>
    <s v="No"/>
    <s v="No"/>
    <x v="1"/>
    <s v="i don't"/>
    <n v="1"/>
    <x v="2"/>
    <s v="Single"/>
    <x v="1"/>
    <s v="Family"/>
    <x v="0"/>
    <n v="3.85"/>
    <s v="No"/>
    <n v="3.85"/>
    <n v="11"/>
    <n v="30000"/>
    <x v="1"/>
    <x v="0"/>
    <n v="45"/>
  </r>
  <r>
    <x v="2"/>
    <x v="0"/>
    <n v="22"/>
    <n v="2019"/>
    <x v="0"/>
    <n v="8"/>
    <x v="1"/>
    <s v="Yes"/>
    <x v="1"/>
    <n v="1"/>
    <x v="0"/>
    <x v="0"/>
    <s v="Yes"/>
    <x v="2"/>
    <x v="1"/>
    <x v="4"/>
    <s v="No"/>
    <s v="No"/>
    <x v="0"/>
    <s v="Video editing"/>
    <n v="2"/>
    <x v="5"/>
    <s v="Single"/>
    <x v="0"/>
    <s v="Bachelor"/>
    <x v="0"/>
    <n v="1.97"/>
    <s v="No"/>
    <n v="2.77"/>
    <n v="85"/>
    <n v="40000"/>
    <x v="0"/>
    <x v="0"/>
    <n v="47"/>
  </r>
  <r>
    <x v="3"/>
    <x v="0"/>
    <n v="20"/>
    <n v="2020"/>
    <x v="0"/>
    <n v="2"/>
    <x v="0"/>
    <s v="Yes"/>
    <x v="2"/>
    <n v="1"/>
    <x v="0"/>
    <x v="0"/>
    <s v="Yes"/>
    <x v="2"/>
    <x v="0"/>
    <x v="8"/>
    <s v="No"/>
    <s v="No"/>
    <x v="0"/>
    <s v="Software Development"/>
    <n v="3"/>
    <x v="2"/>
    <s v="Single"/>
    <x v="1"/>
    <s v="Family"/>
    <x v="0"/>
    <n v="3.51"/>
    <s v="No"/>
    <n v="3.51"/>
    <n v="11"/>
    <n v="40000"/>
    <x v="1"/>
    <x v="0"/>
    <n v="54.2"/>
  </r>
  <r>
    <x v="3"/>
    <x v="0"/>
    <n v="21"/>
    <n v="2019"/>
    <x v="0"/>
    <n v="2"/>
    <x v="1"/>
    <s v="No"/>
    <x v="0"/>
    <n v="2"/>
    <x v="0"/>
    <x v="0"/>
    <s v="Yes"/>
    <x v="2"/>
    <x v="1"/>
    <x v="4"/>
    <s v="No"/>
    <s v="No"/>
    <x v="0"/>
    <s v="Software Development"/>
    <n v="2"/>
    <x v="3"/>
    <s v="Single"/>
    <x v="1"/>
    <s v="Bachelor"/>
    <x v="0"/>
    <n v="3.85"/>
    <s v="No"/>
    <n v="3.85"/>
    <n v="11"/>
    <n v="20000"/>
    <x v="1"/>
    <x v="0"/>
    <n v="53"/>
  </r>
  <r>
    <x v="3"/>
    <x v="1"/>
    <n v="20"/>
    <n v="2020"/>
    <x v="0"/>
    <n v="2"/>
    <x v="0"/>
    <s v="Yes"/>
    <x v="0"/>
    <n v="3"/>
    <x v="0"/>
    <x v="0"/>
    <s v="Yes"/>
    <x v="0"/>
    <x v="1"/>
    <x v="0"/>
    <s v="No"/>
    <s v="No"/>
    <x v="0"/>
    <s v="Software Development"/>
    <n v="2"/>
    <x v="2"/>
    <s v="Single"/>
    <x v="1"/>
    <s v="Family"/>
    <x v="0"/>
    <n v="4"/>
    <s v="No"/>
    <n v="4"/>
    <n v="11"/>
    <n v="50000"/>
    <x v="1"/>
    <x v="0"/>
    <n v="51"/>
  </r>
  <r>
    <x v="3"/>
    <x v="0"/>
    <n v="19"/>
    <n v="2020"/>
    <x v="0"/>
    <n v="2"/>
    <x v="1"/>
    <s v="No"/>
    <x v="5"/>
    <n v="2"/>
    <x v="0"/>
    <x v="0"/>
    <s v="Yes"/>
    <x v="3"/>
    <x v="1"/>
    <x v="0"/>
    <s v="No"/>
    <s v="No"/>
    <x v="0"/>
    <s v="Software Development"/>
    <n v="1"/>
    <x v="3"/>
    <s v="Single"/>
    <x v="1"/>
    <s v="Bachelor"/>
    <x v="0"/>
    <n v="3.21"/>
    <s v="No"/>
    <n v="3.21"/>
    <n v="11"/>
    <n v="40000"/>
    <x v="0"/>
    <x v="0"/>
    <n v="51"/>
  </r>
  <r>
    <x v="2"/>
    <x v="1"/>
    <n v="22"/>
    <n v="2019"/>
    <x v="0"/>
    <n v="8"/>
    <x v="0"/>
    <s v="No"/>
    <x v="0"/>
    <n v="2"/>
    <x v="0"/>
    <x v="0"/>
    <s v="Yes"/>
    <x v="2"/>
    <x v="0"/>
    <x v="4"/>
    <s v="No"/>
    <s v="No"/>
    <x v="0"/>
    <s v="Software Development"/>
    <n v="2"/>
    <x v="6"/>
    <s v="Single"/>
    <x v="0"/>
    <s v="Family"/>
    <x v="0"/>
    <n v="3.15"/>
    <s v="No"/>
    <n v="3.65"/>
    <n v="84"/>
    <n v="50000"/>
    <x v="1"/>
    <x v="0"/>
    <n v="53"/>
  </r>
  <r>
    <x v="3"/>
    <x v="0"/>
    <n v="21"/>
    <n v="2020"/>
    <x v="0"/>
    <n v="2"/>
    <x v="0"/>
    <s v="No"/>
    <x v="5"/>
    <n v="3"/>
    <x v="0"/>
    <x v="0"/>
    <s v="Yes"/>
    <x v="3"/>
    <x v="1"/>
    <x v="2"/>
    <s v="Yes"/>
    <s v="Yes"/>
    <x v="0"/>
    <s v="Software Development"/>
    <n v="1"/>
    <x v="2"/>
    <s v="Relationship"/>
    <x v="0"/>
    <s v="Bachelor"/>
    <x v="1"/>
    <n v="3.1"/>
    <s v="No"/>
    <n v="3.1"/>
    <n v="14"/>
    <n v="20000"/>
    <x v="0"/>
    <x v="0"/>
    <n v="47"/>
  </r>
  <r>
    <x v="4"/>
    <x v="0"/>
    <n v="23"/>
    <n v="2016"/>
    <x v="0"/>
    <n v="10"/>
    <x v="0"/>
    <s v="No"/>
    <x v="1"/>
    <n v="1"/>
    <x v="0"/>
    <x v="0"/>
    <s v="Yes"/>
    <x v="2"/>
    <x v="0"/>
    <x v="0"/>
    <s v="No"/>
    <s v="No"/>
    <x v="0"/>
    <s v="Mentoring"/>
    <n v="3"/>
    <x v="5"/>
    <s v="Single"/>
    <x v="1"/>
    <s v="Bachelor"/>
    <x v="0"/>
    <n v="3.22"/>
    <s v="No"/>
    <n v="3.47"/>
    <n v="95"/>
    <n v="13500"/>
    <x v="0"/>
    <x v="0"/>
    <n v="48"/>
  </r>
  <r>
    <x v="1"/>
    <x v="1"/>
    <n v="22"/>
    <n v="2019"/>
    <x v="0"/>
    <n v="3"/>
    <x v="0"/>
    <s v="Yes"/>
    <x v="0"/>
    <n v="2"/>
    <x v="0"/>
    <x v="0"/>
    <s v="Yes"/>
    <x v="4"/>
    <x v="0"/>
    <x v="7"/>
    <s v="No"/>
    <s v="No"/>
    <x v="1"/>
    <s v="Software Development"/>
    <n v="2"/>
    <x v="5"/>
    <s v="Single"/>
    <x v="1"/>
    <s v="Family"/>
    <x v="0"/>
    <n v="3.52"/>
    <s v="No"/>
    <n v="3.77"/>
    <n v="23"/>
    <n v="25000"/>
    <x v="1"/>
    <x v="0"/>
    <n v="43"/>
  </r>
  <r>
    <x v="1"/>
    <x v="1"/>
    <n v="20"/>
    <n v="2020"/>
    <x v="0"/>
    <n v="3"/>
    <x v="0"/>
    <s v="No"/>
    <x v="2"/>
    <n v="2"/>
    <x v="0"/>
    <x v="0"/>
    <s v="Yes"/>
    <x v="2"/>
    <x v="0"/>
    <x v="9"/>
    <s v="No"/>
    <s v="No"/>
    <x v="0"/>
    <s v="Software Development"/>
    <n v="1"/>
    <x v="2"/>
    <s v="Single"/>
    <x v="1"/>
    <s v="Family"/>
    <x v="0"/>
    <n v="3.24"/>
    <s v="No"/>
    <n v="3.32"/>
    <n v="23"/>
    <n v="80000"/>
    <x v="0"/>
    <x v="0"/>
    <n v="43"/>
  </r>
  <r>
    <x v="4"/>
    <x v="0"/>
    <n v="23"/>
    <n v="2017"/>
    <x v="0"/>
    <n v="11"/>
    <x v="1"/>
    <s v="Yes"/>
    <x v="10"/>
    <n v="3"/>
    <x v="0"/>
    <x v="0"/>
    <s v="Yes"/>
    <x v="2"/>
    <x v="0"/>
    <x v="0"/>
    <s v="No"/>
    <s v="No"/>
    <x v="1"/>
    <s v="Software Development"/>
    <n v="4"/>
    <x v="2"/>
    <s v="Single"/>
    <x v="0"/>
    <s v="Bachelor"/>
    <x v="1"/>
    <n v="3.94"/>
    <s v="Yes"/>
    <n v="3.95"/>
    <n v="126"/>
    <n v="25000"/>
    <x v="1"/>
    <x v="0"/>
    <n v="78"/>
  </r>
  <r>
    <x v="2"/>
    <x v="1"/>
    <n v="22"/>
    <n v="2018"/>
    <x v="0"/>
    <n v="8"/>
    <x v="1"/>
    <s v="No"/>
    <x v="5"/>
    <n v="1"/>
    <x v="1"/>
    <x v="0"/>
    <s v="Yes"/>
    <x v="6"/>
    <x v="0"/>
    <x v="2"/>
    <s v="No"/>
    <s v="No"/>
    <x v="1"/>
    <s v="Graphics design"/>
    <n v="1"/>
    <x v="5"/>
    <s v="Single"/>
    <x v="0"/>
    <s v="Family"/>
    <x v="0"/>
    <n v="2.5"/>
    <s v="No"/>
    <n v="2.85"/>
    <n v="90"/>
    <n v="70000"/>
    <x v="0"/>
    <x v="0"/>
    <n v="47"/>
  </r>
  <r>
    <x v="2"/>
    <x v="1"/>
    <n v="21"/>
    <n v="2018"/>
    <x v="0"/>
    <n v="8"/>
    <x v="1"/>
    <s v="Yes"/>
    <x v="0"/>
    <n v="1"/>
    <x v="0"/>
    <x v="0"/>
    <s v="Yes"/>
    <x v="1"/>
    <x v="1"/>
    <x v="3"/>
    <s v="No"/>
    <s v="No"/>
    <x v="1"/>
    <s v="graphic design"/>
    <n v="5"/>
    <x v="4"/>
    <s v="Single"/>
    <x v="1"/>
    <s v="Bachelor"/>
    <x v="1"/>
    <n v="2.65"/>
    <s v="No"/>
    <n v="2.85"/>
    <n v="70"/>
    <n v="35000"/>
    <x v="0"/>
    <x v="0"/>
    <n v="59.2"/>
  </r>
  <r>
    <x v="1"/>
    <x v="0"/>
    <n v="20"/>
    <n v="2020"/>
    <x v="0"/>
    <n v="2"/>
    <x v="0"/>
    <s v="Yes"/>
    <x v="1"/>
    <n v="4"/>
    <x v="1"/>
    <x v="0"/>
    <s v="No"/>
    <x v="5"/>
    <x v="0"/>
    <x v="2"/>
    <s v="No"/>
    <s v="No"/>
    <x v="1"/>
    <s v="Software Development"/>
    <n v="1"/>
    <x v="2"/>
    <s v="Single"/>
    <x v="1"/>
    <s v="Family"/>
    <x v="0"/>
    <n v="2.91"/>
    <s v="No"/>
    <n v="2.91"/>
    <n v="11"/>
    <n v="25000"/>
    <x v="0"/>
    <x v="0"/>
    <n v="38"/>
  </r>
  <r>
    <x v="6"/>
    <x v="0"/>
    <n v="26"/>
    <n v="2014"/>
    <x v="0"/>
    <n v="22"/>
    <x v="1"/>
    <s v="Yes"/>
    <x v="3"/>
    <n v="4"/>
    <x v="0"/>
    <x v="0"/>
    <s v="Yes"/>
    <x v="3"/>
    <x v="0"/>
    <x v="5"/>
    <s v="Yes"/>
    <s v="Yes"/>
    <x v="0"/>
    <s v="Software Development"/>
    <n v="1"/>
    <x v="2"/>
    <s v="Single"/>
    <x v="1"/>
    <s v="Bachelor"/>
    <x v="0"/>
    <n v="3.22"/>
    <s v="No"/>
    <n v="2.83"/>
    <n v="103"/>
    <n v="25000"/>
    <x v="0"/>
    <x v="0"/>
    <n v="58"/>
  </r>
  <r>
    <x v="2"/>
    <x v="0"/>
    <n v="21"/>
    <n v="2019"/>
    <x v="0"/>
    <n v="7"/>
    <x v="0"/>
    <s v="Yes"/>
    <x v="1"/>
    <n v="1"/>
    <x v="0"/>
    <x v="0"/>
    <s v="Yes"/>
    <x v="3"/>
    <x v="1"/>
    <x v="5"/>
    <s v="No"/>
    <s v="No"/>
    <x v="1"/>
    <s v="Software Development"/>
    <n v="1"/>
    <x v="2"/>
    <s v="Single"/>
    <x v="0"/>
    <s v="Family"/>
    <x v="0"/>
    <n v="3.67"/>
    <s v="No"/>
    <n v="3.48"/>
    <n v="75"/>
    <n v="62488"/>
    <x v="0"/>
    <x v="0"/>
    <n v="46"/>
  </r>
  <r>
    <x v="3"/>
    <x v="1"/>
    <n v="21"/>
    <n v="2019"/>
    <x v="0"/>
    <n v="2"/>
    <x v="0"/>
    <s v="No"/>
    <x v="1"/>
    <n v="2"/>
    <x v="0"/>
    <x v="0"/>
    <s v="Yes"/>
    <x v="2"/>
    <x v="0"/>
    <x v="10"/>
    <s v="No"/>
    <s v="No"/>
    <x v="1"/>
    <s v="Software Development"/>
    <n v="2"/>
    <x v="2"/>
    <s v="Single"/>
    <x v="1"/>
    <s v="Bachelor"/>
    <x v="0"/>
    <n v="4"/>
    <s v="No"/>
    <n v="4"/>
    <n v="12"/>
    <n v="30000"/>
    <x v="1"/>
    <x v="0"/>
    <n v="48.6"/>
  </r>
  <r>
    <x v="3"/>
    <x v="0"/>
    <n v="21"/>
    <n v="2020"/>
    <x v="0"/>
    <n v="2"/>
    <x v="0"/>
    <s v="Yes"/>
    <x v="0"/>
    <n v="1"/>
    <x v="0"/>
    <x v="0"/>
    <s v="Yes"/>
    <x v="0"/>
    <x v="1"/>
    <x v="4"/>
    <s v="No"/>
    <s v="No"/>
    <x v="0"/>
    <s v="Software Development"/>
    <n v="1"/>
    <x v="5"/>
    <s v="Single"/>
    <x v="0"/>
    <s v="Family"/>
    <x v="0"/>
    <n v="3.92"/>
    <s v="No"/>
    <n v="3.92"/>
    <n v="12"/>
    <n v="35000"/>
    <x v="1"/>
    <x v="0"/>
    <n v="50"/>
  </r>
  <r>
    <x v="4"/>
    <x v="0"/>
    <n v="23"/>
    <n v="2018"/>
    <x v="0"/>
    <n v="11"/>
    <x v="1"/>
    <s v="No"/>
    <x v="4"/>
    <n v="2"/>
    <x v="1"/>
    <x v="0"/>
    <s v="Yes"/>
    <x v="5"/>
    <x v="2"/>
    <x v="0"/>
    <s v="No"/>
    <s v="No"/>
    <x v="0"/>
    <s v="Software Development"/>
    <n v="5"/>
    <x v="7"/>
    <s v="Single"/>
    <x v="1"/>
    <s v="Bachelor"/>
    <x v="0"/>
    <n v="3.02"/>
    <s v="No"/>
    <n v="3.05"/>
    <n v="123"/>
    <n v="40000"/>
    <x v="0"/>
    <x v="0"/>
    <n v="69"/>
  </r>
  <r>
    <x v="2"/>
    <x v="1"/>
    <n v="21"/>
    <n v="2019"/>
    <x v="0"/>
    <n v="8"/>
    <x v="1"/>
    <s v="Yes"/>
    <x v="11"/>
    <n v="2"/>
    <x v="1"/>
    <x v="0"/>
    <s v="Yes"/>
    <x v="3"/>
    <x v="2"/>
    <x v="5"/>
    <s v="No"/>
    <s v="No"/>
    <x v="1"/>
    <s v="Software Development"/>
    <n v="2"/>
    <x v="4"/>
    <s v="Single"/>
    <x v="1"/>
    <s v="Family"/>
    <x v="0"/>
    <n v="3.77"/>
    <s v="No"/>
    <n v="3.69"/>
    <n v="88"/>
    <n v="5000"/>
    <x v="1"/>
    <x v="0"/>
    <n v="85"/>
  </r>
  <r>
    <x v="1"/>
    <x v="0"/>
    <n v="21"/>
    <n v="2020"/>
    <x v="0"/>
    <n v="4"/>
    <x v="1"/>
    <s v="Yes"/>
    <x v="2"/>
    <n v="1"/>
    <x v="0"/>
    <x v="0"/>
    <s v="Yes"/>
    <x v="1"/>
    <x v="0"/>
    <x v="1"/>
    <s v="No"/>
    <s v="No"/>
    <x v="0"/>
    <s v="Software Development"/>
    <n v="1"/>
    <x v="2"/>
    <s v="Single"/>
    <x v="0"/>
    <s v="Family"/>
    <x v="0"/>
    <n v="3.89"/>
    <s v="No"/>
    <n v="3.7"/>
    <n v="35"/>
    <n v="90000"/>
    <x v="1"/>
    <x v="0"/>
    <n v="47.400000000000006"/>
  </r>
  <r>
    <x v="8"/>
    <x v="1"/>
    <n v="25"/>
    <n v="2013"/>
    <x v="0"/>
    <n v="15"/>
    <x v="1"/>
    <s v="Yes"/>
    <x v="5"/>
    <n v="3"/>
    <x v="0"/>
    <x v="0"/>
    <s v="Yes"/>
    <x v="3"/>
    <x v="0"/>
    <x v="0"/>
    <s v="Yes"/>
    <s v="No"/>
    <x v="0"/>
    <s v="Networking"/>
    <n v="2"/>
    <x v="2"/>
    <s v="Married"/>
    <x v="1"/>
    <s v="Family"/>
    <x v="0"/>
    <n v="3.06"/>
    <s v="No"/>
    <n v="2.86"/>
    <n v="140"/>
    <n v="40000"/>
    <x v="0"/>
    <x v="0"/>
    <n v="54"/>
  </r>
  <r>
    <x v="4"/>
    <x v="0"/>
    <n v="21"/>
    <n v="2019"/>
    <x v="0"/>
    <n v="8"/>
    <x v="1"/>
    <s v="Yes"/>
    <x v="1"/>
    <n v="2"/>
    <x v="1"/>
    <x v="0"/>
    <s v="Yes"/>
    <x v="4"/>
    <x v="0"/>
    <x v="29"/>
    <s v="Yes"/>
    <s v="No"/>
    <x v="1"/>
    <s v="Software Development"/>
    <n v="3"/>
    <x v="2"/>
    <s v="Single"/>
    <x v="0"/>
    <s v="Family"/>
    <x v="1"/>
    <n v="3.66"/>
    <s v="No"/>
    <n v="3.01"/>
    <n v="77"/>
    <n v="45000"/>
    <x v="0"/>
    <x v="0"/>
    <n v="34.799999999999997"/>
  </r>
  <r>
    <x v="2"/>
    <x v="1"/>
    <n v="22"/>
    <n v="2018"/>
    <x v="0"/>
    <n v="8"/>
    <x v="0"/>
    <s v="Yes"/>
    <x v="0"/>
    <n v="1"/>
    <x v="0"/>
    <x v="0"/>
    <s v="Yes"/>
    <x v="1"/>
    <x v="1"/>
    <x v="5"/>
    <s v="Yes"/>
    <s v="No"/>
    <x v="0"/>
    <s v="Networking"/>
    <n v="4"/>
    <x v="4"/>
    <s v="Single"/>
    <x v="1"/>
    <s v="Bachelor"/>
    <x v="0"/>
    <n v="2.15"/>
    <s v="No"/>
    <n v="2.54"/>
    <n v="70"/>
    <n v="25000"/>
    <x v="0"/>
    <x v="0"/>
    <n v="61"/>
  </r>
  <r>
    <x v="5"/>
    <x v="0"/>
    <n v="24"/>
    <n v="2017"/>
    <x v="0"/>
    <n v="9"/>
    <x v="0"/>
    <s v="Yes"/>
    <x v="1"/>
    <n v="1"/>
    <x v="1"/>
    <x v="0"/>
    <s v="Yes"/>
    <x v="3"/>
    <x v="0"/>
    <x v="9"/>
    <s v="No"/>
    <s v="No"/>
    <x v="1"/>
    <s v="Software Development"/>
    <n v="2"/>
    <x v="2"/>
    <s v="Single"/>
    <x v="1"/>
    <s v="Family"/>
    <x v="0"/>
    <n v="3.39"/>
    <s v="No"/>
    <n v="3.29"/>
    <n v="90"/>
    <n v="40000"/>
    <x v="0"/>
    <x v="0"/>
    <n v="43"/>
  </r>
  <r>
    <x v="4"/>
    <x v="1"/>
    <n v="22"/>
    <n v="2018"/>
    <x v="0"/>
    <n v="11"/>
    <x v="1"/>
    <s v="No"/>
    <x v="2"/>
    <n v="1"/>
    <x v="0"/>
    <x v="0"/>
    <s v="Yes"/>
    <x v="2"/>
    <x v="0"/>
    <x v="4"/>
    <s v="No"/>
    <s v="No"/>
    <x v="0"/>
    <s v="Software Development"/>
    <n v="1"/>
    <x v="2"/>
    <s v="Single"/>
    <x v="1"/>
    <s v="Family"/>
    <x v="0"/>
    <n v="3.78"/>
    <s v="No"/>
    <n v="3.54"/>
    <n v="125"/>
    <n v="60000"/>
    <x v="1"/>
    <x v="0"/>
    <n v="47"/>
  </r>
  <r>
    <x v="5"/>
    <x v="0"/>
    <n v="25"/>
    <n v="2016"/>
    <x v="0"/>
    <n v="16"/>
    <x v="1"/>
    <s v="Yes"/>
    <x v="4"/>
    <n v="3"/>
    <x v="1"/>
    <x v="0"/>
    <s v="Yes"/>
    <x v="4"/>
    <x v="0"/>
    <x v="0"/>
    <s v="No"/>
    <s v="No"/>
    <x v="0"/>
    <s v="Software Development"/>
    <n v="4"/>
    <x v="2"/>
    <s v="Single"/>
    <x v="0"/>
    <s v="Family"/>
    <x v="0"/>
    <n v="3.51"/>
    <s v="No"/>
    <n v="3.51"/>
    <n v="143"/>
    <n v="100000"/>
    <x v="1"/>
    <x v="0"/>
    <n v="66"/>
  </r>
  <r>
    <x v="2"/>
    <x v="0"/>
    <n v="22"/>
    <n v="2016"/>
    <x v="0"/>
    <n v="7"/>
    <x v="1"/>
    <s v="Yes"/>
    <x v="1"/>
    <n v="1"/>
    <x v="0"/>
    <x v="0"/>
    <s v="Yes"/>
    <x v="2"/>
    <x v="0"/>
    <x v="23"/>
    <s v="No"/>
    <s v="No"/>
    <x v="0"/>
    <s v="Software Development"/>
    <n v="1"/>
    <x v="6"/>
    <s v="Single"/>
    <x v="1"/>
    <s v="Bachelor"/>
    <x v="1"/>
    <n v="2.92"/>
    <s v="No"/>
    <n v="2.9"/>
    <n v="58"/>
    <n v="62488"/>
    <x v="0"/>
    <x v="0"/>
    <n v="30"/>
  </r>
  <r>
    <x v="4"/>
    <x v="1"/>
    <n v="21"/>
    <n v="2019"/>
    <x v="0"/>
    <n v="8"/>
    <x v="1"/>
    <s v="Yes"/>
    <x v="3"/>
    <n v="2"/>
    <x v="0"/>
    <x v="0"/>
    <s v="Yes"/>
    <x v="1"/>
    <x v="2"/>
    <x v="0"/>
    <s v="Yes"/>
    <s v="No"/>
    <x v="0"/>
    <s v="Networking"/>
    <n v="2"/>
    <x v="4"/>
    <s v="Engaged"/>
    <x v="0"/>
    <s v="Bachelor"/>
    <x v="0"/>
    <n v="2.13"/>
    <s v="No"/>
    <n v="2.4500000000000002"/>
    <n v="87"/>
    <n v="40000"/>
    <x v="2"/>
    <x v="0"/>
    <n v="57"/>
  </r>
  <r>
    <x v="2"/>
    <x v="0"/>
    <n v="22"/>
    <n v="2019"/>
    <x v="0"/>
    <n v="7"/>
    <x v="1"/>
    <s v="No"/>
    <x v="2"/>
    <n v="1"/>
    <x v="0"/>
    <x v="0"/>
    <s v="Yes"/>
    <x v="2"/>
    <x v="0"/>
    <x v="2"/>
    <s v="No"/>
    <s v="No"/>
    <x v="1"/>
    <s v="Software Development"/>
    <n v="1"/>
    <x v="2"/>
    <s v="Single"/>
    <x v="1"/>
    <s v="Bachelor"/>
    <x v="1"/>
    <n v="3.4"/>
    <s v="No"/>
    <n v="2.8"/>
    <n v="80"/>
    <n v="35000"/>
    <x v="0"/>
    <x v="0"/>
    <n v="41"/>
  </r>
  <r>
    <x v="3"/>
    <x v="1"/>
    <n v="20"/>
    <n v="2020"/>
    <x v="0"/>
    <n v="1"/>
    <x v="0"/>
    <s v="Yes"/>
    <x v="0"/>
    <n v="2"/>
    <x v="0"/>
    <x v="0"/>
    <s v="Yes"/>
    <x v="2"/>
    <x v="0"/>
    <x v="8"/>
    <s v="No"/>
    <s v="No"/>
    <x v="0"/>
    <s v="Software Development"/>
    <n v="1"/>
    <x v="2"/>
    <s v="Single"/>
    <x v="0"/>
    <s v="Family"/>
    <x v="0"/>
    <n v="0"/>
    <s v="No"/>
    <n v="0"/>
    <n v="0"/>
    <n v="30000"/>
    <x v="2"/>
    <x v="0"/>
    <n v="51.2"/>
  </r>
  <r>
    <x v="2"/>
    <x v="1"/>
    <n v="21"/>
    <n v="2019"/>
    <x v="0"/>
    <n v="8"/>
    <x v="0"/>
    <s v="Yes"/>
    <x v="2"/>
    <n v="2"/>
    <x v="0"/>
    <x v="0"/>
    <s v="Yes"/>
    <x v="3"/>
    <x v="0"/>
    <x v="2"/>
    <s v="No"/>
    <s v="No"/>
    <x v="0"/>
    <s v="Machine Learning"/>
    <n v="3"/>
    <x v="5"/>
    <s v="Single"/>
    <x v="0"/>
    <s v="Family"/>
    <x v="1"/>
    <n v="3.4"/>
    <s v="No"/>
    <n v="3.5"/>
    <n v="87"/>
    <n v="40000"/>
    <x v="1"/>
    <x v="0"/>
    <n v="47"/>
  </r>
  <r>
    <x v="1"/>
    <x v="0"/>
    <n v="20"/>
    <n v="2020"/>
    <x v="0"/>
    <n v="4"/>
    <x v="1"/>
    <s v="Yes"/>
    <x v="1"/>
    <n v="1"/>
    <x v="0"/>
    <x v="0"/>
    <s v="Yes"/>
    <x v="3"/>
    <x v="1"/>
    <x v="5"/>
    <s v="No"/>
    <s v="No"/>
    <x v="0"/>
    <s v="Market Analysis"/>
    <n v="1"/>
    <x v="2"/>
    <s v="Single"/>
    <x v="0"/>
    <s v="Family"/>
    <x v="0"/>
    <n v="2.59"/>
    <s v="No"/>
    <n v="3.01"/>
    <n v="24"/>
    <n v="40000"/>
    <x v="0"/>
    <x v="0"/>
    <n v="46"/>
  </r>
  <r>
    <x v="2"/>
    <x v="1"/>
    <n v="21"/>
    <n v="2019"/>
    <x v="0"/>
    <n v="8"/>
    <x v="0"/>
    <s v="No"/>
    <x v="2"/>
    <n v="1"/>
    <x v="0"/>
    <x v="0"/>
    <s v="Yes"/>
    <x v="1"/>
    <x v="0"/>
    <x v="6"/>
    <s v="No"/>
    <s v="No"/>
    <x v="0"/>
    <s v="Software Development"/>
    <n v="1"/>
    <x v="2"/>
    <s v="Single"/>
    <x v="0"/>
    <s v="Family"/>
    <x v="0"/>
    <n v="3.78"/>
    <s v="No"/>
    <n v="3.77"/>
    <n v="87"/>
    <n v="15000"/>
    <x v="1"/>
    <x v="0"/>
    <n v="47.800000000000004"/>
  </r>
  <r>
    <x v="3"/>
    <x v="0"/>
    <n v="20"/>
    <n v="2020"/>
    <x v="0"/>
    <n v="2"/>
    <x v="0"/>
    <s v="Yes"/>
    <x v="2"/>
    <n v="1"/>
    <x v="1"/>
    <x v="0"/>
    <s v="Yes"/>
    <x v="9"/>
    <x v="1"/>
    <x v="4"/>
    <s v="No"/>
    <s v="No"/>
    <x v="1"/>
    <s v="Software Development"/>
    <n v="2"/>
    <x v="2"/>
    <s v="Single"/>
    <x v="1"/>
    <s v="Family"/>
    <x v="0"/>
    <n v="1.75"/>
    <s v="No"/>
    <n v="1.75"/>
    <n v="11"/>
    <n v="30000"/>
    <x v="2"/>
    <x v="0"/>
    <n v="50"/>
  </r>
  <r>
    <x v="2"/>
    <x v="0"/>
    <n v="22"/>
    <n v="2019"/>
    <x v="0"/>
    <n v="7"/>
    <x v="1"/>
    <s v="No"/>
    <x v="9"/>
    <n v="0"/>
    <x v="0"/>
    <x v="0"/>
    <s v="Yes"/>
    <x v="2"/>
    <x v="0"/>
    <x v="8"/>
    <s v="No"/>
    <s v="No"/>
    <x v="1"/>
    <s v="Software Development"/>
    <n v="0"/>
    <x v="6"/>
    <s v="Single"/>
    <x v="0"/>
    <s v="Bachelor"/>
    <x v="1"/>
    <n v="3.4"/>
    <s v="No"/>
    <n v="3.65"/>
    <n v="75"/>
    <n v="50000"/>
    <x v="1"/>
    <x v="0"/>
    <n v="39.200000000000003"/>
  </r>
  <r>
    <x v="1"/>
    <x v="1"/>
    <n v="21"/>
    <n v="2021"/>
    <x v="0"/>
    <n v="3"/>
    <x v="0"/>
    <s v="No"/>
    <x v="7"/>
    <n v="2"/>
    <x v="0"/>
    <x v="0"/>
    <s v="Yes"/>
    <x v="1"/>
    <x v="1"/>
    <x v="10"/>
    <s v="Yes"/>
    <s v="Yes"/>
    <x v="0"/>
    <s v="Software Development"/>
    <n v="1"/>
    <x v="6"/>
    <s v="Single"/>
    <x v="1"/>
    <s v="Bachelor"/>
    <x v="0"/>
    <n v="1.52"/>
    <s v="No"/>
    <n v="1.64"/>
    <n v="8"/>
    <n v="60000"/>
    <x v="2"/>
    <x v="0"/>
    <n v="63.6"/>
  </r>
  <r>
    <x v="4"/>
    <x v="1"/>
    <n v="22"/>
    <n v="2018"/>
    <x v="0"/>
    <n v="11"/>
    <x v="1"/>
    <s v="Yes"/>
    <x v="2"/>
    <n v="1"/>
    <x v="0"/>
    <x v="0"/>
    <s v="Yes"/>
    <x v="4"/>
    <x v="2"/>
    <x v="0"/>
    <s v="No"/>
    <s v="No"/>
    <x v="0"/>
    <s v="Software Development"/>
    <n v="3"/>
    <x v="4"/>
    <s v="Single"/>
    <x v="0"/>
    <s v="Family"/>
    <x v="1"/>
    <n v="3.66"/>
    <s v="No"/>
    <n v="3.37"/>
    <n v="123"/>
    <n v="60000"/>
    <x v="0"/>
    <x v="0"/>
    <n v="51"/>
  </r>
  <r>
    <x v="2"/>
    <x v="0"/>
    <n v="20"/>
    <n v="2019"/>
    <x v="0"/>
    <n v="8"/>
    <x v="1"/>
    <s v="No"/>
    <x v="1"/>
    <n v="3"/>
    <x v="0"/>
    <x v="0"/>
    <s v="Yes"/>
    <x v="2"/>
    <x v="0"/>
    <x v="0"/>
    <s v="Yes"/>
    <s v="No"/>
    <x v="1"/>
    <s v="Software Development"/>
    <n v="3"/>
    <x v="2"/>
    <s v="Single"/>
    <x v="0"/>
    <s v="Bachelor"/>
    <x v="0"/>
    <n v="3.5"/>
    <s v="No"/>
    <n v="3.12"/>
    <n v="90"/>
    <n v="25000"/>
    <x v="0"/>
    <x v="0"/>
    <n v="48"/>
  </r>
  <r>
    <x v="4"/>
    <x v="1"/>
    <n v="23"/>
    <n v="2017"/>
    <x v="0"/>
    <n v="11"/>
    <x v="1"/>
    <s v="Yes"/>
    <x v="2"/>
    <n v="1"/>
    <x v="0"/>
    <x v="0"/>
    <s v="Yes"/>
    <x v="4"/>
    <x v="0"/>
    <x v="7"/>
    <s v="No"/>
    <s v="No"/>
    <x v="0"/>
    <s v="Software Development"/>
    <n v="2"/>
    <x v="2"/>
    <s v="Single"/>
    <x v="0"/>
    <s v="Family"/>
    <x v="0"/>
    <n v="3.59"/>
    <s v="No"/>
    <n v="3.55"/>
    <n v="123"/>
    <n v="50000"/>
    <x v="1"/>
    <x v="0"/>
    <n v="40"/>
  </r>
  <r>
    <x v="1"/>
    <x v="0"/>
    <n v="20"/>
    <n v="2019"/>
    <x v="0"/>
    <n v="3"/>
    <x v="0"/>
    <s v="No"/>
    <x v="5"/>
    <n v="2"/>
    <x v="0"/>
    <x v="0"/>
    <s v="Yes"/>
    <x v="1"/>
    <x v="1"/>
    <x v="5"/>
    <s v="No"/>
    <s v="No"/>
    <x v="0"/>
    <s v="Software Development"/>
    <n v="3"/>
    <x v="2"/>
    <s v="Single"/>
    <x v="1"/>
    <s v="Bachelor"/>
    <x v="0"/>
    <n v="3.03"/>
    <s v="No"/>
    <n v="3.03"/>
    <n v="23"/>
    <n v="7000"/>
    <x v="0"/>
    <x v="0"/>
    <n v="61"/>
  </r>
  <r>
    <x v="2"/>
    <x v="0"/>
    <n v="23"/>
    <n v="2018"/>
    <x v="0"/>
    <n v="8"/>
    <x v="0"/>
    <s v="No"/>
    <x v="2"/>
    <n v="3"/>
    <x v="0"/>
    <x v="0"/>
    <s v="Yes"/>
    <x v="2"/>
    <x v="1"/>
    <x v="0"/>
    <s v="No"/>
    <s v="No"/>
    <x v="0"/>
    <s v="Software Development"/>
    <n v="1"/>
    <x v="2"/>
    <s v="Single"/>
    <x v="1"/>
    <s v="Bachelor"/>
    <x v="1"/>
    <n v="3.94"/>
    <s v="No"/>
    <n v="3.9"/>
    <n v="91"/>
    <n v="20000"/>
    <x v="1"/>
    <x v="0"/>
    <n v="45"/>
  </r>
  <r>
    <x v="1"/>
    <x v="0"/>
    <n v="21"/>
    <n v="2020"/>
    <x v="0"/>
    <n v="2"/>
    <x v="0"/>
    <s v="Yes"/>
    <x v="0"/>
    <n v="2"/>
    <x v="0"/>
    <x v="0"/>
    <s v="Yes"/>
    <x v="2"/>
    <x v="0"/>
    <x v="4"/>
    <s v="No"/>
    <s v="No"/>
    <x v="0"/>
    <s v="Software Development"/>
    <n v="3"/>
    <x v="6"/>
    <s v="Single"/>
    <x v="0"/>
    <s v="Family"/>
    <x v="0"/>
    <n v="4"/>
    <s v="No"/>
    <n v="4"/>
    <n v="12"/>
    <n v="40000"/>
    <x v="1"/>
    <x v="0"/>
    <n v="56"/>
  </r>
  <r>
    <x v="2"/>
    <x v="1"/>
    <n v="22"/>
    <n v="2019"/>
    <x v="0"/>
    <n v="7"/>
    <x v="1"/>
    <s v="Yes"/>
    <x v="0"/>
    <n v="2"/>
    <x v="0"/>
    <x v="0"/>
    <s v="Yes"/>
    <x v="4"/>
    <x v="0"/>
    <x v="6"/>
    <s v="No"/>
    <s v="No"/>
    <x v="0"/>
    <s v="Software Development"/>
    <n v="3"/>
    <x v="6"/>
    <s v="Single"/>
    <x v="1"/>
    <s v="Family"/>
    <x v="0"/>
    <n v="3.49"/>
    <s v="No"/>
    <n v="3.44"/>
    <n v="80"/>
    <n v="45000"/>
    <x v="0"/>
    <x v="0"/>
    <n v="56.800000000000004"/>
  </r>
  <r>
    <x v="2"/>
    <x v="1"/>
    <n v="21"/>
    <n v="2019"/>
    <x v="0"/>
    <n v="8"/>
    <x v="0"/>
    <s v="Yes"/>
    <x v="1"/>
    <n v="3"/>
    <x v="1"/>
    <x v="0"/>
    <s v="Yes"/>
    <x v="3"/>
    <x v="0"/>
    <x v="0"/>
    <s v="No"/>
    <s v="No"/>
    <x v="0"/>
    <s v="Cyber security"/>
    <n v="1"/>
    <x v="7"/>
    <s v="Single"/>
    <x v="0"/>
    <s v="Family"/>
    <x v="1"/>
    <n v="3"/>
    <s v="No"/>
    <n v="3.1"/>
    <n v="87"/>
    <n v="30000"/>
    <x v="0"/>
    <x v="0"/>
    <n v="42"/>
  </r>
  <r>
    <x v="4"/>
    <x v="0"/>
    <n v="24"/>
    <n v="2018"/>
    <x v="0"/>
    <n v="11"/>
    <x v="1"/>
    <s v="Yes"/>
    <x v="0"/>
    <n v="2"/>
    <x v="1"/>
    <x v="0"/>
    <s v="Yes"/>
    <x v="3"/>
    <x v="0"/>
    <x v="30"/>
    <s v="No"/>
    <s v="No"/>
    <x v="0"/>
    <s v="Software Development"/>
    <n v="6"/>
    <x v="6"/>
    <s v="Single"/>
    <x v="0"/>
    <s v="Family"/>
    <x v="0"/>
    <n v="3.45"/>
    <s v="No"/>
    <n v="3.34"/>
    <n v="117"/>
    <n v="19000"/>
    <x v="0"/>
    <x v="0"/>
    <n v="63.4"/>
  </r>
  <r>
    <x v="2"/>
    <x v="0"/>
    <n v="20"/>
    <n v="2019"/>
    <x v="0"/>
    <n v="6"/>
    <x v="1"/>
    <s v="No"/>
    <x v="2"/>
    <n v="1"/>
    <x v="0"/>
    <x v="0"/>
    <s v="Yes"/>
    <x v="4"/>
    <x v="0"/>
    <x v="0"/>
    <s v="No"/>
    <s v="No"/>
    <x v="1"/>
    <s v="Software Development"/>
    <n v="2"/>
    <x v="4"/>
    <s v="Single"/>
    <x v="1"/>
    <s v="Family"/>
    <x v="1"/>
    <n v="3.58"/>
    <s v="No"/>
    <n v="3.5"/>
    <n v="72"/>
    <n v="50000"/>
    <x v="1"/>
    <x v="0"/>
    <n v="48"/>
  </r>
  <r>
    <x v="4"/>
    <x v="1"/>
    <n v="21"/>
    <n v="2018"/>
    <x v="0"/>
    <n v="11"/>
    <x v="1"/>
    <s v="No"/>
    <x v="5"/>
    <n v="3"/>
    <x v="1"/>
    <x v="0"/>
    <s v="Yes"/>
    <x v="1"/>
    <x v="2"/>
    <x v="2"/>
    <s v="Yes"/>
    <s v="Yes"/>
    <x v="0"/>
    <s v="Software Development"/>
    <n v="1"/>
    <x v="4"/>
    <s v="Married"/>
    <x v="1"/>
    <s v="Family"/>
    <x v="0"/>
    <n v="2.96"/>
    <s v="No"/>
    <n v="2.61"/>
    <n v="96"/>
    <n v="100000"/>
    <x v="0"/>
    <x v="0"/>
    <n v="47"/>
  </r>
  <r>
    <x v="1"/>
    <x v="1"/>
    <n v="21"/>
    <n v="2019"/>
    <x v="0"/>
    <n v="3"/>
    <x v="0"/>
    <s v="No"/>
    <x v="2"/>
    <n v="1"/>
    <x v="0"/>
    <x v="0"/>
    <s v="Yes"/>
    <x v="2"/>
    <x v="0"/>
    <x v="0"/>
    <s v="No"/>
    <s v="No"/>
    <x v="0"/>
    <s v="Software Development"/>
    <n v="1"/>
    <x v="2"/>
    <s v="Single"/>
    <x v="0"/>
    <s v="Bachelor"/>
    <x v="0"/>
    <n v="3.38"/>
    <s v="No"/>
    <n v="3.53"/>
    <n v="24"/>
    <n v="40000"/>
    <x v="1"/>
    <x v="0"/>
    <n v="45"/>
  </r>
  <r>
    <x v="1"/>
    <x v="1"/>
    <n v="20"/>
    <n v="2020"/>
    <x v="0"/>
    <n v="3"/>
    <x v="0"/>
    <s v="No"/>
    <x v="2"/>
    <n v="1"/>
    <x v="0"/>
    <x v="0"/>
    <s v="Yes"/>
    <x v="1"/>
    <x v="0"/>
    <x v="4"/>
    <s v="No"/>
    <s v="No"/>
    <x v="0"/>
    <s v="Software Development"/>
    <n v="1"/>
    <x v="2"/>
    <s v="Single"/>
    <x v="0"/>
    <s v="Bachelor"/>
    <x v="0"/>
    <n v="3.12"/>
    <s v="No"/>
    <n v="3.07"/>
    <n v="24"/>
    <n v="50000"/>
    <x v="0"/>
    <x v="0"/>
    <n v="47"/>
  </r>
  <r>
    <x v="0"/>
    <x v="0"/>
    <n v="24"/>
    <n v="2017"/>
    <x v="0"/>
    <n v="13"/>
    <x v="1"/>
    <s v="No"/>
    <x v="0"/>
    <n v="1"/>
    <x v="1"/>
    <x v="0"/>
    <s v="Yes"/>
    <x v="2"/>
    <x v="1"/>
    <x v="8"/>
    <s v="Yes"/>
    <s v="No"/>
    <x v="0"/>
    <s v="Software Development"/>
    <n v="2"/>
    <x v="7"/>
    <s v="Married"/>
    <x v="1"/>
    <s v="Bachelor"/>
    <x v="0"/>
    <n v="2.86"/>
    <s v="No"/>
    <n v="2.88"/>
    <n v="133"/>
    <n v="30000"/>
    <x v="0"/>
    <x v="0"/>
    <n v="54.2"/>
  </r>
  <r>
    <x v="4"/>
    <x v="1"/>
    <n v="20"/>
    <n v="2019"/>
    <x v="0"/>
    <n v="10"/>
    <x v="1"/>
    <s v="No"/>
    <x v="5"/>
    <n v="2"/>
    <x v="0"/>
    <x v="0"/>
    <s v="Yes"/>
    <x v="3"/>
    <x v="1"/>
    <x v="0"/>
    <s v="No"/>
    <s v="No"/>
    <x v="0"/>
    <s v="Software Development"/>
    <n v="1"/>
    <x v="0"/>
    <s v="Single"/>
    <x v="1"/>
    <s v="Family"/>
    <x v="0"/>
    <n v="3.1"/>
    <s v="No"/>
    <n v="3.27"/>
    <n v="88"/>
    <n v="45000"/>
    <x v="0"/>
    <x v="0"/>
    <n v="51"/>
  </r>
  <r>
    <x v="1"/>
    <x v="0"/>
    <n v="23"/>
    <n v="2020"/>
    <x v="0"/>
    <n v="2"/>
    <x v="0"/>
    <s v="Yes"/>
    <x v="1"/>
    <n v="2"/>
    <x v="0"/>
    <x v="0"/>
    <s v="Yes"/>
    <x v="3"/>
    <x v="0"/>
    <x v="4"/>
    <s v="No"/>
    <s v="No"/>
    <x v="1"/>
    <s v="Software Development"/>
    <n v="2"/>
    <x v="2"/>
    <s v="Single"/>
    <x v="1"/>
    <s v="Family"/>
    <x v="0"/>
    <n v="3.92"/>
    <s v="No"/>
    <n v="3.92"/>
    <n v="11"/>
    <n v="20000"/>
    <x v="1"/>
    <x v="0"/>
    <n v="47"/>
  </r>
  <r>
    <x v="0"/>
    <x v="0"/>
    <n v="24"/>
    <n v="2017"/>
    <x v="0"/>
    <n v="14"/>
    <x v="1"/>
    <s v="No"/>
    <x v="0"/>
    <n v="3"/>
    <x v="0"/>
    <x v="0"/>
    <s v="Yes"/>
    <x v="0"/>
    <x v="2"/>
    <x v="4"/>
    <s v="Yes"/>
    <s v="No"/>
    <x v="1"/>
    <s v="Software Development"/>
    <n v="2"/>
    <x v="2"/>
    <s v="Relationship"/>
    <x v="1"/>
    <s v="Family"/>
    <x v="0"/>
    <n v="2.76"/>
    <s v="No"/>
    <n v="2.64"/>
    <n v="136"/>
    <n v="25000"/>
    <x v="0"/>
    <x v="0"/>
    <n v="53"/>
  </r>
  <r>
    <x v="4"/>
    <x v="1"/>
    <n v="22"/>
    <n v="2018"/>
    <x v="0"/>
    <n v="10"/>
    <x v="0"/>
    <s v="No"/>
    <x v="2"/>
    <n v="1"/>
    <x v="0"/>
    <x v="0"/>
    <s v="Yes"/>
    <x v="5"/>
    <x v="0"/>
    <x v="7"/>
    <s v="No"/>
    <s v="No"/>
    <x v="0"/>
    <s v="Python"/>
    <n v="1"/>
    <x v="5"/>
    <s v="Single"/>
    <x v="0"/>
    <s v="Bachelor"/>
    <x v="1"/>
    <n v="3.52"/>
    <s v="No"/>
    <n v="3.78"/>
    <n v="112"/>
    <n v="62488"/>
    <x v="1"/>
    <x v="0"/>
    <n v="37"/>
  </r>
  <r>
    <x v="4"/>
    <x v="0"/>
    <n v="23"/>
    <n v="2017"/>
    <x v="0"/>
    <n v="11"/>
    <x v="0"/>
    <s v="No"/>
    <x v="0"/>
    <n v="2"/>
    <x v="0"/>
    <x v="1"/>
    <s v="Yes"/>
    <x v="3"/>
    <x v="0"/>
    <x v="0"/>
    <s v="No"/>
    <s v="No"/>
    <x v="1"/>
    <s v="Software Development"/>
    <n v="3"/>
    <x v="2"/>
    <s v="Relationship"/>
    <x v="0"/>
    <s v="Bachelor"/>
    <x v="0"/>
    <n v="4"/>
    <s v="No"/>
    <n v="3.9"/>
    <n v="123"/>
    <n v="25000"/>
    <x v="1"/>
    <x v="0"/>
    <n v="54"/>
  </r>
  <r>
    <x v="2"/>
    <x v="0"/>
    <n v="23"/>
    <n v="2019"/>
    <x v="0"/>
    <n v="8"/>
    <x v="0"/>
    <s v="Yes"/>
    <x v="0"/>
    <n v="1"/>
    <x v="0"/>
    <x v="0"/>
    <s v="Yes"/>
    <x v="1"/>
    <x v="2"/>
    <x v="0"/>
    <s v="No"/>
    <s v="No"/>
    <x v="1"/>
    <s v="Software Development"/>
    <n v="2"/>
    <x v="5"/>
    <s v="Single"/>
    <x v="1"/>
    <s v="Family"/>
    <x v="0"/>
    <n v="3.84"/>
    <s v="No"/>
    <n v="3.78"/>
    <n v="90"/>
    <n v="62488"/>
    <x v="1"/>
    <x v="0"/>
    <n v="51"/>
  </r>
  <r>
    <x v="4"/>
    <x v="1"/>
    <n v="22"/>
    <n v="2018"/>
    <x v="0"/>
    <n v="11"/>
    <x v="1"/>
    <s v="Yes"/>
    <x v="1"/>
    <n v="1"/>
    <x v="0"/>
    <x v="0"/>
    <s v="Yes"/>
    <x v="5"/>
    <x v="0"/>
    <x v="31"/>
    <s v="No"/>
    <s v="No"/>
    <x v="1"/>
    <s v="Software Development"/>
    <n v="2"/>
    <x v="2"/>
    <s v="Single"/>
    <x v="1"/>
    <s v="Family"/>
    <x v="0"/>
    <n v="3.44"/>
    <s v="No"/>
    <n v="3.46"/>
    <n v="125"/>
    <n v="300000"/>
    <x v="0"/>
    <x v="0"/>
    <n v="43.4"/>
  </r>
  <r>
    <x v="4"/>
    <x v="0"/>
    <n v="21"/>
    <n v="2018"/>
    <x v="0"/>
    <n v="10"/>
    <x v="1"/>
    <s v="Yes"/>
    <x v="0"/>
    <n v="3"/>
    <x v="1"/>
    <x v="0"/>
    <s v="Yes"/>
    <x v="2"/>
    <x v="1"/>
    <x v="10"/>
    <s v="No"/>
    <s v="No"/>
    <x v="0"/>
    <s v="Software Development"/>
    <n v="1"/>
    <x v="2"/>
    <s v="Single"/>
    <x v="1"/>
    <s v="Bachelor"/>
    <x v="0"/>
    <n v="3.11"/>
    <s v="No"/>
    <n v="3"/>
    <n v="105"/>
    <n v="62488"/>
    <x v="0"/>
    <x v="0"/>
    <n v="51.6"/>
  </r>
  <r>
    <x v="3"/>
    <x v="0"/>
    <n v="21"/>
    <n v="2020"/>
    <x v="0"/>
    <n v="2"/>
    <x v="0"/>
    <s v="Yes"/>
    <x v="5"/>
    <n v="1"/>
    <x v="0"/>
    <x v="0"/>
    <s v="Yes"/>
    <x v="2"/>
    <x v="1"/>
    <x v="5"/>
    <s v="No"/>
    <s v="No"/>
    <x v="0"/>
    <s v="Software Development"/>
    <n v="1"/>
    <x v="2"/>
    <s v="Single"/>
    <x v="0"/>
    <s v="Bachelor"/>
    <x v="0"/>
    <n v="2.98"/>
    <s v="No"/>
    <n v="2.98"/>
    <n v="11"/>
    <n v="30000"/>
    <x v="0"/>
    <x v="0"/>
    <n v="55"/>
  </r>
  <r>
    <x v="3"/>
    <x v="0"/>
    <n v="20"/>
    <n v="2020"/>
    <x v="0"/>
    <n v="2"/>
    <x v="0"/>
    <s v="No"/>
    <x v="0"/>
    <n v="2"/>
    <x v="0"/>
    <x v="0"/>
    <s v="Yes"/>
    <x v="5"/>
    <x v="1"/>
    <x v="5"/>
    <s v="No"/>
    <s v="No"/>
    <x v="1"/>
    <s v="Software Development"/>
    <n v="3"/>
    <x v="2"/>
    <s v="Single"/>
    <x v="1"/>
    <s v="Bachelor"/>
    <x v="0"/>
    <n v="3.43"/>
    <s v="No"/>
    <n v="3.43"/>
    <n v="12"/>
    <n v="25000"/>
    <x v="0"/>
    <x v="0"/>
    <n v="58"/>
  </r>
  <r>
    <x v="3"/>
    <x v="0"/>
    <n v="21"/>
    <n v="2020"/>
    <x v="0"/>
    <n v="2"/>
    <x v="0"/>
    <s v="No"/>
    <x v="8"/>
    <n v="3"/>
    <x v="0"/>
    <x v="0"/>
    <s v="Yes"/>
    <x v="1"/>
    <x v="2"/>
    <x v="0"/>
    <s v="No"/>
    <s v="No"/>
    <x v="0"/>
    <s v="Software Development"/>
    <n v="2"/>
    <x v="2"/>
    <s v="Single"/>
    <x v="0"/>
    <s v="Bachelor"/>
    <x v="0"/>
    <n v="3.98"/>
    <s v="No"/>
    <n v="3.98"/>
    <n v="28"/>
    <n v="40000"/>
    <x v="1"/>
    <x v="0"/>
    <n v="69"/>
  </r>
  <r>
    <x v="10"/>
    <x v="1"/>
    <n v="26"/>
    <n v="2012"/>
    <x v="0"/>
    <n v="9"/>
    <x v="1"/>
    <s v="Yes"/>
    <x v="2"/>
    <n v="2"/>
    <x v="0"/>
    <x v="0"/>
    <s v="Yes"/>
    <x v="2"/>
    <x v="1"/>
    <x v="0"/>
    <s v="Yes"/>
    <s v="No"/>
    <x v="0"/>
    <s v="Networking"/>
    <n v="3"/>
    <x v="4"/>
    <s v="Married"/>
    <x v="0"/>
    <s v="Family"/>
    <x v="0"/>
    <n v="3.08"/>
    <s v="No"/>
    <n v="3.15"/>
    <n v="89"/>
    <n v="50000"/>
    <x v="0"/>
    <x v="0"/>
    <n v="51"/>
  </r>
  <r>
    <x v="4"/>
    <x v="1"/>
    <n v="22"/>
    <n v="2017"/>
    <x v="0"/>
    <n v="11"/>
    <x v="1"/>
    <s v="No"/>
    <x v="2"/>
    <n v="2"/>
    <x v="1"/>
    <x v="0"/>
    <s v="Yes"/>
    <x v="2"/>
    <x v="0"/>
    <x v="5"/>
    <s v="No"/>
    <s v="No"/>
    <x v="0"/>
    <s v="Software Development"/>
    <n v="5"/>
    <x v="5"/>
    <s v="Single"/>
    <x v="0"/>
    <s v="Family"/>
    <x v="1"/>
    <n v="3.1"/>
    <s v="No"/>
    <n v="3.16"/>
    <n v="122"/>
    <n v="20000"/>
    <x v="0"/>
    <x v="0"/>
    <n v="61"/>
  </r>
  <r>
    <x v="1"/>
    <x v="0"/>
    <n v="19"/>
    <n v="2020"/>
    <x v="0"/>
    <n v="4"/>
    <x v="1"/>
    <s v="Yes"/>
    <x v="0"/>
    <n v="2"/>
    <x v="0"/>
    <x v="0"/>
    <s v="Yes"/>
    <x v="3"/>
    <x v="1"/>
    <x v="4"/>
    <s v="Yes"/>
    <s v="No"/>
    <x v="1"/>
    <s v="Problem solving"/>
    <n v="1"/>
    <x v="2"/>
    <s v="Single"/>
    <x v="1"/>
    <s v="Family"/>
    <x v="0"/>
    <n v="2.37"/>
    <s v="No"/>
    <n v="2.46"/>
    <n v="31"/>
    <n v="50000"/>
    <x v="2"/>
    <x v="0"/>
    <n v="50"/>
  </r>
  <r>
    <x v="3"/>
    <x v="0"/>
    <n v="20"/>
    <n v="2018"/>
    <x v="0"/>
    <n v="1"/>
    <x v="0"/>
    <s v="No"/>
    <x v="5"/>
    <n v="2"/>
    <x v="0"/>
    <x v="0"/>
    <s v="Yes"/>
    <x v="2"/>
    <x v="0"/>
    <x v="9"/>
    <s v="No"/>
    <s v="No"/>
    <x v="1"/>
    <s v="Software Development"/>
    <n v="2"/>
    <x v="2"/>
    <s v="Single"/>
    <x v="0"/>
    <s v="Bachelor"/>
    <x v="0"/>
    <n v="0"/>
    <s v="No"/>
    <n v="0"/>
    <n v="0"/>
    <n v="30000"/>
    <x v="2"/>
    <x v="0"/>
    <n v="52"/>
  </r>
  <r>
    <x v="3"/>
    <x v="0"/>
    <n v="21"/>
    <n v="2019"/>
    <x v="0"/>
    <n v="2"/>
    <x v="0"/>
    <s v="No"/>
    <x v="1"/>
    <n v="2"/>
    <x v="0"/>
    <x v="0"/>
    <s v="Yes"/>
    <x v="2"/>
    <x v="1"/>
    <x v="0"/>
    <s v="No"/>
    <s v="No"/>
    <x v="1"/>
    <s v="Software Development"/>
    <n v="1"/>
    <x v="2"/>
    <s v="Single"/>
    <x v="1"/>
    <s v="Bachelor"/>
    <x v="0"/>
    <n v="3.58"/>
    <s v="No"/>
    <n v="3.58"/>
    <n v="12"/>
    <n v="40000"/>
    <x v="1"/>
    <x v="0"/>
    <n v="42"/>
  </r>
  <r>
    <x v="4"/>
    <x v="0"/>
    <n v="22"/>
    <n v="2019"/>
    <x v="0"/>
    <n v="8"/>
    <x v="0"/>
    <s v="Yes"/>
    <x v="5"/>
    <n v="2"/>
    <x v="0"/>
    <x v="0"/>
    <s v="Yes"/>
    <x v="1"/>
    <x v="2"/>
    <x v="5"/>
    <s v="No"/>
    <s v="Yes"/>
    <x v="0"/>
    <s v="Software Development"/>
    <n v="4"/>
    <x v="4"/>
    <s v="Single"/>
    <x v="0"/>
    <s v="Bachelor"/>
    <x v="1"/>
    <n v="3.36"/>
    <s v="Yes"/>
    <n v="3.47"/>
    <n v="87"/>
    <n v="80000"/>
    <x v="0"/>
    <x v="0"/>
    <n v="64"/>
  </r>
  <r>
    <x v="3"/>
    <x v="1"/>
    <n v="18"/>
    <n v="2021"/>
    <x v="0"/>
    <n v="1"/>
    <x v="0"/>
    <s v="Yes"/>
    <x v="0"/>
    <n v="2"/>
    <x v="0"/>
    <x v="0"/>
    <s v="Yes"/>
    <x v="2"/>
    <x v="2"/>
    <x v="4"/>
    <s v="No"/>
    <s v="No"/>
    <x v="0"/>
    <s v="Haven't started yet"/>
    <n v="1"/>
    <x v="2"/>
    <s v="Single"/>
    <x v="1"/>
    <s v="Family"/>
    <x v="0"/>
    <n v="0"/>
    <s v="No"/>
    <n v="0"/>
    <n v="0"/>
    <n v="150000"/>
    <x v="2"/>
    <x v="0"/>
    <n v="50"/>
  </r>
  <r>
    <x v="3"/>
    <x v="1"/>
    <n v="20"/>
    <n v="2021"/>
    <x v="0"/>
    <n v="1"/>
    <x v="0"/>
    <s v="No"/>
    <x v="2"/>
    <n v="2"/>
    <x v="1"/>
    <x v="0"/>
    <s v="Yes"/>
    <x v="3"/>
    <x v="0"/>
    <x v="4"/>
    <s v="No"/>
    <s v="No"/>
    <x v="0"/>
    <s v="Haven't started yet"/>
    <n v="2"/>
    <x v="2"/>
    <s v="Single"/>
    <x v="1"/>
    <s v="Family"/>
    <x v="0"/>
    <n v="0"/>
    <s v="No"/>
    <n v="0"/>
    <n v="0"/>
    <n v="45000"/>
    <x v="2"/>
    <x v="0"/>
    <n v="50"/>
  </r>
  <r>
    <x v="3"/>
    <x v="0"/>
    <n v="19"/>
    <n v="2021"/>
    <x v="0"/>
    <n v="1"/>
    <x v="0"/>
    <s v="Yes"/>
    <x v="5"/>
    <n v="2"/>
    <x v="0"/>
    <x v="0"/>
    <s v="Yes"/>
    <x v="2"/>
    <x v="1"/>
    <x v="32"/>
    <s v="No"/>
    <s v="No"/>
    <x v="0"/>
    <s v="Software Development"/>
    <n v="2"/>
    <x v="2"/>
    <s v="Single"/>
    <x v="0"/>
    <s v="Bachelor"/>
    <x v="0"/>
    <n v="0"/>
    <s v="No"/>
    <n v="0"/>
    <n v="0"/>
    <n v="20000"/>
    <x v="2"/>
    <x v="0"/>
    <n v="42.8"/>
  </r>
  <r>
    <x v="1"/>
    <x v="0"/>
    <n v="22"/>
    <n v="2020"/>
    <x v="0"/>
    <n v="5"/>
    <x v="1"/>
    <s v="Yes"/>
    <x v="0"/>
    <n v="3"/>
    <x v="0"/>
    <x v="0"/>
    <s v="Yes"/>
    <x v="1"/>
    <x v="0"/>
    <x v="0"/>
    <s v="Yes"/>
    <s v="No"/>
    <x v="0"/>
    <s v="Software Development"/>
    <n v="2"/>
    <x v="2"/>
    <s v="Single"/>
    <x v="0"/>
    <s v="Bachelor"/>
    <x v="1"/>
    <n v="2.9"/>
    <s v="No"/>
    <n v="2.19"/>
    <n v="36"/>
    <n v="60000"/>
    <x v="2"/>
    <x v="0"/>
    <n v="51"/>
  </r>
  <r>
    <x v="3"/>
    <x v="0"/>
    <n v="20"/>
    <n v="2019"/>
    <x v="0"/>
    <n v="2"/>
    <x v="1"/>
    <s v="No"/>
    <x v="5"/>
    <n v="2"/>
    <x v="0"/>
    <x v="0"/>
    <s v="Yes"/>
    <x v="1"/>
    <x v="0"/>
    <x v="0"/>
    <s v="No"/>
    <s v="No"/>
    <x v="0"/>
    <s v="Software Development"/>
    <n v="1"/>
    <x v="2"/>
    <s v="Single"/>
    <x v="0"/>
    <s v="Bachelor"/>
    <x v="0"/>
    <n v="3.32"/>
    <s v="No"/>
    <n v="3.25"/>
    <n v="12"/>
    <n v="30000"/>
    <x v="0"/>
    <x v="0"/>
    <n v="51"/>
  </r>
  <r>
    <x v="2"/>
    <x v="0"/>
    <n v="22"/>
    <n v="2019"/>
    <x v="0"/>
    <n v="8"/>
    <x v="1"/>
    <s v="No"/>
    <x v="4"/>
    <n v="2"/>
    <x v="0"/>
    <x v="0"/>
    <s v="Yes"/>
    <x v="2"/>
    <x v="0"/>
    <x v="33"/>
    <s v="Yes"/>
    <s v="No"/>
    <x v="0"/>
    <s v="Software Development"/>
    <n v="1"/>
    <x v="2"/>
    <s v="Single"/>
    <x v="1"/>
    <s v="Bachelor"/>
    <x v="0"/>
    <n v="3.3"/>
    <s v="No"/>
    <n v="3.15"/>
    <n v="90"/>
    <n v="36000"/>
    <x v="0"/>
    <x v="0"/>
    <n v="21"/>
  </r>
  <r>
    <x v="4"/>
    <x v="0"/>
    <n v="23"/>
    <n v="2017"/>
    <x v="0"/>
    <n v="10"/>
    <x v="1"/>
    <s v="No"/>
    <x v="5"/>
    <n v="2"/>
    <x v="0"/>
    <x v="0"/>
    <s v="Yes"/>
    <x v="1"/>
    <x v="0"/>
    <x v="4"/>
    <s v="No"/>
    <s v="No"/>
    <x v="1"/>
    <s v="Software Development"/>
    <n v="6"/>
    <x v="2"/>
    <s v="Single"/>
    <x v="1"/>
    <s v="Bachelor"/>
    <x v="0"/>
    <n v="3.92"/>
    <s v="No"/>
    <n v="3.78"/>
    <n v="123"/>
    <n v="30000"/>
    <x v="1"/>
    <x v="0"/>
    <n v="68"/>
  </r>
  <r>
    <x v="8"/>
    <x v="1"/>
    <n v="25"/>
    <n v="2013"/>
    <x v="0"/>
    <n v="24"/>
    <x v="1"/>
    <s v="No"/>
    <x v="1"/>
    <n v="1"/>
    <x v="1"/>
    <x v="0"/>
    <s v="Yes"/>
    <x v="10"/>
    <x v="0"/>
    <x v="2"/>
    <s v="Yes"/>
    <s v="Yes"/>
    <x v="0"/>
    <s v="Software Development"/>
    <n v="4"/>
    <x v="2"/>
    <s v="Married"/>
    <x v="1"/>
    <s v="Family"/>
    <x v="1"/>
    <n v="2.8"/>
    <s v="Yes"/>
    <n v="2.5"/>
    <n v="115"/>
    <n v="20000"/>
    <x v="0"/>
    <x v="0"/>
    <n v="47"/>
  </r>
  <r>
    <x v="3"/>
    <x v="0"/>
    <n v="21"/>
    <n v="2020"/>
    <x v="0"/>
    <n v="2"/>
    <x v="0"/>
    <s v="No"/>
    <x v="0"/>
    <n v="2"/>
    <x v="1"/>
    <x v="0"/>
    <s v="No"/>
    <x v="1"/>
    <x v="0"/>
    <x v="8"/>
    <s v="Yes"/>
    <s v="No"/>
    <x v="0"/>
    <s v="Software Development"/>
    <n v="2"/>
    <x v="2"/>
    <s v="Single"/>
    <x v="0"/>
    <s v="Bachelor"/>
    <x v="0"/>
    <n v="3.33"/>
    <s v="No"/>
    <n v="2.9"/>
    <n v="12"/>
    <n v="20000"/>
    <x v="0"/>
    <x v="0"/>
    <n v="54.2"/>
  </r>
  <r>
    <x v="2"/>
    <x v="0"/>
    <n v="22"/>
    <n v="2017"/>
    <x v="0"/>
    <n v="8"/>
    <x v="0"/>
    <s v="No"/>
    <x v="0"/>
    <n v="2"/>
    <x v="0"/>
    <x v="0"/>
    <s v="Yes"/>
    <x v="3"/>
    <x v="0"/>
    <x v="17"/>
    <s v="No"/>
    <s v="No"/>
    <x v="1"/>
    <s v="Software Development"/>
    <n v="3"/>
    <x v="2"/>
    <s v="Single"/>
    <x v="1"/>
    <s v="Bachelor"/>
    <x v="0"/>
    <n v="3.54"/>
    <s v="No"/>
    <n v="3.4"/>
    <n v="87"/>
    <n v="30000"/>
    <x v="0"/>
    <x v="0"/>
    <n v="52.800000000000004"/>
  </r>
  <r>
    <x v="2"/>
    <x v="0"/>
    <n v="23"/>
    <n v="2018"/>
    <x v="0"/>
    <n v="8"/>
    <x v="0"/>
    <s v="Yes"/>
    <x v="3"/>
    <n v="6"/>
    <x v="0"/>
    <x v="0"/>
    <s v="Yes"/>
    <x v="2"/>
    <x v="0"/>
    <x v="8"/>
    <s v="No"/>
    <s v="No"/>
    <x v="1"/>
    <s v="Software Development"/>
    <n v="2"/>
    <x v="4"/>
    <s v="Single"/>
    <x v="1"/>
    <s v="Bachelor"/>
    <x v="0"/>
    <n v="3.66"/>
    <s v="No"/>
    <n v="3.81"/>
    <n v="87"/>
    <n v="38000"/>
    <x v="1"/>
    <x v="0"/>
    <n v="60.2"/>
  </r>
  <r>
    <x v="4"/>
    <x v="0"/>
    <n v="24"/>
    <n v="2018"/>
    <x v="0"/>
    <n v="11"/>
    <x v="1"/>
    <s v="No"/>
    <x v="2"/>
    <n v="2"/>
    <x v="0"/>
    <x v="0"/>
    <s v="Yes"/>
    <x v="2"/>
    <x v="0"/>
    <x v="2"/>
    <s v="No"/>
    <s v="No"/>
    <x v="0"/>
    <s v="Software Development"/>
    <n v="3"/>
    <x v="2"/>
    <s v="Single"/>
    <x v="0"/>
    <s v="Bachelor"/>
    <x v="0"/>
    <n v="3.78"/>
    <s v="No"/>
    <n v="3.13"/>
    <n v="124"/>
    <n v="15000"/>
    <x v="0"/>
    <x v="0"/>
    <n v="47"/>
  </r>
  <r>
    <x v="2"/>
    <x v="0"/>
    <n v="21"/>
    <n v="2019"/>
    <x v="0"/>
    <n v="8"/>
    <x v="1"/>
    <s v="No"/>
    <x v="3"/>
    <n v="4"/>
    <x v="0"/>
    <x v="0"/>
    <s v="Yes"/>
    <x v="1"/>
    <x v="0"/>
    <x v="10"/>
    <s v="No"/>
    <s v="No"/>
    <x v="0"/>
    <s v="Software Development"/>
    <n v="1"/>
    <x v="2"/>
    <s v="Single"/>
    <x v="0"/>
    <s v="Family"/>
    <x v="1"/>
    <n v="3.82"/>
    <s v="No"/>
    <n v="3.81"/>
    <n v="89"/>
    <n v="15000"/>
    <x v="1"/>
    <x v="0"/>
    <n v="57.6"/>
  </r>
  <r>
    <x v="4"/>
    <x v="1"/>
    <n v="23"/>
    <n v="2018"/>
    <x v="0"/>
    <n v="11"/>
    <x v="0"/>
    <s v="Yes"/>
    <x v="5"/>
    <n v="1"/>
    <x v="0"/>
    <x v="0"/>
    <s v="Yes"/>
    <x v="3"/>
    <x v="0"/>
    <x v="4"/>
    <s v="No"/>
    <s v="No"/>
    <x v="0"/>
    <s v="Networking"/>
    <n v="4"/>
    <x v="4"/>
    <s v="Single"/>
    <x v="0"/>
    <s v="Bachelor"/>
    <x v="1"/>
    <n v="4"/>
    <s v="No"/>
    <n v="3.93"/>
    <n v="118"/>
    <n v="50000"/>
    <x v="1"/>
    <x v="0"/>
    <n v="62"/>
  </r>
  <r>
    <x v="3"/>
    <x v="0"/>
    <n v="19"/>
    <n v="2020"/>
    <x v="0"/>
    <n v="2"/>
    <x v="0"/>
    <s v="No"/>
    <x v="5"/>
    <n v="2"/>
    <x v="0"/>
    <x v="0"/>
    <s v="Yes"/>
    <x v="3"/>
    <x v="1"/>
    <x v="2"/>
    <s v="No"/>
    <s v="No"/>
    <x v="0"/>
    <s v="Software Development"/>
    <n v="2"/>
    <x v="2"/>
    <s v="Single"/>
    <x v="0"/>
    <s v="Bachelor"/>
    <x v="1"/>
    <n v="3.54"/>
    <s v="No"/>
    <n v="3.54"/>
    <n v="11"/>
    <n v="20000"/>
    <x v="1"/>
    <x v="0"/>
    <n v="50"/>
  </r>
  <r>
    <x v="3"/>
    <x v="0"/>
    <n v="21"/>
    <n v="2019"/>
    <x v="0"/>
    <n v="2"/>
    <x v="0"/>
    <s v="No"/>
    <x v="5"/>
    <n v="2"/>
    <x v="0"/>
    <x v="0"/>
    <s v="Yes"/>
    <x v="2"/>
    <x v="1"/>
    <x v="4"/>
    <s v="No"/>
    <s v="No"/>
    <x v="0"/>
    <s v="Software Development"/>
    <n v="2"/>
    <x v="2"/>
    <s v="Single"/>
    <x v="1"/>
    <s v="Bachelor"/>
    <x v="0"/>
    <n v="2.5499999999999998"/>
    <s v="No"/>
    <n v="2.5499999999999998"/>
    <n v="11"/>
    <n v="20000"/>
    <x v="0"/>
    <x v="0"/>
    <n v="56"/>
  </r>
  <r>
    <x v="0"/>
    <x v="0"/>
    <n v="25"/>
    <n v="2016"/>
    <x v="0"/>
    <n v="12"/>
    <x v="0"/>
    <s v="No"/>
    <x v="0"/>
    <n v="2"/>
    <x v="0"/>
    <x v="0"/>
    <s v="Yes"/>
    <x v="2"/>
    <x v="2"/>
    <x v="0"/>
    <s v="No"/>
    <s v="No"/>
    <x v="1"/>
    <s v="Software Development"/>
    <n v="2"/>
    <x v="2"/>
    <s v="Single"/>
    <x v="1"/>
    <s v="Bachelor"/>
    <x v="1"/>
    <n v="3.4"/>
    <s v="Yes"/>
    <n v="3.4"/>
    <n v="136"/>
    <n v="12000"/>
    <x v="0"/>
    <x v="0"/>
    <n v="51"/>
  </r>
  <r>
    <x v="4"/>
    <x v="1"/>
    <n v="22"/>
    <n v="2017"/>
    <x v="0"/>
    <n v="11"/>
    <x v="1"/>
    <s v="No"/>
    <x v="0"/>
    <n v="1"/>
    <x v="1"/>
    <x v="0"/>
    <s v="Yes"/>
    <x v="0"/>
    <x v="0"/>
    <x v="0"/>
    <s v="No"/>
    <s v="No"/>
    <x v="1"/>
    <s v="Software Development"/>
    <n v="2"/>
    <x v="2"/>
    <s v="Single"/>
    <x v="1"/>
    <s v="Bachelor"/>
    <x v="0"/>
    <n v="3.65"/>
    <s v="No"/>
    <n v="3.59"/>
    <n v="126"/>
    <n v="30000"/>
    <x v="1"/>
    <x v="0"/>
    <n v="51"/>
  </r>
  <r>
    <x v="2"/>
    <x v="1"/>
    <n v="21"/>
    <n v="2019"/>
    <x v="0"/>
    <n v="8"/>
    <x v="0"/>
    <s v="Yes"/>
    <x v="0"/>
    <n v="2"/>
    <x v="0"/>
    <x v="0"/>
    <s v="Yes"/>
    <x v="4"/>
    <x v="0"/>
    <x v="34"/>
    <s v="No"/>
    <s v="No"/>
    <x v="1"/>
    <s v="Software Development"/>
    <n v="2"/>
    <x v="5"/>
    <s v="Single"/>
    <x v="1"/>
    <s v="Family"/>
    <x v="0"/>
    <n v="3.62"/>
    <s v="No"/>
    <n v="3.62"/>
    <n v="85"/>
    <n v="30000"/>
    <x v="1"/>
    <x v="0"/>
    <n v="52.6"/>
  </r>
  <r>
    <x v="4"/>
    <x v="0"/>
    <n v="20"/>
    <n v="2018"/>
    <x v="0"/>
    <n v="9"/>
    <x v="1"/>
    <s v="Yes"/>
    <x v="2"/>
    <n v="2"/>
    <x v="0"/>
    <x v="0"/>
    <s v="Yes"/>
    <x v="3"/>
    <x v="1"/>
    <x v="0"/>
    <s v="No"/>
    <s v="No"/>
    <x v="1"/>
    <s v="Learning frontend"/>
    <n v="1"/>
    <x v="4"/>
    <s v="Single"/>
    <x v="1"/>
    <s v="Family"/>
    <x v="0"/>
    <n v="3.7"/>
    <s v="No"/>
    <n v="3.45"/>
    <n v="101"/>
    <n v="30000"/>
    <x v="0"/>
    <x v="0"/>
    <n v="45"/>
  </r>
  <r>
    <x v="2"/>
    <x v="1"/>
    <n v="21"/>
    <n v="2019"/>
    <x v="0"/>
    <n v="7"/>
    <x v="0"/>
    <s v="Yes"/>
    <x v="0"/>
    <n v="2"/>
    <x v="1"/>
    <x v="0"/>
    <s v="Yes"/>
    <x v="2"/>
    <x v="0"/>
    <x v="4"/>
    <s v="No"/>
    <s v="No"/>
    <x v="0"/>
    <s v="Software Development"/>
    <n v="1"/>
    <x v="2"/>
    <s v="Single"/>
    <x v="0"/>
    <s v="Family"/>
    <x v="0"/>
    <n v="3.5"/>
    <s v="No"/>
    <n v="3.5"/>
    <n v="89"/>
    <n v="55000"/>
    <x v="1"/>
    <x v="0"/>
    <n v="50"/>
  </r>
  <r>
    <x v="3"/>
    <x v="0"/>
    <n v="21"/>
    <n v="2020"/>
    <x v="0"/>
    <n v="2"/>
    <x v="0"/>
    <s v="Yes"/>
    <x v="3"/>
    <n v="2"/>
    <x v="1"/>
    <x v="0"/>
    <s v="Yes"/>
    <x v="1"/>
    <x v="0"/>
    <x v="5"/>
    <s v="No"/>
    <s v="No"/>
    <x v="0"/>
    <s v="Software Development"/>
    <n v="4"/>
    <x v="2"/>
    <s v="Single"/>
    <x v="1"/>
    <s v="Family"/>
    <x v="0"/>
    <n v="3.48"/>
    <s v="No"/>
    <n v="3.48"/>
    <n v="11"/>
    <n v="50000"/>
    <x v="0"/>
    <x v="0"/>
    <n v="67"/>
  </r>
  <r>
    <x v="4"/>
    <x v="0"/>
    <n v="22"/>
    <n v="2018"/>
    <x v="0"/>
    <n v="10"/>
    <x v="1"/>
    <s v="No"/>
    <x v="0"/>
    <n v="2"/>
    <x v="0"/>
    <x v="0"/>
    <s v="No"/>
    <x v="1"/>
    <x v="0"/>
    <x v="5"/>
    <s v="No"/>
    <s v="No"/>
    <x v="0"/>
    <s v="Networking"/>
    <n v="2"/>
    <x v="4"/>
    <s v="Relationship"/>
    <x v="0"/>
    <s v="Bachelor"/>
    <x v="0"/>
    <n v="3.01"/>
    <s v="No"/>
    <n v="2.92"/>
    <n v="112"/>
    <n v="50000"/>
    <x v="0"/>
    <x v="0"/>
    <n v="55"/>
  </r>
  <r>
    <x v="0"/>
    <x v="0"/>
    <n v="25"/>
    <n v="2016"/>
    <x v="0"/>
    <n v="11"/>
    <x v="0"/>
    <s v="Yes"/>
    <x v="5"/>
    <n v="2"/>
    <x v="0"/>
    <x v="0"/>
    <s v="Yes"/>
    <x v="1"/>
    <x v="0"/>
    <x v="5"/>
    <s v="No"/>
    <s v="No"/>
    <x v="0"/>
    <s v="Software Development"/>
    <n v="2"/>
    <x v="2"/>
    <s v="Single"/>
    <x v="0"/>
    <s v="Family"/>
    <x v="0"/>
    <n v="3.86"/>
    <s v="No"/>
    <n v="3.56"/>
    <n v="129"/>
    <n v="60000"/>
    <x v="1"/>
    <x v="0"/>
    <n v="58"/>
  </r>
  <r>
    <x v="4"/>
    <x v="0"/>
    <n v="23"/>
    <n v="2017"/>
    <x v="0"/>
    <n v="10"/>
    <x v="0"/>
    <s v="Yes"/>
    <x v="5"/>
    <n v="4"/>
    <x v="1"/>
    <x v="0"/>
    <s v="Yes"/>
    <x v="9"/>
    <x v="0"/>
    <x v="8"/>
    <s v="No"/>
    <s v="No"/>
    <x v="0"/>
    <s v="Software Development"/>
    <n v="2"/>
    <x v="2"/>
    <s v="Relationship"/>
    <x v="1"/>
    <s v="Family"/>
    <x v="0"/>
    <n v="3.38"/>
    <s v="No"/>
    <n v="3.81"/>
    <n v="117"/>
    <n v="15000"/>
    <x v="1"/>
    <x v="0"/>
    <n v="57.2"/>
  </r>
  <r>
    <x v="2"/>
    <x v="1"/>
    <n v="22"/>
    <n v="2019"/>
    <x v="0"/>
    <n v="8"/>
    <x v="0"/>
    <s v="Yes"/>
    <x v="3"/>
    <n v="1"/>
    <x v="0"/>
    <x v="0"/>
    <s v="Yes"/>
    <x v="2"/>
    <x v="0"/>
    <x v="0"/>
    <s v="No"/>
    <s v="No"/>
    <x v="0"/>
    <s v="Software Development"/>
    <n v="1"/>
    <x v="2"/>
    <s v="Married"/>
    <x v="1"/>
    <s v="Family"/>
    <x v="0"/>
    <n v="3.07"/>
    <s v="No"/>
    <n v="3.42"/>
    <n v="75"/>
    <n v="500000"/>
    <x v="0"/>
    <x v="0"/>
    <n v="54"/>
  </r>
  <r>
    <x v="4"/>
    <x v="1"/>
    <n v="23"/>
    <n v="2017"/>
    <x v="0"/>
    <n v="11"/>
    <x v="0"/>
    <s v="Yes"/>
    <x v="0"/>
    <n v="2"/>
    <x v="0"/>
    <x v="0"/>
    <s v="Yes"/>
    <x v="0"/>
    <x v="0"/>
    <x v="1"/>
    <s v="No"/>
    <s v="No"/>
    <x v="1"/>
    <s v="Software Development"/>
    <n v="3"/>
    <x v="4"/>
    <s v="Single"/>
    <x v="1"/>
    <s v="Family"/>
    <x v="0"/>
    <n v="3.59"/>
    <s v="No"/>
    <n v="3.56"/>
    <n v="119"/>
    <n v="20000"/>
    <x v="1"/>
    <x v="0"/>
    <n v="56.400000000000006"/>
  </r>
  <r>
    <x v="4"/>
    <x v="0"/>
    <n v="25"/>
    <n v="2017"/>
    <x v="0"/>
    <n v="11"/>
    <x v="1"/>
    <s v="No"/>
    <x v="2"/>
    <n v="1"/>
    <x v="0"/>
    <x v="0"/>
    <s v="Yes"/>
    <x v="5"/>
    <x v="0"/>
    <x v="0"/>
    <s v="No"/>
    <s v="No"/>
    <x v="0"/>
    <s v="Software Development"/>
    <n v="4"/>
    <x v="2"/>
    <s v="Single"/>
    <x v="0"/>
    <s v="Bachelor"/>
    <x v="0"/>
    <n v="2.59"/>
    <s v="No"/>
    <n v="3.06"/>
    <n v="130"/>
    <n v="50000"/>
    <x v="0"/>
    <x v="0"/>
    <n v="54"/>
  </r>
  <r>
    <x v="4"/>
    <x v="0"/>
    <n v="23"/>
    <n v="2018"/>
    <x v="0"/>
    <n v="11"/>
    <x v="1"/>
    <s v="No"/>
    <x v="2"/>
    <n v="3"/>
    <x v="0"/>
    <x v="0"/>
    <s v="Yes"/>
    <x v="2"/>
    <x v="0"/>
    <x v="10"/>
    <s v="Yes"/>
    <s v="No"/>
    <x v="1"/>
    <s v="Software Development"/>
    <n v="0"/>
    <x v="6"/>
    <s v="Single"/>
    <x v="1"/>
    <s v="Bachelor"/>
    <x v="0"/>
    <n v="3.3"/>
    <s v="No"/>
    <n v="3.24"/>
    <n v="130"/>
    <n v="15000"/>
    <x v="0"/>
    <x v="0"/>
    <n v="45.6"/>
  </r>
  <r>
    <x v="4"/>
    <x v="1"/>
    <n v="22"/>
    <n v="2018"/>
    <x v="0"/>
    <n v="11"/>
    <x v="0"/>
    <s v="Yes"/>
    <x v="5"/>
    <n v="4"/>
    <x v="0"/>
    <x v="0"/>
    <s v="Yes"/>
    <x v="9"/>
    <x v="0"/>
    <x v="10"/>
    <s v="No"/>
    <s v="No"/>
    <x v="0"/>
    <s v="Software Development"/>
    <n v="2"/>
    <x v="4"/>
    <s v="Single"/>
    <x v="0"/>
    <s v="Family"/>
    <x v="0"/>
    <n v="3.72"/>
    <s v="No"/>
    <n v="3.78"/>
    <n v="127"/>
    <n v="62488"/>
    <x v="1"/>
    <x v="0"/>
    <n v="57.6"/>
  </r>
  <r>
    <x v="3"/>
    <x v="0"/>
    <n v="19"/>
    <n v="2020"/>
    <x v="0"/>
    <n v="1"/>
    <x v="0"/>
    <s v="Yes"/>
    <x v="0"/>
    <n v="2"/>
    <x v="0"/>
    <x v="0"/>
    <s v="Yes"/>
    <x v="2"/>
    <x v="1"/>
    <x v="5"/>
    <s v="No"/>
    <s v="No"/>
    <x v="0"/>
    <s v="Software Development"/>
    <n v="1"/>
    <x v="2"/>
    <s v="Single"/>
    <x v="1"/>
    <s v="Family"/>
    <x v="0"/>
    <n v="3.9"/>
    <s v="No"/>
    <n v="3.9"/>
    <n v="11"/>
    <n v="40000"/>
    <x v="1"/>
    <x v="0"/>
    <n v="52"/>
  </r>
  <r>
    <x v="0"/>
    <x v="0"/>
    <n v="23"/>
    <n v="2016"/>
    <x v="0"/>
    <n v="13"/>
    <x v="1"/>
    <s v="No"/>
    <x v="2"/>
    <n v="2"/>
    <x v="0"/>
    <x v="0"/>
    <s v="Yes"/>
    <x v="0"/>
    <x v="1"/>
    <x v="11"/>
    <s v="Yes"/>
    <s v="Yes"/>
    <x v="0"/>
    <s v="Software Development"/>
    <n v="1"/>
    <x v="6"/>
    <s v="Single"/>
    <x v="0"/>
    <s v="Bachelor"/>
    <x v="0"/>
    <n v="2.5499999999999998"/>
    <s v="No"/>
    <n v="2.65"/>
    <n v="120"/>
    <n v="20000"/>
    <x v="0"/>
    <x v="0"/>
    <n v="39"/>
  </r>
  <r>
    <x v="1"/>
    <x v="0"/>
    <n v="20"/>
    <n v="2020"/>
    <x v="0"/>
    <n v="4"/>
    <x v="0"/>
    <s v="No"/>
    <x v="5"/>
    <n v="2"/>
    <x v="0"/>
    <x v="0"/>
    <s v="Yes"/>
    <x v="2"/>
    <x v="1"/>
    <x v="9"/>
    <s v="No"/>
    <s v="No"/>
    <x v="1"/>
    <s v="Software Development"/>
    <n v="3"/>
    <x v="2"/>
    <s v="Single"/>
    <x v="1"/>
    <s v="Bachelor"/>
    <x v="0"/>
    <n v="3"/>
    <s v="No"/>
    <n v="2.8"/>
    <n v="36"/>
    <n v="20000"/>
    <x v="0"/>
    <x v="0"/>
    <n v="55"/>
  </r>
  <r>
    <x v="1"/>
    <x v="0"/>
    <n v="22"/>
    <n v="2021"/>
    <x v="0"/>
    <n v="4"/>
    <x v="0"/>
    <s v="No"/>
    <x v="5"/>
    <n v="2"/>
    <x v="1"/>
    <x v="0"/>
    <s v="Yes"/>
    <x v="2"/>
    <x v="1"/>
    <x v="2"/>
    <s v="Yes"/>
    <s v="No"/>
    <x v="0"/>
    <s v="Software Development"/>
    <n v="1"/>
    <x v="2"/>
    <s v="Single"/>
    <x v="1"/>
    <s v="Bachelor"/>
    <x v="0"/>
    <n v="2"/>
    <s v="No"/>
    <n v="2.59"/>
    <n v="24"/>
    <n v="25000"/>
    <x v="0"/>
    <x v="0"/>
    <n v="47"/>
  </r>
  <r>
    <x v="4"/>
    <x v="1"/>
    <n v="22"/>
    <n v="2018"/>
    <x v="0"/>
    <n v="11"/>
    <x v="0"/>
    <s v="No"/>
    <x v="3"/>
    <n v="2"/>
    <x v="0"/>
    <x v="0"/>
    <s v="Yes"/>
    <x v="2"/>
    <x v="0"/>
    <x v="4"/>
    <s v="No"/>
    <s v="No"/>
    <x v="0"/>
    <s v="Software Development"/>
    <n v="4"/>
    <x v="2"/>
    <s v="Single"/>
    <x v="1"/>
    <s v="Bachelor"/>
    <x v="1"/>
    <n v="3.96"/>
    <s v="No"/>
    <n v="3.9"/>
    <n v="135"/>
    <n v="200000"/>
    <x v="1"/>
    <x v="0"/>
    <n v="65"/>
  </r>
  <r>
    <x v="3"/>
    <x v="0"/>
    <n v="20"/>
    <n v="2020"/>
    <x v="0"/>
    <n v="2"/>
    <x v="0"/>
    <s v="Yes"/>
    <x v="2"/>
    <n v="2"/>
    <x v="0"/>
    <x v="0"/>
    <s v="Yes"/>
    <x v="3"/>
    <x v="0"/>
    <x v="2"/>
    <s v="No"/>
    <s v="No"/>
    <x v="0"/>
    <s v="Software Development"/>
    <n v="1"/>
    <x v="2"/>
    <s v="Single"/>
    <x v="1"/>
    <s v="Bachelor"/>
    <x v="0"/>
    <n v="3.7"/>
    <s v="No"/>
    <n v="3.7"/>
    <n v="10"/>
    <n v="25000"/>
    <x v="1"/>
    <x v="0"/>
    <n v="41"/>
  </r>
  <r>
    <x v="3"/>
    <x v="0"/>
    <n v="19"/>
    <n v="2020"/>
    <x v="0"/>
    <n v="1"/>
    <x v="1"/>
    <s v="No"/>
    <x v="3"/>
    <n v="2"/>
    <x v="1"/>
    <x v="0"/>
    <s v="Yes"/>
    <x v="6"/>
    <x v="1"/>
    <x v="0"/>
    <s v="No"/>
    <s v="No"/>
    <x v="1"/>
    <s v="Software Development"/>
    <n v="3"/>
    <x v="2"/>
    <s v="Single"/>
    <x v="1"/>
    <s v="Family"/>
    <x v="0"/>
    <n v="3.3"/>
    <s v="No"/>
    <n v="3.3"/>
    <n v="11"/>
    <n v="35000"/>
    <x v="0"/>
    <x v="0"/>
    <n v="60"/>
  </r>
  <r>
    <x v="2"/>
    <x v="0"/>
    <n v="22"/>
    <n v="2019"/>
    <x v="0"/>
    <n v="7"/>
    <x v="1"/>
    <s v="No"/>
    <x v="3"/>
    <n v="2"/>
    <x v="0"/>
    <x v="0"/>
    <s v="Yes"/>
    <x v="2"/>
    <x v="0"/>
    <x v="4"/>
    <s v="No"/>
    <s v="No"/>
    <x v="1"/>
    <s v="Software Development"/>
    <n v="2"/>
    <x v="2"/>
    <s v="Single"/>
    <x v="0"/>
    <s v="Bachelor"/>
    <x v="1"/>
    <n v="3.2"/>
    <s v="No"/>
    <n v="3.51"/>
    <n v="90"/>
    <n v="62488"/>
    <x v="1"/>
    <x v="0"/>
    <n v="59"/>
  </r>
  <r>
    <x v="1"/>
    <x v="0"/>
    <n v="21"/>
    <n v="2020"/>
    <x v="0"/>
    <n v="3"/>
    <x v="0"/>
    <s v="Yes"/>
    <x v="5"/>
    <n v="2"/>
    <x v="0"/>
    <x v="0"/>
    <s v="Yes"/>
    <x v="1"/>
    <x v="0"/>
    <x v="0"/>
    <s v="No"/>
    <s v="No"/>
    <x v="0"/>
    <s v="Software Development"/>
    <n v="4"/>
    <x v="2"/>
    <s v="Single"/>
    <x v="1"/>
    <s v="Family"/>
    <x v="0"/>
    <n v="3.57"/>
    <s v="No"/>
    <n v="3.67"/>
    <n v="23"/>
    <n v="35000"/>
    <x v="1"/>
    <x v="0"/>
    <n v="60"/>
  </r>
  <r>
    <x v="4"/>
    <x v="1"/>
    <n v="22"/>
    <n v="2018"/>
    <x v="0"/>
    <n v="11"/>
    <x v="1"/>
    <s v="Yes"/>
    <x v="0"/>
    <n v="2"/>
    <x v="0"/>
    <x v="0"/>
    <s v="Yes"/>
    <x v="3"/>
    <x v="0"/>
    <x v="5"/>
    <s v="No"/>
    <s v="No"/>
    <x v="0"/>
    <s v="Software Development"/>
    <n v="1"/>
    <x v="2"/>
    <s v="Single"/>
    <x v="0"/>
    <s v="Family"/>
    <x v="0"/>
    <n v="3.37"/>
    <s v="No"/>
    <n v="3.11"/>
    <n v="140"/>
    <n v="40000"/>
    <x v="0"/>
    <x v="0"/>
    <n v="52"/>
  </r>
  <r>
    <x v="1"/>
    <x v="0"/>
    <n v="21"/>
    <n v="2020"/>
    <x v="0"/>
    <n v="3"/>
    <x v="0"/>
    <s v="No"/>
    <x v="5"/>
    <n v="2"/>
    <x v="0"/>
    <x v="0"/>
    <s v="Yes"/>
    <x v="3"/>
    <x v="2"/>
    <x v="6"/>
    <s v="Yes"/>
    <s v="No"/>
    <x v="0"/>
    <s v="Software Development"/>
    <n v="2"/>
    <x v="2"/>
    <s v="Single"/>
    <x v="0"/>
    <s v="Bachelor"/>
    <x v="0"/>
    <n v="3.17"/>
    <s v="No"/>
    <n v="2.85"/>
    <n v="20"/>
    <n v="30000"/>
    <x v="0"/>
    <x v="0"/>
    <n v="56.800000000000004"/>
  </r>
  <r>
    <x v="3"/>
    <x v="0"/>
    <n v="19"/>
    <n v="2020"/>
    <x v="0"/>
    <n v="1"/>
    <x v="1"/>
    <s v="No"/>
    <x v="1"/>
    <n v="1"/>
    <x v="0"/>
    <x v="0"/>
    <s v="Yes"/>
    <x v="3"/>
    <x v="1"/>
    <x v="0"/>
    <s v="No"/>
    <s v="No"/>
    <x v="0"/>
    <s v="Software Development"/>
    <n v="1"/>
    <x v="2"/>
    <s v="Single"/>
    <x v="1"/>
    <s v="Bachelor"/>
    <x v="0"/>
    <n v="3.5"/>
    <s v="No"/>
    <n v="3.45"/>
    <n v="11"/>
    <n v="10000"/>
    <x v="0"/>
    <x v="0"/>
    <n v="42"/>
  </r>
  <r>
    <x v="3"/>
    <x v="0"/>
    <n v="20"/>
    <n v="2020"/>
    <x v="0"/>
    <n v="1"/>
    <x v="1"/>
    <s v="No"/>
    <x v="5"/>
    <n v="2"/>
    <x v="0"/>
    <x v="0"/>
    <s v="Yes"/>
    <x v="3"/>
    <x v="1"/>
    <x v="0"/>
    <s v="No"/>
    <s v="No"/>
    <x v="0"/>
    <s v="Software Development"/>
    <n v="3"/>
    <x v="2"/>
    <s v="Single"/>
    <x v="1"/>
    <s v="Bachelor"/>
    <x v="0"/>
    <n v="3.78"/>
    <s v="No"/>
    <n v="3.78"/>
    <n v="28"/>
    <n v="25000"/>
    <x v="1"/>
    <x v="0"/>
    <n v="57"/>
  </r>
  <r>
    <x v="4"/>
    <x v="0"/>
    <n v="25"/>
    <n v="2017"/>
    <x v="0"/>
    <n v="10"/>
    <x v="0"/>
    <s v="Yes"/>
    <x v="2"/>
    <n v="2"/>
    <x v="0"/>
    <x v="0"/>
    <s v="Yes"/>
    <x v="3"/>
    <x v="0"/>
    <x v="17"/>
    <s v="No"/>
    <s v="No"/>
    <x v="0"/>
    <s v="Software Development"/>
    <n v="3"/>
    <x v="2"/>
    <s v="Single"/>
    <x v="0"/>
    <s v="Bachelor"/>
    <x v="1"/>
    <n v="3.9"/>
    <s v="No"/>
    <n v="3.59"/>
    <n v="128"/>
    <n v="40000"/>
    <x v="1"/>
    <x v="0"/>
    <n v="49.800000000000004"/>
  </r>
  <r>
    <x v="1"/>
    <x v="0"/>
    <n v="21"/>
    <n v="2020"/>
    <x v="0"/>
    <n v="3"/>
    <x v="1"/>
    <s v="Yes"/>
    <x v="5"/>
    <n v="2"/>
    <x v="0"/>
    <x v="0"/>
    <s v="Yes"/>
    <x v="4"/>
    <x v="0"/>
    <x v="14"/>
    <s v="No"/>
    <s v="No"/>
    <x v="1"/>
    <s v="Software Development"/>
    <n v="1"/>
    <x v="2"/>
    <s v="Single"/>
    <x v="1"/>
    <s v="Family"/>
    <x v="0"/>
    <n v="2.94"/>
    <s v="No"/>
    <n v="2.5"/>
    <n v="23"/>
    <n v="62488"/>
    <x v="0"/>
    <x v="0"/>
    <n v="35"/>
  </r>
  <r>
    <x v="1"/>
    <x v="1"/>
    <n v="21"/>
    <n v="2020"/>
    <x v="0"/>
    <n v="5"/>
    <x v="0"/>
    <s v="Yes"/>
    <x v="0"/>
    <n v="2"/>
    <x v="0"/>
    <x v="0"/>
    <s v="Yes"/>
    <x v="0"/>
    <x v="1"/>
    <x v="2"/>
    <s v="No"/>
    <s v="No"/>
    <x v="1"/>
    <s v="Software Development"/>
    <n v="2"/>
    <x v="2"/>
    <s v="Single"/>
    <x v="1"/>
    <s v="Family"/>
    <x v="0"/>
    <n v="2.89"/>
    <s v="No"/>
    <n v="2.8"/>
    <n v="65"/>
    <n v="20000"/>
    <x v="0"/>
    <x v="0"/>
    <n v="47"/>
  </r>
  <r>
    <x v="1"/>
    <x v="1"/>
    <n v="22"/>
    <n v="2020"/>
    <x v="0"/>
    <n v="4"/>
    <x v="1"/>
    <s v="No"/>
    <x v="5"/>
    <n v="2"/>
    <x v="0"/>
    <x v="0"/>
    <s v="Yes"/>
    <x v="2"/>
    <x v="0"/>
    <x v="0"/>
    <s v="No"/>
    <s v="No"/>
    <x v="1"/>
    <s v="Software Development"/>
    <n v="1"/>
    <x v="2"/>
    <s v="Single"/>
    <x v="1"/>
    <s v="Bachelor"/>
    <x v="0"/>
    <n v="1.8"/>
    <s v="No"/>
    <n v="2.56"/>
    <n v="23"/>
    <n v="20000"/>
    <x v="0"/>
    <x v="0"/>
    <n v="51"/>
  </r>
  <r>
    <x v="2"/>
    <x v="1"/>
    <n v="22"/>
    <n v="2019"/>
    <x v="0"/>
    <n v="8"/>
    <x v="1"/>
    <s v="No"/>
    <x v="5"/>
    <n v="3"/>
    <x v="1"/>
    <x v="0"/>
    <s v="Yes"/>
    <x v="1"/>
    <x v="0"/>
    <x v="9"/>
    <s v="No"/>
    <s v="No"/>
    <x v="1"/>
    <s v="Software Development"/>
    <n v="4"/>
    <x v="6"/>
    <s v="Single"/>
    <x v="1"/>
    <s v="Bachelor"/>
    <x v="0"/>
    <n v="2.78"/>
    <s v="No"/>
    <n v="3.75"/>
    <n v="78"/>
    <n v="30000"/>
    <x v="1"/>
    <x v="0"/>
    <n v="58"/>
  </r>
  <r>
    <x v="3"/>
    <x v="1"/>
    <n v="20"/>
    <n v="2021"/>
    <x v="0"/>
    <n v="6"/>
    <x v="1"/>
    <s v="No"/>
    <x v="1"/>
    <n v="2"/>
    <x v="0"/>
    <x v="0"/>
    <s v="No"/>
    <x v="2"/>
    <x v="1"/>
    <x v="5"/>
    <s v="Yes"/>
    <s v="No"/>
    <x v="0"/>
    <s v="Software Development"/>
    <n v="4"/>
    <x v="0"/>
    <s v="Single"/>
    <x v="1"/>
    <s v="Family"/>
    <x v="0"/>
    <n v="1.45"/>
    <s v="No"/>
    <n v="2.38"/>
    <n v="50"/>
    <n v="30000"/>
    <x v="2"/>
    <x v="0"/>
    <n v="55"/>
  </r>
  <r>
    <x v="4"/>
    <x v="1"/>
    <n v="25"/>
    <n v="2018"/>
    <x v="0"/>
    <n v="10"/>
    <x v="1"/>
    <s v="No"/>
    <x v="3"/>
    <n v="3"/>
    <x v="1"/>
    <x v="0"/>
    <s v="Yes"/>
    <x v="2"/>
    <x v="0"/>
    <x v="5"/>
    <s v="No"/>
    <s v="No"/>
    <x v="0"/>
    <s v="Cyber security"/>
    <n v="2"/>
    <x v="0"/>
    <s v="Relationship"/>
    <x v="0"/>
    <s v="Bachelor"/>
    <x v="0"/>
    <n v="2.4500000000000002"/>
    <s v="No"/>
    <n v="3.54"/>
    <n v="116"/>
    <n v="34000"/>
    <x v="1"/>
    <x v="0"/>
    <n v="61"/>
  </r>
  <r>
    <x v="4"/>
    <x v="0"/>
    <n v="23"/>
    <n v="2019"/>
    <x v="0"/>
    <n v="10"/>
    <x v="0"/>
    <s v="No"/>
    <x v="4"/>
    <n v="3"/>
    <x v="0"/>
    <x v="0"/>
    <s v="No"/>
    <x v="4"/>
    <x v="2"/>
    <x v="2"/>
    <s v="No"/>
    <s v="No"/>
    <x v="1"/>
    <s v="Software Development"/>
    <n v="1"/>
    <x v="2"/>
    <s v="Single"/>
    <x v="0"/>
    <s v="Family"/>
    <x v="0"/>
    <n v="1.45"/>
    <s v="No"/>
    <n v="2.4500000000000002"/>
    <n v="116"/>
    <n v="35000"/>
    <x v="2"/>
    <x v="0"/>
    <n v="53"/>
  </r>
  <r>
    <x v="1"/>
    <x v="1"/>
    <n v="20"/>
    <n v="2019"/>
    <x v="0"/>
    <n v="6"/>
    <x v="1"/>
    <s v="No"/>
    <x v="0"/>
    <n v="2"/>
    <x v="0"/>
    <x v="0"/>
    <s v="Yes"/>
    <x v="6"/>
    <x v="0"/>
    <x v="5"/>
    <s v="No"/>
    <s v="No"/>
    <x v="1"/>
    <s v="Machine Learning"/>
    <n v="2"/>
    <x v="6"/>
    <s v="Single"/>
    <x v="1"/>
    <s v="Family"/>
    <x v="0"/>
    <n v="2"/>
    <s v="No"/>
    <n v="3.19"/>
    <n v="78"/>
    <n v="35000"/>
    <x v="0"/>
    <x v="0"/>
    <n v="55"/>
  </r>
  <r>
    <x v="2"/>
    <x v="0"/>
    <n v="24"/>
    <n v="2018"/>
    <x v="0"/>
    <n v="11"/>
    <x v="0"/>
    <s v="No"/>
    <x v="1"/>
    <n v="2"/>
    <x v="0"/>
    <x v="0"/>
    <s v="Yes"/>
    <x v="7"/>
    <x v="2"/>
    <x v="5"/>
    <s v="No"/>
    <s v="No"/>
    <x v="0"/>
    <s v="Software Development"/>
    <n v="2"/>
    <x v="6"/>
    <s v="Single"/>
    <x v="1"/>
    <s v="Bachelor"/>
    <x v="0"/>
    <n v="2.89"/>
    <s v="No"/>
    <n v="3.99"/>
    <n v="140"/>
    <n v="36000"/>
    <x v="1"/>
    <x v="0"/>
    <n v="49"/>
  </r>
  <r>
    <x v="2"/>
    <x v="1"/>
    <n v="20"/>
    <n v="2019"/>
    <x v="0"/>
    <n v="10"/>
    <x v="1"/>
    <s v="No"/>
    <x v="2"/>
    <n v="1"/>
    <x v="0"/>
    <x v="0"/>
    <s v="Yes"/>
    <x v="7"/>
    <x v="0"/>
    <x v="7"/>
    <s v="No"/>
    <s v="No"/>
    <x v="0"/>
    <s v="Cyber security"/>
    <n v="1"/>
    <x v="0"/>
    <s v="Relationship"/>
    <x v="1"/>
    <s v="Bachelor"/>
    <x v="0"/>
    <n v="2.88"/>
    <s v="No"/>
    <n v="3.75"/>
    <n v="116"/>
    <n v="36000"/>
    <x v="1"/>
    <x v="0"/>
    <n v="37"/>
  </r>
  <r>
    <x v="1"/>
    <x v="0"/>
    <n v="20"/>
    <n v="2020"/>
    <x v="0"/>
    <n v="7"/>
    <x v="1"/>
    <s v="No"/>
    <x v="0"/>
    <n v="2"/>
    <x v="0"/>
    <x v="0"/>
    <s v="Yes"/>
    <x v="6"/>
    <x v="1"/>
    <x v="23"/>
    <s v="Yes"/>
    <s v="No"/>
    <x v="0"/>
    <s v="Software Development"/>
    <n v="2"/>
    <x v="2"/>
    <s v="Single"/>
    <x v="0"/>
    <s v="Bachelor"/>
    <x v="0"/>
    <n v="1.87"/>
    <s v="No"/>
    <n v="2.98"/>
    <n v="101"/>
    <n v="37000"/>
    <x v="0"/>
    <x v="0"/>
    <n v="39"/>
  </r>
  <r>
    <x v="2"/>
    <x v="0"/>
    <n v="20"/>
    <n v="2020"/>
    <x v="0"/>
    <n v="9"/>
    <x v="1"/>
    <s v="No"/>
    <x v="1"/>
    <n v="1"/>
    <x v="0"/>
    <x v="0"/>
    <s v="No"/>
    <x v="1"/>
    <x v="2"/>
    <x v="35"/>
    <s v="Yes"/>
    <s v="No"/>
    <x v="0"/>
    <s v="Networking"/>
    <n v="3"/>
    <x v="6"/>
    <s v="Single"/>
    <x v="0"/>
    <s v="Family"/>
    <x v="0"/>
    <n v="2.44"/>
    <s v="No"/>
    <n v="3.53"/>
    <n v="127"/>
    <n v="39000"/>
    <x v="1"/>
    <x v="0"/>
    <n v="33.6"/>
  </r>
  <r>
    <x v="4"/>
    <x v="1"/>
    <n v="22"/>
    <n v="2019"/>
    <x v="0"/>
    <n v="10"/>
    <x v="1"/>
    <s v="No"/>
    <x v="5"/>
    <n v="2"/>
    <x v="0"/>
    <x v="0"/>
    <s v="No"/>
    <x v="2"/>
    <x v="0"/>
    <x v="0"/>
    <s v="No"/>
    <s v="No"/>
    <x v="0"/>
    <s v="Software Development"/>
    <n v="1"/>
    <x v="2"/>
    <s v="Single"/>
    <x v="1"/>
    <s v="Family"/>
    <x v="1"/>
    <n v="2.8"/>
    <s v="No"/>
    <n v="3.65"/>
    <n v="126"/>
    <n v="40000"/>
    <x v="1"/>
    <x v="0"/>
    <n v="51"/>
  </r>
  <r>
    <x v="4"/>
    <x v="0"/>
    <n v="21"/>
    <n v="2019"/>
    <x v="0"/>
    <n v="7"/>
    <x v="1"/>
    <s v="No"/>
    <x v="4"/>
    <n v="3"/>
    <x v="1"/>
    <x v="0"/>
    <s v="Yes"/>
    <x v="2"/>
    <x v="0"/>
    <x v="5"/>
    <s v="No"/>
    <s v="No"/>
    <x v="0"/>
    <s v="Software Development"/>
    <n v="2"/>
    <x v="3"/>
    <s v="Single"/>
    <x v="1"/>
    <s v="Family"/>
    <x v="0"/>
    <n v="2.11"/>
    <s v="No"/>
    <n v="3.47"/>
    <n v="103"/>
    <n v="40000"/>
    <x v="0"/>
    <x v="0"/>
    <n v="64"/>
  </r>
  <r>
    <x v="3"/>
    <x v="0"/>
    <n v="22"/>
    <n v="2021"/>
    <x v="0"/>
    <n v="5"/>
    <x v="1"/>
    <s v="No"/>
    <x v="5"/>
    <n v="1"/>
    <x v="0"/>
    <x v="0"/>
    <s v="Yes"/>
    <x v="1"/>
    <x v="2"/>
    <x v="17"/>
    <s v="No"/>
    <s v="No"/>
    <x v="1"/>
    <s v="Machine Learning"/>
    <n v="2"/>
    <x v="0"/>
    <s v="Married"/>
    <x v="1"/>
    <s v="Bachelor"/>
    <x v="0"/>
    <n v="2.37"/>
    <s v="No"/>
    <n v="3.49"/>
    <n v="67"/>
    <n v="41000"/>
    <x v="0"/>
    <x v="0"/>
    <n v="52.800000000000004"/>
  </r>
  <r>
    <x v="1"/>
    <x v="0"/>
    <n v="23"/>
    <n v="2019"/>
    <x v="0"/>
    <n v="9"/>
    <x v="1"/>
    <s v="No"/>
    <x v="0"/>
    <n v="1"/>
    <x v="0"/>
    <x v="0"/>
    <s v="Yes"/>
    <x v="1"/>
    <x v="0"/>
    <x v="17"/>
    <s v="Yes"/>
    <s v="No"/>
    <x v="1"/>
    <s v="Networking"/>
    <n v="2"/>
    <x v="6"/>
    <s v="Married"/>
    <x v="1"/>
    <s v="Family"/>
    <x v="0"/>
    <n v="2.75"/>
    <s v="No"/>
    <n v="3.8"/>
    <n v="116"/>
    <n v="44000"/>
    <x v="1"/>
    <x v="0"/>
    <n v="49.800000000000004"/>
  </r>
  <r>
    <x v="1"/>
    <x v="1"/>
    <n v="21"/>
    <n v="2020"/>
    <x v="0"/>
    <n v="9"/>
    <x v="1"/>
    <s v="No"/>
    <x v="0"/>
    <n v="2"/>
    <x v="1"/>
    <x v="0"/>
    <s v="Yes"/>
    <x v="4"/>
    <x v="0"/>
    <x v="5"/>
    <s v="No"/>
    <s v="No"/>
    <x v="0"/>
    <s v="Cyber security"/>
    <n v="3"/>
    <x v="2"/>
    <s v="Relationship"/>
    <x v="1"/>
    <s v="Bachelor"/>
    <x v="0"/>
    <n v="1.98"/>
    <s v="No"/>
    <n v="2.91"/>
    <n v="117"/>
    <n v="44000"/>
    <x v="0"/>
    <x v="0"/>
    <n v="58"/>
  </r>
  <r>
    <x v="2"/>
    <x v="1"/>
    <n v="20"/>
    <n v="2020"/>
    <x v="0"/>
    <n v="11"/>
    <x v="1"/>
    <s v="No"/>
    <x v="2"/>
    <n v="1"/>
    <x v="1"/>
    <x v="0"/>
    <s v="Yes"/>
    <x v="1"/>
    <x v="0"/>
    <x v="5"/>
    <s v="No"/>
    <s v="No"/>
    <x v="0"/>
    <s v="Networking"/>
    <n v="2"/>
    <x v="6"/>
    <s v="Single"/>
    <x v="0"/>
    <s v="Family"/>
    <x v="0"/>
    <n v="2.64"/>
    <s v="No"/>
    <n v="3.7"/>
    <n v="136"/>
    <n v="44000"/>
    <x v="1"/>
    <x v="0"/>
    <n v="52"/>
  </r>
  <r>
    <x v="4"/>
    <x v="0"/>
    <n v="22"/>
    <n v="2018"/>
    <x v="0"/>
    <n v="9"/>
    <x v="1"/>
    <s v="No"/>
    <x v="4"/>
    <n v="2"/>
    <x v="1"/>
    <x v="0"/>
    <s v="Yes"/>
    <x v="14"/>
    <x v="0"/>
    <x v="22"/>
    <s v="No"/>
    <s v="No"/>
    <x v="1"/>
    <s v="Networking"/>
    <n v="6"/>
    <x v="7"/>
    <s v="Single"/>
    <x v="0"/>
    <s v="Bachelor"/>
    <x v="0"/>
    <n v="1.77"/>
    <s v="No"/>
    <n v="2.66"/>
    <n v="133"/>
    <n v="45000"/>
    <x v="0"/>
    <x v="0"/>
    <n v="66.8"/>
  </r>
  <r>
    <x v="3"/>
    <x v="1"/>
    <n v="21"/>
    <n v="2020"/>
    <x v="0"/>
    <n v="5"/>
    <x v="1"/>
    <s v="No"/>
    <x v="5"/>
    <n v="2"/>
    <x v="0"/>
    <x v="0"/>
    <s v="Yes"/>
    <x v="6"/>
    <x v="0"/>
    <x v="4"/>
    <s v="No"/>
    <s v="No"/>
    <x v="1"/>
    <s v="Software Development"/>
    <n v="1"/>
    <x v="0"/>
    <s v="Single"/>
    <x v="0"/>
    <s v="Family"/>
    <x v="0"/>
    <n v="2.19"/>
    <s v="No"/>
    <n v="2.77"/>
    <n v="42"/>
    <n v="45000"/>
    <x v="0"/>
    <x v="0"/>
    <n v="53"/>
  </r>
  <r>
    <x v="1"/>
    <x v="0"/>
    <n v="22"/>
    <n v="2020"/>
    <x v="0"/>
    <n v="6"/>
    <x v="0"/>
    <s v="No"/>
    <x v="3"/>
    <n v="5"/>
    <x v="1"/>
    <x v="0"/>
    <s v="Yes"/>
    <x v="6"/>
    <x v="2"/>
    <x v="7"/>
    <s v="Yes"/>
    <s v="Yes"/>
    <x v="0"/>
    <s v="Software Development"/>
    <n v="3"/>
    <x v="6"/>
    <s v="Relationship"/>
    <x v="0"/>
    <s v="Bachelor"/>
    <x v="0"/>
    <n v="2.19"/>
    <s v="No"/>
    <n v="3.19"/>
    <n v="63"/>
    <n v="45000"/>
    <x v="0"/>
    <x v="0"/>
    <n v="52"/>
  </r>
  <r>
    <x v="2"/>
    <x v="1"/>
    <n v="20"/>
    <n v="2020"/>
    <x v="0"/>
    <n v="8"/>
    <x v="1"/>
    <s v="No"/>
    <x v="0"/>
    <n v="1"/>
    <x v="1"/>
    <x v="0"/>
    <s v="Yes"/>
    <x v="15"/>
    <x v="0"/>
    <x v="31"/>
    <s v="Yes"/>
    <s v="No"/>
    <x v="1"/>
    <s v="Software Development"/>
    <n v="2"/>
    <x v="0"/>
    <s v="Single"/>
    <x v="1"/>
    <s v="Bachelor"/>
    <x v="1"/>
    <n v="1.98"/>
    <s v="No"/>
    <n v="2.98"/>
    <n v="119"/>
    <n v="45000"/>
    <x v="0"/>
    <x v="0"/>
    <n v="49.4"/>
  </r>
  <r>
    <x v="1"/>
    <x v="1"/>
    <n v="20"/>
    <n v="2020"/>
    <x v="0"/>
    <n v="9"/>
    <x v="1"/>
    <s v="No"/>
    <x v="5"/>
    <n v="2"/>
    <x v="0"/>
    <x v="0"/>
    <s v="Yes"/>
    <x v="2"/>
    <x v="0"/>
    <x v="28"/>
    <s v="Yes"/>
    <s v="No"/>
    <x v="1"/>
    <s v="Machine Learning"/>
    <n v="4"/>
    <x v="0"/>
    <s v="Relationship"/>
    <x v="0"/>
    <s v="Family"/>
    <x v="0"/>
    <n v="1.83"/>
    <s v="No"/>
    <n v="2.9"/>
    <n v="97"/>
    <n v="45000"/>
    <x v="0"/>
    <x v="0"/>
    <n v="55.2"/>
  </r>
  <r>
    <x v="2"/>
    <x v="1"/>
    <n v="21"/>
    <n v="2019"/>
    <x v="0"/>
    <n v="9"/>
    <x v="1"/>
    <s v="No"/>
    <x v="0"/>
    <n v="1"/>
    <x v="1"/>
    <x v="0"/>
    <s v="Yes"/>
    <x v="15"/>
    <x v="0"/>
    <x v="5"/>
    <s v="No"/>
    <s v="No"/>
    <x v="0"/>
    <s v="Software Development"/>
    <n v="2"/>
    <x v="2"/>
    <s v="In a relationship"/>
    <x v="1"/>
    <s v="Bachelor"/>
    <x v="0"/>
    <n v="1.87"/>
    <s v="No"/>
    <n v="2.82"/>
    <n v="139"/>
    <n v="46000"/>
    <x v="0"/>
    <x v="0"/>
    <n v="55"/>
  </r>
  <r>
    <x v="2"/>
    <x v="1"/>
    <n v="25"/>
    <n v="2019"/>
    <x v="0"/>
    <n v="11"/>
    <x v="1"/>
    <s v="No"/>
    <x v="1"/>
    <n v="1"/>
    <x v="1"/>
    <x v="0"/>
    <s v="Yes"/>
    <x v="1"/>
    <x v="0"/>
    <x v="36"/>
    <s v="No"/>
    <s v="No"/>
    <x v="1"/>
    <s v="Software Development"/>
    <n v="2"/>
    <x v="7"/>
    <s v="Single"/>
    <x v="1"/>
    <s v="Bachelor"/>
    <x v="0"/>
    <n v="2.65"/>
    <s v="No"/>
    <n v="3.71"/>
    <n v="136"/>
    <n v="49000"/>
    <x v="1"/>
    <x v="0"/>
    <n v="36.200000000000003"/>
  </r>
  <r>
    <x v="2"/>
    <x v="1"/>
    <n v="23"/>
    <n v="2018"/>
    <x v="0"/>
    <n v="11"/>
    <x v="0"/>
    <s v="No"/>
    <x v="4"/>
    <n v="2"/>
    <x v="0"/>
    <x v="0"/>
    <s v="Yes"/>
    <x v="4"/>
    <x v="2"/>
    <x v="0"/>
    <s v="Yes"/>
    <s v="No"/>
    <x v="0"/>
    <s v="Software Development"/>
    <n v="5"/>
    <x v="2"/>
    <s v="Single"/>
    <x v="1"/>
    <s v="Family"/>
    <x v="0"/>
    <n v="2.19"/>
    <s v="No"/>
    <n v="3.45"/>
    <n v="122"/>
    <n v="50000"/>
    <x v="0"/>
    <x v="0"/>
    <n v="69"/>
  </r>
  <r>
    <x v="3"/>
    <x v="0"/>
    <n v="24"/>
    <n v="2019"/>
    <x v="0"/>
    <n v="4"/>
    <x v="0"/>
    <s v="No"/>
    <x v="0"/>
    <n v="2"/>
    <x v="0"/>
    <x v="0"/>
    <s v="Yes"/>
    <x v="4"/>
    <x v="0"/>
    <x v="5"/>
    <s v="No"/>
    <s v="No"/>
    <x v="0"/>
    <s v="Networking"/>
    <n v="1"/>
    <x v="2"/>
    <s v="Single"/>
    <x v="1"/>
    <s v="Family"/>
    <x v="0"/>
    <n v="2.5"/>
    <s v="No"/>
    <n v="3.4"/>
    <n v="46"/>
    <n v="50000"/>
    <x v="0"/>
    <x v="0"/>
    <n v="52"/>
  </r>
  <r>
    <x v="2"/>
    <x v="0"/>
    <n v="25"/>
    <n v="2019"/>
    <x v="0"/>
    <n v="11"/>
    <x v="1"/>
    <s v="No"/>
    <x v="2"/>
    <n v="1"/>
    <x v="0"/>
    <x v="0"/>
    <s v="Yes"/>
    <x v="1"/>
    <x v="0"/>
    <x v="5"/>
    <s v="Yes"/>
    <s v="No"/>
    <x v="1"/>
    <s v="Networking"/>
    <n v="4"/>
    <x v="6"/>
    <s v="Relationship"/>
    <x v="1"/>
    <s v="Bachelor"/>
    <x v="0"/>
    <n v="2.82"/>
    <s v="No"/>
    <n v="3.85"/>
    <n v="136"/>
    <n v="50000"/>
    <x v="1"/>
    <x v="0"/>
    <n v="58"/>
  </r>
  <r>
    <x v="2"/>
    <x v="1"/>
    <n v="22"/>
    <n v="2020"/>
    <x v="0"/>
    <n v="8"/>
    <x v="1"/>
    <s v="No"/>
    <x v="2"/>
    <n v="1"/>
    <x v="1"/>
    <x v="0"/>
    <s v="Yes"/>
    <x v="2"/>
    <x v="1"/>
    <x v="14"/>
    <s v="Yes"/>
    <s v="No"/>
    <x v="1"/>
    <s v="Cyber security"/>
    <n v="2"/>
    <x v="0"/>
    <s v="Relationship"/>
    <x v="1"/>
    <s v="Bachelor"/>
    <x v="0"/>
    <n v="1.34"/>
    <s v="No"/>
    <n v="2.68"/>
    <n v="98"/>
    <n v="50000"/>
    <x v="0"/>
    <x v="0"/>
    <n v="32"/>
  </r>
  <r>
    <x v="3"/>
    <x v="1"/>
    <n v="19"/>
    <n v="2021"/>
    <x v="0"/>
    <n v="5"/>
    <x v="1"/>
    <s v="No"/>
    <x v="1"/>
    <n v="1"/>
    <x v="0"/>
    <x v="0"/>
    <s v="Yes"/>
    <x v="4"/>
    <x v="1"/>
    <x v="28"/>
    <s v="No"/>
    <s v="No"/>
    <x v="0"/>
    <s v="Software Development"/>
    <n v="2"/>
    <x v="7"/>
    <s v="Single"/>
    <x v="1"/>
    <s v="Bachelor"/>
    <x v="0"/>
    <n v="2.68"/>
    <s v="No"/>
    <n v="3.79"/>
    <n v="80"/>
    <n v="50000"/>
    <x v="1"/>
    <x v="0"/>
    <n v="40.200000000000003"/>
  </r>
  <r>
    <x v="4"/>
    <x v="1"/>
    <n v="22"/>
    <n v="2017"/>
    <x v="0"/>
    <n v="10"/>
    <x v="1"/>
    <s v="No"/>
    <x v="2"/>
    <n v="1"/>
    <x v="1"/>
    <x v="0"/>
    <s v="Yes"/>
    <x v="3"/>
    <x v="0"/>
    <x v="2"/>
    <s v="Yes"/>
    <s v="No"/>
    <x v="1"/>
    <s v="Networking"/>
    <n v="1"/>
    <x v="0"/>
    <s v="Relationship"/>
    <x v="0"/>
    <s v="Family"/>
    <x v="0"/>
    <n v="1.97"/>
    <s v="No"/>
    <n v="2.98"/>
    <n v="79"/>
    <n v="52000"/>
    <x v="0"/>
    <x v="0"/>
    <n v="41"/>
  </r>
  <r>
    <x v="1"/>
    <x v="1"/>
    <n v="20"/>
    <n v="2020"/>
    <x v="0"/>
    <n v="9"/>
    <x v="0"/>
    <s v="No"/>
    <x v="3"/>
    <n v="2"/>
    <x v="0"/>
    <x v="0"/>
    <s v="Yes"/>
    <x v="1"/>
    <x v="2"/>
    <x v="5"/>
    <s v="No"/>
    <s v="No"/>
    <x v="1"/>
    <s v="Software Development"/>
    <n v="4"/>
    <x v="0"/>
    <s v="Single"/>
    <x v="1"/>
    <s v="Family"/>
    <x v="0"/>
    <n v="2.76"/>
    <s v="No"/>
    <n v="3.86"/>
    <n v="127"/>
    <n v="52000"/>
    <x v="1"/>
    <x v="0"/>
    <n v="67"/>
  </r>
  <r>
    <x v="4"/>
    <x v="1"/>
    <n v="25"/>
    <n v="2019"/>
    <x v="0"/>
    <n v="10"/>
    <x v="1"/>
    <s v="No"/>
    <x v="5"/>
    <n v="2"/>
    <x v="0"/>
    <x v="0"/>
    <s v="Yes"/>
    <x v="6"/>
    <x v="2"/>
    <x v="37"/>
    <s v="No"/>
    <s v="No"/>
    <x v="0"/>
    <s v="Software Development"/>
    <n v="2"/>
    <x v="2"/>
    <s v="Single"/>
    <x v="0"/>
    <s v="Family"/>
    <x v="0"/>
    <n v="1.72"/>
    <s v="No"/>
    <n v="2.79"/>
    <n v="140"/>
    <n v="54000"/>
    <x v="0"/>
    <x v="0"/>
    <n v="36"/>
  </r>
  <r>
    <x v="2"/>
    <x v="0"/>
    <n v="21"/>
    <n v="2020"/>
    <x v="0"/>
    <n v="10"/>
    <x v="1"/>
    <s v="No"/>
    <x v="2"/>
    <n v="2"/>
    <x v="0"/>
    <x v="0"/>
    <s v="Yes"/>
    <x v="2"/>
    <x v="1"/>
    <x v="5"/>
    <s v="No"/>
    <s v="No"/>
    <x v="1"/>
    <s v="Cyber security"/>
    <n v="4"/>
    <x v="0"/>
    <s v="Single"/>
    <x v="0"/>
    <s v="Bachelor"/>
    <x v="0"/>
    <n v="2.62"/>
    <s v="No"/>
    <n v="3.75"/>
    <n v="136"/>
    <n v="55000"/>
    <x v="1"/>
    <x v="0"/>
    <n v="58"/>
  </r>
  <r>
    <x v="1"/>
    <x v="1"/>
    <n v="20"/>
    <n v="2020"/>
    <x v="0"/>
    <n v="7"/>
    <x v="1"/>
    <s v="No"/>
    <x v="2"/>
    <n v="1"/>
    <x v="0"/>
    <x v="0"/>
    <s v="Yes"/>
    <x v="2"/>
    <x v="2"/>
    <x v="17"/>
    <s v="No"/>
    <s v="No"/>
    <x v="1"/>
    <s v="Networking"/>
    <n v="4"/>
    <x v="6"/>
    <s v="Relationship"/>
    <x v="1"/>
    <s v="Bachelor"/>
    <x v="0"/>
    <n v="1.51"/>
    <s v="No"/>
    <n v="2.59"/>
    <n v="99"/>
    <n v="55000"/>
    <x v="0"/>
    <x v="0"/>
    <n v="52.800000000000004"/>
  </r>
  <r>
    <x v="3"/>
    <x v="1"/>
    <n v="22"/>
    <n v="2021"/>
    <x v="0"/>
    <n v="5"/>
    <x v="1"/>
    <s v="No"/>
    <x v="2"/>
    <n v="3"/>
    <x v="0"/>
    <x v="0"/>
    <s v="No"/>
    <x v="2"/>
    <x v="0"/>
    <x v="4"/>
    <s v="Yes"/>
    <s v="No"/>
    <x v="1"/>
    <s v="Networking"/>
    <n v="2"/>
    <x v="6"/>
    <s v="Single"/>
    <x v="1"/>
    <s v="Bachelor"/>
    <x v="0"/>
    <n v="1.45"/>
    <s v="No"/>
    <n v="2.5299999999999998"/>
    <n v="65"/>
    <n v="55000"/>
    <x v="0"/>
    <x v="0"/>
    <n v="50"/>
  </r>
  <r>
    <x v="3"/>
    <x v="0"/>
    <n v="21"/>
    <n v="2021"/>
    <x v="0"/>
    <n v="5"/>
    <x v="1"/>
    <s v="No"/>
    <x v="2"/>
    <n v="1"/>
    <x v="0"/>
    <x v="0"/>
    <s v="No"/>
    <x v="4"/>
    <x v="0"/>
    <x v="5"/>
    <s v="No"/>
    <s v="No"/>
    <x v="1"/>
    <s v="Machine Learning"/>
    <n v="2"/>
    <x v="7"/>
    <s v="Single"/>
    <x v="1"/>
    <s v="Bachelor"/>
    <x v="0"/>
    <n v="2.16"/>
    <s v="No"/>
    <n v="3.24"/>
    <n v="66"/>
    <n v="57000"/>
    <x v="0"/>
    <x v="0"/>
    <n v="52"/>
  </r>
  <r>
    <x v="3"/>
    <x v="0"/>
    <n v="21"/>
    <n v="2021"/>
    <x v="0"/>
    <n v="6"/>
    <x v="1"/>
    <s v="No"/>
    <x v="2"/>
    <n v="1"/>
    <x v="0"/>
    <x v="0"/>
    <s v="Yes"/>
    <x v="2"/>
    <x v="0"/>
    <x v="5"/>
    <s v="Yes"/>
    <s v="No"/>
    <x v="1"/>
    <s v="Software Development"/>
    <n v="2"/>
    <x v="2"/>
    <s v="Married"/>
    <x v="0"/>
    <s v="Family"/>
    <x v="0"/>
    <n v="2.56"/>
    <s v="No"/>
    <n v="3.62"/>
    <n v="65"/>
    <n v="58000"/>
    <x v="1"/>
    <x v="0"/>
    <n v="52"/>
  </r>
  <r>
    <x v="4"/>
    <x v="0"/>
    <n v="21"/>
    <n v="2018"/>
    <x v="0"/>
    <n v="11"/>
    <x v="0"/>
    <s v="No"/>
    <x v="1"/>
    <n v="1"/>
    <x v="0"/>
    <x v="0"/>
    <s v="Yes"/>
    <x v="6"/>
    <x v="2"/>
    <x v="5"/>
    <s v="No"/>
    <s v="No"/>
    <x v="0"/>
    <s v="Software Development"/>
    <n v="3"/>
    <x v="7"/>
    <s v="Single"/>
    <x v="1"/>
    <s v="Bachelor"/>
    <x v="0"/>
    <n v="1.97"/>
    <s v="No"/>
    <n v="3.1"/>
    <n v="136"/>
    <n v="59000"/>
    <x v="0"/>
    <x v="0"/>
    <n v="52"/>
  </r>
  <r>
    <x v="2"/>
    <x v="1"/>
    <n v="23"/>
    <n v="2019"/>
    <x v="0"/>
    <n v="7"/>
    <x v="1"/>
    <s v="No"/>
    <x v="2"/>
    <n v="2"/>
    <x v="0"/>
    <x v="0"/>
    <s v="Yes"/>
    <x v="1"/>
    <x v="0"/>
    <x v="0"/>
    <s v="Yes"/>
    <s v="No"/>
    <x v="1"/>
    <s v="Networking"/>
    <n v="1"/>
    <x v="0"/>
    <s v="Relationship"/>
    <x v="0"/>
    <s v="Family"/>
    <x v="0"/>
    <n v="2.33"/>
    <s v="No"/>
    <n v="3.31"/>
    <n v="32"/>
    <n v="60000"/>
    <x v="0"/>
    <x v="0"/>
    <n v="45"/>
  </r>
  <r>
    <x v="2"/>
    <x v="1"/>
    <n v="20"/>
    <n v="2020"/>
    <x v="0"/>
    <n v="11"/>
    <x v="1"/>
    <s v="No"/>
    <x v="2"/>
    <n v="1"/>
    <x v="0"/>
    <x v="0"/>
    <s v="Yes"/>
    <x v="1"/>
    <x v="0"/>
    <x v="5"/>
    <s v="Yes"/>
    <s v="No"/>
    <x v="1"/>
    <s v="Networking"/>
    <n v="2"/>
    <x v="6"/>
    <s v="Single"/>
    <x v="1"/>
    <s v="Bachelor"/>
    <x v="0"/>
    <n v="1.6"/>
    <s v="No"/>
    <n v="2.68"/>
    <n v="136"/>
    <n v="60000"/>
    <x v="0"/>
    <x v="0"/>
    <n v="52"/>
  </r>
  <r>
    <x v="1"/>
    <x v="0"/>
    <n v="20"/>
    <n v="2021"/>
    <x v="0"/>
    <n v="7"/>
    <x v="1"/>
    <s v="No"/>
    <x v="5"/>
    <n v="3"/>
    <x v="0"/>
    <x v="0"/>
    <s v="Yes"/>
    <x v="5"/>
    <x v="0"/>
    <x v="2"/>
    <s v="No"/>
    <s v="No"/>
    <x v="1"/>
    <s v="Machine Learning"/>
    <n v="3"/>
    <x v="6"/>
    <s v="Relationship"/>
    <x v="0"/>
    <s v="Bachelor"/>
    <x v="0"/>
    <n v="2.11"/>
    <s v="No"/>
    <n v="3.22"/>
    <n v="97"/>
    <n v="60000"/>
    <x v="0"/>
    <x v="0"/>
    <n v="53"/>
  </r>
  <r>
    <x v="1"/>
    <x v="1"/>
    <n v="20"/>
    <n v="2021"/>
    <x v="0"/>
    <n v="7"/>
    <x v="1"/>
    <s v="No"/>
    <x v="0"/>
    <n v="1"/>
    <x v="1"/>
    <x v="0"/>
    <s v="Yes"/>
    <x v="6"/>
    <x v="1"/>
    <x v="5"/>
    <s v="Yes"/>
    <s v="Yes"/>
    <x v="1"/>
    <s v="Software Development"/>
    <n v="2"/>
    <x v="2"/>
    <s v="Single"/>
    <x v="0"/>
    <s v="Bachelor"/>
    <x v="0"/>
    <n v="1.19"/>
    <s v="No"/>
    <n v="2.16"/>
    <n v="103"/>
    <n v="60000"/>
    <x v="2"/>
    <x v="0"/>
    <n v="55"/>
  </r>
  <r>
    <x v="2"/>
    <x v="0"/>
    <n v="21"/>
    <n v="2019"/>
    <x v="0"/>
    <n v="9"/>
    <x v="1"/>
    <s v="No"/>
    <x v="5"/>
    <n v="2"/>
    <x v="1"/>
    <x v="0"/>
    <s v="Yes"/>
    <x v="0"/>
    <x v="2"/>
    <x v="5"/>
    <s v="No"/>
    <s v="No"/>
    <x v="0"/>
    <s v="Machine Learning"/>
    <n v="2"/>
    <x v="2"/>
    <s v="Single"/>
    <x v="1"/>
    <s v="Bachelor"/>
    <x v="0"/>
    <n v="2.65"/>
    <s v="No"/>
    <n v="3.78"/>
    <n v="121"/>
    <n v="61000"/>
    <x v="1"/>
    <x v="0"/>
    <n v="58"/>
  </r>
  <r>
    <x v="2"/>
    <x v="0"/>
    <n v="20"/>
    <n v="2020"/>
    <x v="0"/>
    <n v="10"/>
    <x v="1"/>
    <s v="No"/>
    <x v="2"/>
    <n v="2"/>
    <x v="0"/>
    <x v="0"/>
    <s v="Yes"/>
    <x v="2"/>
    <x v="0"/>
    <x v="5"/>
    <s v="Yes"/>
    <s v="No"/>
    <x v="0"/>
    <s v="Artificial Intelligence"/>
    <n v="1"/>
    <x v="0"/>
    <s v="Relationship"/>
    <x v="0"/>
    <s v="Bachelor"/>
    <x v="0"/>
    <n v="2.67"/>
    <s v="No"/>
    <n v="3.7"/>
    <n v="135"/>
    <n v="61000"/>
    <x v="1"/>
    <x v="0"/>
    <n v="49"/>
  </r>
  <r>
    <x v="2"/>
    <x v="0"/>
    <n v="24"/>
    <n v="2019"/>
    <x v="0"/>
    <n v="11"/>
    <x v="1"/>
    <s v="No"/>
    <x v="0"/>
    <n v="3"/>
    <x v="1"/>
    <x v="0"/>
    <s v="Yes"/>
    <x v="1"/>
    <x v="0"/>
    <x v="38"/>
    <s v="Yes"/>
    <s v="No"/>
    <x v="1"/>
    <s v="Cyber security"/>
    <n v="2"/>
    <x v="0"/>
    <s v="Single"/>
    <x v="1"/>
    <s v="Family"/>
    <x v="0"/>
    <n v="2.44"/>
    <s v="No"/>
    <n v="3.51"/>
    <n v="144"/>
    <n v="64000"/>
    <x v="1"/>
    <x v="0"/>
    <n v="33.400000000000006"/>
  </r>
  <r>
    <x v="2"/>
    <x v="0"/>
    <n v="24"/>
    <n v="2019"/>
    <x v="0"/>
    <n v="11"/>
    <x v="1"/>
    <s v="No"/>
    <x v="0"/>
    <n v="3"/>
    <x v="0"/>
    <x v="0"/>
    <s v="Yes"/>
    <x v="1"/>
    <x v="2"/>
    <x v="11"/>
    <s v="Yes"/>
    <s v="No"/>
    <x v="0"/>
    <s v="Networking"/>
    <n v="1"/>
    <x v="6"/>
    <s v="Relationship"/>
    <x v="0"/>
    <s v="Bachelor"/>
    <x v="0"/>
    <n v="1.65"/>
    <s v="No"/>
    <n v="2.68"/>
    <n v="143"/>
    <n v="65000"/>
    <x v="0"/>
    <x v="0"/>
    <n v="42"/>
  </r>
  <r>
    <x v="2"/>
    <x v="0"/>
    <n v="25"/>
    <n v="2019"/>
    <x v="0"/>
    <n v="10"/>
    <x v="1"/>
    <s v="No"/>
    <x v="2"/>
    <n v="2"/>
    <x v="0"/>
    <x v="0"/>
    <s v="Yes"/>
    <x v="1"/>
    <x v="0"/>
    <x v="28"/>
    <s v="No"/>
    <s v="No"/>
    <x v="1"/>
    <s v="Cyber security"/>
    <n v="2"/>
    <x v="0"/>
    <s v="Single"/>
    <x v="0"/>
    <s v="Bachelor"/>
    <x v="0"/>
    <n v="2.54"/>
    <s v="No"/>
    <n v="3.61"/>
    <n v="78"/>
    <n v="65000"/>
    <x v="1"/>
    <x v="0"/>
    <n v="43.2"/>
  </r>
  <r>
    <x v="2"/>
    <x v="0"/>
    <n v="20"/>
    <n v="2020"/>
    <x v="0"/>
    <n v="11"/>
    <x v="1"/>
    <s v="No"/>
    <x v="2"/>
    <n v="1"/>
    <x v="1"/>
    <x v="0"/>
    <s v="Yes"/>
    <x v="2"/>
    <x v="2"/>
    <x v="5"/>
    <s v="Yes"/>
    <s v="No"/>
    <x v="1"/>
    <s v="Cyber security"/>
    <n v="2"/>
    <x v="0"/>
    <s v="Married"/>
    <x v="0"/>
    <s v="Family"/>
    <x v="0"/>
    <n v="2.5"/>
    <s v="No"/>
    <n v="3.61"/>
    <n v="136"/>
    <n v="65000"/>
    <x v="1"/>
    <x v="0"/>
    <n v="52"/>
  </r>
  <r>
    <x v="1"/>
    <x v="1"/>
    <n v="20"/>
    <n v="2020"/>
    <x v="0"/>
    <n v="6"/>
    <x v="1"/>
    <s v="No"/>
    <x v="5"/>
    <n v="2"/>
    <x v="1"/>
    <x v="0"/>
    <s v="Yes"/>
    <x v="7"/>
    <x v="0"/>
    <x v="5"/>
    <s v="No"/>
    <s v="No"/>
    <x v="1"/>
    <s v="Software Development"/>
    <n v="2"/>
    <x v="2"/>
    <s v="Relationship"/>
    <x v="0"/>
    <s v="Family"/>
    <x v="0"/>
    <n v="2.0699999999999998"/>
    <s v="No"/>
    <n v="3.39"/>
    <n v="84"/>
    <n v="66000"/>
    <x v="0"/>
    <x v="0"/>
    <n v="58"/>
  </r>
  <r>
    <x v="2"/>
    <x v="1"/>
    <n v="20"/>
    <n v="2020"/>
    <x v="0"/>
    <n v="8"/>
    <x v="1"/>
    <s v="No"/>
    <x v="5"/>
    <n v="2"/>
    <x v="1"/>
    <x v="0"/>
    <s v="Yes"/>
    <x v="5"/>
    <x v="2"/>
    <x v="5"/>
    <s v="No"/>
    <s v="No"/>
    <x v="0"/>
    <s v="Software Development"/>
    <n v="1"/>
    <x v="7"/>
    <s v="Single"/>
    <x v="1"/>
    <s v="Family"/>
    <x v="0"/>
    <n v="1.77"/>
    <s v="No"/>
    <n v="2.64"/>
    <n v="119"/>
    <n v="66000"/>
    <x v="0"/>
    <x v="0"/>
    <n v="55"/>
  </r>
  <r>
    <x v="1"/>
    <x v="0"/>
    <n v="20"/>
    <n v="2020"/>
    <x v="0"/>
    <n v="7"/>
    <x v="0"/>
    <s v="No"/>
    <x v="0"/>
    <n v="1"/>
    <x v="0"/>
    <x v="0"/>
    <s v="Yes"/>
    <x v="0"/>
    <x v="0"/>
    <x v="0"/>
    <s v="No"/>
    <s v="No"/>
    <x v="1"/>
    <s v="Networking"/>
    <n v="2"/>
    <x v="6"/>
    <s v="Single"/>
    <x v="1"/>
    <s v="Bachelor"/>
    <x v="0"/>
    <n v="2.11"/>
    <s v="No"/>
    <n v="3.21"/>
    <n v="102"/>
    <n v="66000"/>
    <x v="0"/>
    <x v="0"/>
    <n v="51"/>
  </r>
  <r>
    <x v="3"/>
    <x v="1"/>
    <n v="21"/>
    <n v="2021"/>
    <x v="0"/>
    <n v="5"/>
    <x v="1"/>
    <s v="No"/>
    <x v="2"/>
    <n v="1"/>
    <x v="0"/>
    <x v="0"/>
    <s v="No"/>
    <x v="2"/>
    <x v="0"/>
    <x v="38"/>
    <s v="Yes"/>
    <s v="No"/>
    <x v="0"/>
    <s v="Artificial Intelligence"/>
    <n v="4"/>
    <x v="0"/>
    <s v="Single"/>
    <x v="0"/>
    <s v="Bachelor"/>
    <x v="0"/>
    <n v="2.33"/>
    <s v="No"/>
    <n v="3.41"/>
    <n v="63"/>
    <n v="66000"/>
    <x v="0"/>
    <x v="0"/>
    <n v="36.400000000000006"/>
  </r>
  <r>
    <x v="3"/>
    <x v="1"/>
    <n v="20"/>
    <n v="2021"/>
    <x v="0"/>
    <n v="5"/>
    <x v="1"/>
    <s v="No"/>
    <x v="0"/>
    <n v="1"/>
    <x v="0"/>
    <x v="0"/>
    <s v="Yes"/>
    <x v="1"/>
    <x v="1"/>
    <x v="5"/>
    <s v="Yes"/>
    <s v="No"/>
    <x v="0"/>
    <s v="Software Development"/>
    <n v="4"/>
    <x v="2"/>
    <s v="Relationship"/>
    <x v="0"/>
    <s v="Bachelor"/>
    <x v="0"/>
    <n v="2.77"/>
    <s v="No"/>
    <n v="3.84"/>
    <n v="58"/>
    <n v="66000"/>
    <x v="1"/>
    <x v="0"/>
    <n v="61"/>
  </r>
  <r>
    <x v="4"/>
    <x v="0"/>
    <n v="21"/>
    <n v="2018"/>
    <x v="0"/>
    <n v="11"/>
    <x v="0"/>
    <s v="No"/>
    <x v="5"/>
    <n v="4"/>
    <x v="0"/>
    <x v="0"/>
    <s v="Yes"/>
    <x v="2"/>
    <x v="2"/>
    <x v="5"/>
    <s v="No"/>
    <s v="No"/>
    <x v="0"/>
    <s v="Software Development"/>
    <n v="3"/>
    <x v="2"/>
    <s v="Single"/>
    <x v="1"/>
    <s v="Family"/>
    <x v="0"/>
    <n v="2.87"/>
    <s v="No"/>
    <n v="3.98"/>
    <n v="136"/>
    <n v="67000"/>
    <x v="1"/>
    <x v="0"/>
    <n v="61"/>
  </r>
  <r>
    <x v="4"/>
    <x v="0"/>
    <n v="22"/>
    <n v="2017"/>
    <x v="0"/>
    <n v="10"/>
    <x v="1"/>
    <s v="No"/>
    <x v="0"/>
    <n v="1"/>
    <x v="1"/>
    <x v="0"/>
    <s v="Yes"/>
    <x v="6"/>
    <x v="0"/>
    <x v="5"/>
    <s v="No"/>
    <s v="No"/>
    <x v="1"/>
    <s v="Software Development"/>
    <n v="2"/>
    <x v="2"/>
    <s v="Single"/>
    <x v="1"/>
    <s v="Bachelor"/>
    <x v="0"/>
    <n v="2.19"/>
    <s v="No"/>
    <n v="3.43"/>
    <n v="116"/>
    <n v="68000"/>
    <x v="0"/>
    <x v="0"/>
    <n v="55"/>
  </r>
  <r>
    <x v="2"/>
    <x v="0"/>
    <n v="22"/>
    <n v="2019"/>
    <x v="0"/>
    <n v="10"/>
    <x v="1"/>
    <s v="No"/>
    <x v="2"/>
    <n v="1"/>
    <x v="0"/>
    <x v="0"/>
    <s v="Yes"/>
    <x v="7"/>
    <x v="2"/>
    <x v="5"/>
    <s v="No"/>
    <s v="No"/>
    <x v="0"/>
    <s v="Artificial Intelligence"/>
    <n v="2"/>
    <x v="6"/>
    <s v="Single"/>
    <x v="1"/>
    <s v="Family"/>
    <x v="0"/>
    <n v="2.11"/>
    <s v="No"/>
    <n v="3.39"/>
    <n v="132"/>
    <n v="68000"/>
    <x v="0"/>
    <x v="0"/>
    <n v="52"/>
  </r>
  <r>
    <x v="2"/>
    <x v="0"/>
    <n v="25"/>
    <n v="2019"/>
    <x v="0"/>
    <n v="11"/>
    <x v="1"/>
    <s v="No"/>
    <x v="1"/>
    <n v="2"/>
    <x v="0"/>
    <x v="0"/>
    <s v="Yes"/>
    <x v="2"/>
    <x v="0"/>
    <x v="39"/>
    <s v="No"/>
    <s v="No"/>
    <x v="0"/>
    <s v="Artificial Intelligence"/>
    <n v="4"/>
    <x v="0"/>
    <s v="Single"/>
    <x v="0"/>
    <s v="Bachelor"/>
    <x v="1"/>
    <n v="2.5099999999999998"/>
    <s v="No"/>
    <n v="3.57"/>
    <n v="136"/>
    <n v="68000"/>
    <x v="1"/>
    <x v="0"/>
    <n v="35.400000000000006"/>
  </r>
  <r>
    <x v="2"/>
    <x v="0"/>
    <n v="22"/>
    <n v="2019"/>
    <x v="0"/>
    <n v="9"/>
    <x v="1"/>
    <s v="No"/>
    <x v="0"/>
    <n v="2"/>
    <x v="1"/>
    <x v="0"/>
    <s v="Yes"/>
    <x v="1"/>
    <x v="1"/>
    <x v="5"/>
    <s v="No"/>
    <s v="No"/>
    <x v="1"/>
    <s v="Networking"/>
    <n v="2"/>
    <x v="6"/>
    <s v="Single"/>
    <x v="0"/>
    <s v="Bachelor"/>
    <x v="0"/>
    <n v="2.2200000000000002"/>
    <s v="No"/>
    <n v="3.38"/>
    <n v="100"/>
    <n v="68000"/>
    <x v="0"/>
    <x v="0"/>
    <n v="55"/>
  </r>
  <r>
    <x v="1"/>
    <x v="1"/>
    <n v="20"/>
    <n v="2020"/>
    <x v="0"/>
    <n v="8"/>
    <x v="1"/>
    <s v="No"/>
    <x v="2"/>
    <n v="2"/>
    <x v="0"/>
    <x v="0"/>
    <s v="Yes"/>
    <x v="2"/>
    <x v="0"/>
    <x v="40"/>
    <s v="Yes"/>
    <s v="No"/>
    <x v="1"/>
    <s v="Cyber security"/>
    <n v="3"/>
    <x v="0"/>
    <s v="Single"/>
    <x v="1"/>
    <s v="Bachelor"/>
    <x v="0"/>
    <n v="1.86"/>
    <s v="No"/>
    <n v="2.91"/>
    <n v="88"/>
    <n v="68000"/>
    <x v="0"/>
    <x v="0"/>
    <n v="28.6"/>
  </r>
  <r>
    <x v="1"/>
    <x v="1"/>
    <n v="22"/>
    <n v="2021"/>
    <x v="0"/>
    <n v="9"/>
    <x v="1"/>
    <s v="No"/>
    <x v="1"/>
    <n v="1"/>
    <x v="0"/>
    <x v="0"/>
    <s v="No"/>
    <x v="7"/>
    <x v="1"/>
    <x v="14"/>
    <s v="No"/>
    <s v="No"/>
    <x v="1"/>
    <s v="Artificial Intelligence"/>
    <n v="1"/>
    <x v="0"/>
    <s v="Married"/>
    <x v="0"/>
    <s v="Family"/>
    <x v="0"/>
    <n v="1.87"/>
    <s v="No"/>
    <n v="2.95"/>
    <n v="100"/>
    <n v="68000"/>
    <x v="0"/>
    <x v="0"/>
    <n v="26"/>
  </r>
  <r>
    <x v="3"/>
    <x v="1"/>
    <n v="21"/>
    <n v="2021"/>
    <x v="0"/>
    <n v="8"/>
    <x v="0"/>
    <s v="No"/>
    <x v="3"/>
    <n v="2"/>
    <x v="1"/>
    <x v="0"/>
    <s v="Yes"/>
    <x v="1"/>
    <x v="1"/>
    <x v="17"/>
    <s v="No"/>
    <s v="No"/>
    <x v="0"/>
    <s v="Cyber security"/>
    <n v="2"/>
    <x v="0"/>
    <s v="Single"/>
    <x v="1"/>
    <s v="Bachelor"/>
    <x v="0"/>
    <n v="2.88"/>
    <s v="No"/>
    <n v="3.91"/>
    <n v="88"/>
    <n v="68000"/>
    <x v="1"/>
    <x v="0"/>
    <n v="55.800000000000004"/>
  </r>
  <r>
    <x v="2"/>
    <x v="1"/>
    <n v="23"/>
    <n v="2018"/>
    <x v="0"/>
    <n v="10"/>
    <x v="1"/>
    <s v="No"/>
    <x v="0"/>
    <n v="3"/>
    <x v="1"/>
    <x v="0"/>
    <s v="Yes"/>
    <x v="5"/>
    <x v="0"/>
    <x v="10"/>
    <s v="Yes"/>
    <s v="Yes"/>
    <x v="1"/>
    <s v="Software Development"/>
    <n v="1"/>
    <x v="0"/>
    <s v="Single"/>
    <x v="1"/>
    <s v="Family"/>
    <x v="0"/>
    <n v="1.91"/>
    <s v="No"/>
    <n v="3.1"/>
    <n v="123"/>
    <n v="70000"/>
    <x v="0"/>
    <x v="0"/>
    <n v="51.6"/>
  </r>
  <r>
    <x v="1"/>
    <x v="1"/>
    <n v="20"/>
    <n v="2020"/>
    <x v="0"/>
    <n v="8"/>
    <x v="1"/>
    <s v="No"/>
    <x v="0"/>
    <n v="3"/>
    <x v="1"/>
    <x v="0"/>
    <s v="Yes"/>
    <x v="2"/>
    <x v="0"/>
    <x v="5"/>
    <s v="No"/>
    <s v="No"/>
    <x v="1"/>
    <s v="Software Development"/>
    <n v="2"/>
    <x v="7"/>
    <s v="Relationship"/>
    <x v="1"/>
    <s v="Family"/>
    <x v="0"/>
    <n v="1.81"/>
    <s v="No"/>
    <n v="2.9"/>
    <n v="101"/>
    <n v="70000"/>
    <x v="0"/>
    <x v="0"/>
    <n v="55"/>
  </r>
  <r>
    <x v="3"/>
    <x v="0"/>
    <n v="20"/>
    <n v="2020"/>
    <x v="0"/>
    <n v="6"/>
    <x v="1"/>
    <s v="No"/>
    <x v="2"/>
    <n v="2"/>
    <x v="0"/>
    <x v="0"/>
    <s v="Yes"/>
    <x v="2"/>
    <x v="0"/>
    <x v="41"/>
    <s v="Yes"/>
    <s v="No"/>
    <x v="0"/>
    <s v="Software Development"/>
    <n v="2"/>
    <x v="7"/>
    <s v="Single"/>
    <x v="1"/>
    <s v="Family"/>
    <x v="1"/>
    <n v="1.72"/>
    <s v="No"/>
    <n v="2.8"/>
    <n v="80"/>
    <n v="70000"/>
    <x v="0"/>
    <x v="0"/>
    <n v="34.400000000000006"/>
  </r>
  <r>
    <x v="1"/>
    <x v="1"/>
    <n v="20"/>
    <n v="2020"/>
    <x v="0"/>
    <n v="9"/>
    <x v="1"/>
    <s v="No"/>
    <x v="1"/>
    <n v="1"/>
    <x v="0"/>
    <x v="0"/>
    <s v="Yes"/>
    <x v="1"/>
    <x v="0"/>
    <x v="42"/>
    <s v="No"/>
    <s v="No"/>
    <x v="0"/>
    <s v="Software Development"/>
    <n v="2"/>
    <x v="2"/>
    <s v="Relationship"/>
    <x v="1"/>
    <s v="Bachelor"/>
    <x v="0"/>
    <n v="1.56"/>
    <s v="No"/>
    <n v="2.63"/>
    <n v="70"/>
    <n v="70000"/>
    <x v="0"/>
    <x v="0"/>
    <n v="39.400000000000006"/>
  </r>
  <r>
    <x v="1"/>
    <x v="1"/>
    <n v="24"/>
    <n v="2021"/>
    <x v="0"/>
    <n v="6"/>
    <x v="1"/>
    <s v="No"/>
    <x v="1"/>
    <n v="1"/>
    <x v="0"/>
    <x v="0"/>
    <s v="Yes"/>
    <x v="4"/>
    <x v="1"/>
    <x v="5"/>
    <s v="No"/>
    <s v="No"/>
    <x v="1"/>
    <s v="Software Development"/>
    <n v="2"/>
    <x v="2"/>
    <s v="Single"/>
    <x v="0"/>
    <s v="Family"/>
    <x v="1"/>
    <n v="2.23"/>
    <s v="No"/>
    <n v="3.39"/>
    <n v="98"/>
    <n v="70000"/>
    <x v="0"/>
    <x v="0"/>
    <n v="49"/>
  </r>
  <r>
    <x v="3"/>
    <x v="1"/>
    <n v="21"/>
    <n v="2021"/>
    <x v="0"/>
    <n v="6"/>
    <x v="1"/>
    <s v="No"/>
    <x v="2"/>
    <n v="1"/>
    <x v="0"/>
    <x v="0"/>
    <s v="Yes"/>
    <x v="1"/>
    <x v="0"/>
    <x v="5"/>
    <s v="Yes"/>
    <s v="No"/>
    <x v="0"/>
    <s v="Networking"/>
    <n v="2"/>
    <x v="6"/>
    <s v="Relationship"/>
    <x v="1"/>
    <s v="Bachelor"/>
    <x v="0"/>
    <n v="2.67"/>
    <s v="No"/>
    <n v="3.74"/>
    <n v="70"/>
    <n v="70000"/>
    <x v="1"/>
    <x v="0"/>
    <n v="52"/>
  </r>
  <r>
    <x v="3"/>
    <x v="1"/>
    <n v="19"/>
    <n v="2022"/>
    <x v="0"/>
    <n v="3"/>
    <x v="1"/>
    <s v="No"/>
    <x v="5"/>
    <n v="3"/>
    <x v="1"/>
    <x v="0"/>
    <s v="Yes"/>
    <x v="4"/>
    <x v="0"/>
    <x v="43"/>
    <s v="No"/>
    <s v="No"/>
    <x v="1"/>
    <s v="Software Development"/>
    <n v="2"/>
    <x v="2"/>
    <s v="Relationship"/>
    <x v="1"/>
    <s v="Bachelor"/>
    <x v="1"/>
    <n v="1.65"/>
    <s v="No"/>
    <n v="2.87"/>
    <n v="35"/>
    <n v="70000"/>
    <x v="0"/>
    <x v="0"/>
    <n v="43.2"/>
  </r>
  <r>
    <x v="1"/>
    <x v="1"/>
    <n v="20"/>
    <n v="2020"/>
    <x v="0"/>
    <n v="9"/>
    <x v="1"/>
    <s v="No"/>
    <x v="2"/>
    <n v="1"/>
    <x v="1"/>
    <x v="0"/>
    <s v="Yes"/>
    <x v="5"/>
    <x v="2"/>
    <x v="0"/>
    <s v="No"/>
    <s v="No"/>
    <x v="0"/>
    <s v="Machine Learning"/>
    <n v="2"/>
    <x v="2"/>
    <s v="Relationship"/>
    <x v="1"/>
    <s v="Family"/>
    <x v="0"/>
    <n v="2.44"/>
    <s v="No"/>
    <n v="3.88"/>
    <n v="23"/>
    <n v="71000"/>
    <x v="1"/>
    <x v="0"/>
    <n v="48"/>
  </r>
  <r>
    <x v="3"/>
    <x v="0"/>
    <n v="20"/>
    <n v="2021"/>
    <x v="0"/>
    <n v="6"/>
    <x v="1"/>
    <s v="No"/>
    <x v="5"/>
    <n v="2"/>
    <x v="0"/>
    <x v="0"/>
    <s v="Yes"/>
    <x v="1"/>
    <x v="0"/>
    <x v="36"/>
    <s v="Yes"/>
    <s v="No"/>
    <x v="1"/>
    <s v="Networking"/>
    <n v="4"/>
    <x v="6"/>
    <s v="Married"/>
    <x v="0"/>
    <s v="Family"/>
    <x v="0"/>
    <n v="1.56"/>
    <s v="No"/>
    <n v="2.63"/>
    <n v="70"/>
    <n v="74000"/>
    <x v="0"/>
    <x v="0"/>
    <n v="51.2"/>
  </r>
  <r>
    <x v="2"/>
    <x v="1"/>
    <n v="21"/>
    <n v="2019"/>
    <x v="0"/>
    <n v="10"/>
    <x v="1"/>
    <s v="No"/>
    <x v="4"/>
    <n v="2"/>
    <x v="0"/>
    <x v="0"/>
    <s v="Yes"/>
    <x v="4"/>
    <x v="0"/>
    <x v="2"/>
    <s v="No"/>
    <s v="No"/>
    <x v="1"/>
    <s v="Networking"/>
    <n v="4"/>
    <x v="6"/>
    <s v="Relationship"/>
    <x v="1"/>
    <s v="Bachelor"/>
    <x v="1"/>
    <n v="2.21"/>
    <s v="No"/>
    <n v="3.21"/>
    <n v="116"/>
    <n v="75000"/>
    <x v="0"/>
    <x v="0"/>
    <n v="62"/>
  </r>
  <r>
    <x v="2"/>
    <x v="0"/>
    <n v="20"/>
    <n v="2020"/>
    <x v="0"/>
    <n v="11"/>
    <x v="1"/>
    <s v="No"/>
    <x v="1"/>
    <n v="3"/>
    <x v="0"/>
    <x v="0"/>
    <s v="Yes"/>
    <x v="1"/>
    <x v="0"/>
    <x v="5"/>
    <s v="No"/>
    <s v="No"/>
    <x v="1"/>
    <s v="Networking"/>
    <n v="1"/>
    <x v="6"/>
    <s v="Relationship"/>
    <x v="1"/>
    <s v="Bachelor"/>
    <x v="0"/>
    <n v="2.61"/>
    <s v="No"/>
    <n v="3.68"/>
    <n v="136"/>
    <n v="75000"/>
    <x v="1"/>
    <x v="0"/>
    <n v="46"/>
  </r>
  <r>
    <x v="1"/>
    <x v="1"/>
    <n v="24"/>
    <n v="2019"/>
    <x v="0"/>
    <n v="10"/>
    <x v="1"/>
    <s v="No"/>
    <x v="0"/>
    <n v="3"/>
    <x v="0"/>
    <x v="0"/>
    <s v="Yes"/>
    <x v="2"/>
    <x v="1"/>
    <x v="5"/>
    <s v="No"/>
    <s v="No"/>
    <x v="0"/>
    <s v="Artificial Intelligence"/>
    <n v="2"/>
    <x v="0"/>
    <s v="Relationship"/>
    <x v="1"/>
    <s v="Bachelor"/>
    <x v="0"/>
    <n v="2.41"/>
    <s v="No"/>
    <n v="3.5"/>
    <n v="116"/>
    <n v="76000"/>
    <x v="1"/>
    <x v="0"/>
    <n v="55"/>
  </r>
  <r>
    <x v="1"/>
    <x v="1"/>
    <n v="20"/>
    <n v="2020"/>
    <x v="0"/>
    <n v="9"/>
    <x v="1"/>
    <s v="No"/>
    <x v="2"/>
    <n v="3"/>
    <x v="1"/>
    <x v="0"/>
    <s v="Yes"/>
    <x v="1"/>
    <x v="2"/>
    <x v="5"/>
    <s v="Yes"/>
    <s v="No"/>
    <x v="1"/>
    <s v="Cyber security"/>
    <n v="2"/>
    <x v="0"/>
    <s v="Single"/>
    <x v="0"/>
    <s v="Family"/>
    <x v="0"/>
    <n v="1.57"/>
    <s v="No"/>
    <n v="2.66"/>
    <n v="100"/>
    <n v="76000"/>
    <x v="0"/>
    <x v="0"/>
    <n v="52"/>
  </r>
  <r>
    <x v="1"/>
    <x v="0"/>
    <n v="20"/>
    <n v="2020"/>
    <x v="0"/>
    <n v="9"/>
    <x v="0"/>
    <s v="No"/>
    <x v="5"/>
    <n v="1"/>
    <x v="0"/>
    <x v="0"/>
    <s v="Yes"/>
    <x v="2"/>
    <x v="2"/>
    <x v="5"/>
    <s v="Yes"/>
    <s v="No"/>
    <x v="0"/>
    <s v="Machine Learning"/>
    <n v="2"/>
    <x v="0"/>
    <s v="Relationship"/>
    <x v="0"/>
    <s v="Bachelor"/>
    <x v="0"/>
    <n v="2.73"/>
    <s v="No"/>
    <n v="3.8"/>
    <n v="100"/>
    <n v="76000"/>
    <x v="1"/>
    <x v="0"/>
    <n v="58"/>
  </r>
  <r>
    <x v="2"/>
    <x v="0"/>
    <n v="22"/>
    <n v="2020"/>
    <x v="0"/>
    <n v="9"/>
    <x v="1"/>
    <s v="No"/>
    <x v="2"/>
    <n v="1"/>
    <x v="0"/>
    <x v="0"/>
    <s v="Yes"/>
    <x v="2"/>
    <x v="2"/>
    <x v="5"/>
    <s v="Yes"/>
    <s v="No"/>
    <x v="0"/>
    <s v="Networking"/>
    <n v="4"/>
    <x v="6"/>
    <s v="Married"/>
    <x v="1"/>
    <s v="Family"/>
    <x v="1"/>
    <n v="2.87"/>
    <s v="No"/>
    <n v="3.93"/>
    <n v="100"/>
    <n v="76000"/>
    <x v="1"/>
    <x v="0"/>
    <n v="58"/>
  </r>
  <r>
    <x v="3"/>
    <x v="0"/>
    <n v="20"/>
    <n v="2021"/>
    <x v="0"/>
    <n v="5"/>
    <x v="1"/>
    <s v="No"/>
    <x v="0"/>
    <n v="2"/>
    <x v="1"/>
    <x v="0"/>
    <s v="Yes"/>
    <x v="1"/>
    <x v="0"/>
    <x v="5"/>
    <s v="No"/>
    <s v="No"/>
    <x v="1"/>
    <s v="Networking"/>
    <n v="3"/>
    <x v="6"/>
    <s v="Single"/>
    <x v="1"/>
    <s v="Bachelor"/>
    <x v="0"/>
    <n v="1.56"/>
    <s v="No"/>
    <n v="2.66"/>
    <n v="71"/>
    <n v="76000"/>
    <x v="0"/>
    <x v="0"/>
    <n v="58"/>
  </r>
  <r>
    <x v="3"/>
    <x v="0"/>
    <n v="25"/>
    <n v="2018"/>
    <x v="0"/>
    <n v="6"/>
    <x v="1"/>
    <s v="No"/>
    <x v="0"/>
    <n v="2"/>
    <x v="1"/>
    <x v="0"/>
    <s v="Yes"/>
    <x v="7"/>
    <x v="2"/>
    <x v="5"/>
    <s v="No"/>
    <s v="No"/>
    <x v="1"/>
    <s v="Software Development"/>
    <n v="3"/>
    <x v="7"/>
    <s v="Single"/>
    <x v="1"/>
    <s v="Bachelor"/>
    <x v="1"/>
    <n v="2.87"/>
    <s v="No"/>
    <n v="3.98"/>
    <n v="143"/>
    <n v="77000"/>
    <x v="1"/>
    <x v="0"/>
    <n v="58"/>
  </r>
  <r>
    <x v="1"/>
    <x v="0"/>
    <n v="23"/>
    <n v="2019"/>
    <x v="0"/>
    <n v="8"/>
    <x v="1"/>
    <s v="No"/>
    <x v="0"/>
    <n v="1"/>
    <x v="1"/>
    <x v="0"/>
    <s v="Yes"/>
    <x v="6"/>
    <x v="2"/>
    <x v="44"/>
    <s v="No"/>
    <s v="No"/>
    <x v="1"/>
    <s v="Machine Learning"/>
    <n v="1"/>
    <x v="0"/>
    <s v="Single"/>
    <x v="1"/>
    <s v="Bachelor"/>
    <x v="0"/>
    <n v="1.79"/>
    <s v="No"/>
    <n v="2.85"/>
    <n v="104"/>
    <n v="77000"/>
    <x v="0"/>
    <x v="0"/>
    <n v="47.6"/>
  </r>
  <r>
    <x v="4"/>
    <x v="0"/>
    <n v="21"/>
    <n v="2019"/>
    <x v="0"/>
    <n v="10"/>
    <x v="0"/>
    <s v="No"/>
    <x v="7"/>
    <n v="3"/>
    <x v="1"/>
    <x v="0"/>
    <s v="Yes"/>
    <x v="1"/>
    <x v="2"/>
    <x v="5"/>
    <s v="No"/>
    <s v="No"/>
    <x v="1"/>
    <s v="Software Development"/>
    <n v="2"/>
    <x v="7"/>
    <s v="Single"/>
    <x v="1"/>
    <s v="Family"/>
    <x v="0"/>
    <n v="2.88"/>
    <s v="No"/>
    <n v="3.93"/>
    <n v="139"/>
    <n v="77000"/>
    <x v="1"/>
    <x v="0"/>
    <n v="67"/>
  </r>
  <r>
    <x v="2"/>
    <x v="1"/>
    <n v="22"/>
    <n v="2019"/>
    <x v="0"/>
    <n v="9"/>
    <x v="1"/>
    <s v="No"/>
    <x v="5"/>
    <n v="2"/>
    <x v="0"/>
    <x v="0"/>
    <s v="Yes"/>
    <x v="2"/>
    <x v="0"/>
    <x v="5"/>
    <s v="Yes"/>
    <s v="No"/>
    <x v="1"/>
    <s v="Artificial Intelligence"/>
    <n v="1"/>
    <x v="0"/>
    <s v="Relationship"/>
    <x v="1"/>
    <s v="Bachelor"/>
    <x v="1"/>
    <n v="2.78"/>
    <s v="No"/>
    <n v="3.84"/>
    <n v="120"/>
    <n v="77000"/>
    <x v="1"/>
    <x v="0"/>
    <n v="55"/>
  </r>
  <r>
    <x v="1"/>
    <x v="1"/>
    <n v="22"/>
    <n v="2020"/>
    <x v="0"/>
    <n v="6"/>
    <x v="0"/>
    <s v="No"/>
    <x v="1"/>
    <n v="1"/>
    <x v="1"/>
    <x v="0"/>
    <s v="Yes"/>
    <x v="4"/>
    <x v="1"/>
    <x v="8"/>
    <s v="No"/>
    <s v="No"/>
    <x v="1"/>
    <s v="Cyber security"/>
    <n v="3"/>
    <x v="6"/>
    <s v="Relationship"/>
    <x v="0"/>
    <s v="Family"/>
    <x v="1"/>
    <n v="2.36"/>
    <s v="Yes"/>
    <n v="3.19"/>
    <n v="70"/>
    <n v="77000"/>
    <x v="0"/>
    <x v="0"/>
    <n v="51.2"/>
  </r>
  <r>
    <x v="2"/>
    <x v="1"/>
    <n v="21"/>
    <n v="2020"/>
    <x v="0"/>
    <n v="7"/>
    <x v="1"/>
    <s v="No"/>
    <x v="0"/>
    <n v="2"/>
    <x v="0"/>
    <x v="0"/>
    <s v="Yes"/>
    <x v="4"/>
    <x v="0"/>
    <x v="5"/>
    <s v="No"/>
    <s v="No"/>
    <x v="0"/>
    <s v="Machine Learning"/>
    <n v="3"/>
    <x v="2"/>
    <s v="Single"/>
    <x v="1"/>
    <s v="Family"/>
    <x v="0"/>
    <n v="2.0299999999999998"/>
    <s v="No"/>
    <n v="3.15"/>
    <n v="65"/>
    <n v="78000"/>
    <x v="0"/>
    <x v="0"/>
    <n v="58"/>
  </r>
  <r>
    <x v="0"/>
    <x v="1"/>
    <n v="25"/>
    <n v="2018"/>
    <x v="0"/>
    <n v="11"/>
    <x v="0"/>
    <s v="No"/>
    <x v="3"/>
    <n v="3"/>
    <x v="0"/>
    <x v="0"/>
    <s v="Yes"/>
    <x v="3"/>
    <x v="1"/>
    <x v="28"/>
    <s v="Yes"/>
    <s v="No"/>
    <x v="0"/>
    <s v="Artificial Intelligence"/>
    <n v="4"/>
    <x v="2"/>
    <s v="Single"/>
    <x v="0"/>
    <s v="Bachelor"/>
    <x v="0"/>
    <n v="2.83"/>
    <s v="No"/>
    <n v="3.9"/>
    <n v="143"/>
    <n v="79000"/>
    <x v="1"/>
    <x v="0"/>
    <n v="58.2"/>
  </r>
  <r>
    <x v="2"/>
    <x v="1"/>
    <n v="20"/>
    <n v="2019"/>
    <x v="0"/>
    <n v="7"/>
    <x v="0"/>
    <s v="No"/>
    <x v="3"/>
    <n v="3"/>
    <x v="0"/>
    <x v="0"/>
    <s v="Yes"/>
    <x v="4"/>
    <x v="2"/>
    <x v="5"/>
    <s v="No"/>
    <s v="No"/>
    <x v="1"/>
    <s v="Networking"/>
    <n v="1"/>
    <x v="7"/>
    <s v="Single"/>
    <x v="0"/>
    <s v="Family"/>
    <x v="0"/>
    <n v="2.44"/>
    <s v="No"/>
    <n v="3.78"/>
    <n v="88"/>
    <n v="79000"/>
    <x v="1"/>
    <x v="0"/>
    <n v="58"/>
  </r>
  <r>
    <x v="1"/>
    <x v="0"/>
    <n v="20"/>
    <n v="2020"/>
    <x v="0"/>
    <n v="7"/>
    <x v="1"/>
    <s v="No"/>
    <x v="3"/>
    <n v="3"/>
    <x v="0"/>
    <x v="0"/>
    <s v="Yes"/>
    <x v="0"/>
    <x v="0"/>
    <x v="14"/>
    <s v="No"/>
    <s v="No"/>
    <x v="0"/>
    <s v="Software Development"/>
    <n v="3"/>
    <x v="7"/>
    <s v="Single"/>
    <x v="1"/>
    <s v="Family"/>
    <x v="0"/>
    <n v="1.66"/>
    <s v="No"/>
    <n v="2.99"/>
    <n v="97"/>
    <n v="79000"/>
    <x v="0"/>
    <x v="0"/>
    <n v="44"/>
  </r>
  <r>
    <x v="4"/>
    <x v="0"/>
    <n v="21"/>
    <n v="2018"/>
    <x v="0"/>
    <n v="10"/>
    <x v="1"/>
    <s v="Yes"/>
    <x v="4"/>
    <n v="4"/>
    <x v="0"/>
    <x v="0"/>
    <s v="Yes"/>
    <x v="1"/>
    <x v="2"/>
    <x v="2"/>
    <s v="No"/>
    <s v="No"/>
    <x v="1"/>
    <s v="Cyber security"/>
    <n v="2"/>
    <x v="7"/>
    <s v="Single"/>
    <x v="0"/>
    <s v="Family"/>
    <x v="0"/>
    <n v="2.54"/>
    <s v="No"/>
    <n v="3.76"/>
    <n v="126"/>
    <n v="80000"/>
    <x v="1"/>
    <x v="0"/>
    <n v="56"/>
  </r>
  <r>
    <x v="2"/>
    <x v="1"/>
    <n v="22"/>
    <n v="2019"/>
    <x v="0"/>
    <n v="11"/>
    <x v="0"/>
    <s v="No"/>
    <x v="2"/>
    <n v="1"/>
    <x v="1"/>
    <x v="0"/>
    <s v="Yes"/>
    <x v="4"/>
    <x v="0"/>
    <x v="10"/>
    <s v="No"/>
    <s v="No"/>
    <x v="1"/>
    <s v="Software Development"/>
    <n v="1"/>
    <x v="6"/>
    <s v="Single"/>
    <x v="1"/>
    <s v="Family"/>
    <x v="0"/>
    <n v="2.79"/>
    <s v="No"/>
    <n v="3.59"/>
    <n v="125"/>
    <n v="80000"/>
    <x v="1"/>
    <x v="0"/>
    <n v="48.6"/>
  </r>
  <r>
    <x v="4"/>
    <x v="0"/>
    <n v="20"/>
    <n v="2019"/>
    <x v="0"/>
    <n v="11"/>
    <x v="1"/>
    <s v="No"/>
    <x v="2"/>
    <n v="1"/>
    <x v="0"/>
    <x v="0"/>
    <s v="Yes"/>
    <x v="5"/>
    <x v="1"/>
    <x v="22"/>
    <s v="Yes"/>
    <s v="Yes"/>
    <x v="0"/>
    <s v="Cyber security"/>
    <n v="2"/>
    <x v="6"/>
    <s v="Relationship"/>
    <x v="1"/>
    <s v="Bachelor"/>
    <x v="0"/>
    <n v="1.55"/>
    <s v="No"/>
    <n v="2.67"/>
    <n v="144"/>
    <n v="80000"/>
    <x v="0"/>
    <x v="0"/>
    <n v="42.8"/>
  </r>
  <r>
    <x v="1"/>
    <x v="0"/>
    <n v="21"/>
    <n v="2020"/>
    <x v="0"/>
    <n v="8"/>
    <x v="1"/>
    <s v="No"/>
    <x v="5"/>
    <n v="2"/>
    <x v="0"/>
    <x v="0"/>
    <s v="Yes"/>
    <x v="2"/>
    <x v="2"/>
    <x v="5"/>
    <s v="Yes"/>
    <s v="No"/>
    <x v="1"/>
    <s v="Networking"/>
    <n v="2"/>
    <x v="0"/>
    <s v="Single"/>
    <x v="1"/>
    <s v="Family"/>
    <x v="1"/>
    <n v="1.25"/>
    <s v="No"/>
    <n v="2.57"/>
    <n v="101"/>
    <n v="80000"/>
    <x v="0"/>
    <x v="0"/>
    <n v="58"/>
  </r>
  <r>
    <x v="2"/>
    <x v="1"/>
    <n v="20"/>
    <n v="2020"/>
    <x v="0"/>
    <n v="10"/>
    <x v="1"/>
    <s v="No"/>
    <x v="5"/>
    <n v="2"/>
    <x v="0"/>
    <x v="0"/>
    <s v="Yes"/>
    <x v="2"/>
    <x v="2"/>
    <x v="5"/>
    <s v="No"/>
    <s v="No"/>
    <x v="1"/>
    <s v="Networking"/>
    <n v="2"/>
    <x v="6"/>
    <s v="Single"/>
    <x v="1"/>
    <s v="Bachelor"/>
    <x v="0"/>
    <n v="2.56"/>
    <s v="No"/>
    <n v="3.61"/>
    <n v="131"/>
    <n v="80000"/>
    <x v="1"/>
    <x v="0"/>
    <n v="58"/>
  </r>
  <r>
    <x v="3"/>
    <x v="0"/>
    <n v="20"/>
    <n v="2021"/>
    <x v="0"/>
    <n v="8"/>
    <x v="1"/>
    <s v="No"/>
    <x v="5"/>
    <n v="1"/>
    <x v="0"/>
    <x v="0"/>
    <s v="Yes"/>
    <x v="1"/>
    <x v="0"/>
    <x v="5"/>
    <s v="Yes"/>
    <s v="No"/>
    <x v="1"/>
    <s v="Networking"/>
    <n v="1"/>
    <x v="6"/>
    <s v="Single"/>
    <x v="0"/>
    <s v="Family"/>
    <x v="0"/>
    <n v="2.64"/>
    <s v="No"/>
    <n v="3.7"/>
    <n v="99"/>
    <n v="81000"/>
    <x v="1"/>
    <x v="0"/>
    <n v="55"/>
  </r>
  <r>
    <x v="2"/>
    <x v="0"/>
    <n v="20"/>
    <n v="2020"/>
    <x v="0"/>
    <n v="10"/>
    <x v="0"/>
    <s v="No"/>
    <x v="0"/>
    <n v="2"/>
    <x v="0"/>
    <x v="0"/>
    <s v="Yes"/>
    <x v="6"/>
    <x v="2"/>
    <x v="28"/>
    <s v="No"/>
    <s v="No"/>
    <x v="1"/>
    <s v="Cyber security"/>
    <n v="2"/>
    <x v="0"/>
    <s v="Married"/>
    <x v="0"/>
    <s v="Family"/>
    <x v="1"/>
    <n v="1.45"/>
    <s v="No"/>
    <n v="2.67"/>
    <n v="142"/>
    <n v="82000"/>
    <x v="0"/>
    <x v="0"/>
    <n v="46.2"/>
  </r>
  <r>
    <x v="2"/>
    <x v="0"/>
    <n v="21"/>
    <n v="2018"/>
    <x v="0"/>
    <n v="10"/>
    <x v="1"/>
    <s v="No"/>
    <x v="0"/>
    <n v="2"/>
    <x v="0"/>
    <x v="0"/>
    <s v="Yes"/>
    <x v="1"/>
    <x v="1"/>
    <x v="7"/>
    <s v="No"/>
    <s v="No"/>
    <x v="1"/>
    <s v="Software Development"/>
    <n v="3"/>
    <x v="7"/>
    <s v="Relationship"/>
    <x v="1"/>
    <s v="Bachelor"/>
    <x v="1"/>
    <n v="1.56"/>
    <s v="No"/>
    <n v="2.87"/>
    <n v="133"/>
    <n v="85000"/>
    <x v="0"/>
    <x v="0"/>
    <n v="46"/>
  </r>
  <r>
    <x v="3"/>
    <x v="1"/>
    <n v="21"/>
    <n v="2021"/>
    <x v="0"/>
    <n v="6"/>
    <x v="0"/>
    <s v="No"/>
    <x v="4"/>
    <n v="2"/>
    <x v="0"/>
    <x v="0"/>
    <s v="Yes"/>
    <x v="0"/>
    <x v="0"/>
    <x v="7"/>
    <s v="No"/>
    <s v="No"/>
    <x v="0"/>
    <s v="Software Development"/>
    <n v="5"/>
    <x v="7"/>
    <s v="Relationship"/>
    <x v="1"/>
    <s v="Family"/>
    <x v="0"/>
    <n v="2.1"/>
    <s v="No"/>
    <n v="3.37"/>
    <n v="86"/>
    <n v="85000"/>
    <x v="0"/>
    <x v="0"/>
    <n v="61"/>
  </r>
  <r>
    <x v="3"/>
    <x v="1"/>
    <n v="20"/>
    <n v="2022"/>
    <x v="0"/>
    <n v="3"/>
    <x v="1"/>
    <s v="No"/>
    <x v="2"/>
    <n v="1"/>
    <x v="1"/>
    <x v="0"/>
    <s v="No"/>
    <x v="1"/>
    <x v="0"/>
    <x v="23"/>
    <s v="No"/>
    <s v="No"/>
    <x v="1"/>
    <s v="Artificial Intelligence"/>
    <n v="1"/>
    <x v="6"/>
    <s v="Married"/>
    <x v="1"/>
    <s v="Family"/>
    <x v="0"/>
    <n v="2.1"/>
    <s v="No"/>
    <n v="3.28"/>
    <n v="77"/>
    <n v="85000"/>
    <x v="0"/>
    <x v="0"/>
    <n v="33"/>
  </r>
  <r>
    <x v="1"/>
    <x v="1"/>
    <n v="20"/>
    <n v="2020"/>
    <x v="0"/>
    <n v="10"/>
    <x v="1"/>
    <s v="No"/>
    <x v="2"/>
    <n v="2"/>
    <x v="1"/>
    <x v="0"/>
    <s v="Yes"/>
    <x v="2"/>
    <x v="0"/>
    <x v="5"/>
    <s v="Yes"/>
    <s v="No"/>
    <x v="0"/>
    <s v="Artificial Intelligence"/>
    <n v="4"/>
    <x v="0"/>
    <s v="Married"/>
    <x v="1"/>
    <s v="Family"/>
    <x v="0"/>
    <n v="1.54"/>
    <s v="No"/>
    <n v="2.64"/>
    <n v="137"/>
    <n v="86000"/>
    <x v="0"/>
    <x v="0"/>
    <n v="58"/>
  </r>
  <r>
    <x v="4"/>
    <x v="0"/>
    <n v="24"/>
    <n v="2019"/>
    <x v="0"/>
    <n v="10"/>
    <x v="1"/>
    <s v="No"/>
    <x v="1"/>
    <n v="3"/>
    <x v="0"/>
    <x v="0"/>
    <s v="Yes"/>
    <x v="2"/>
    <x v="1"/>
    <x v="2"/>
    <s v="Yes"/>
    <s v="Yes"/>
    <x v="0"/>
    <s v="Software Development"/>
    <n v="1"/>
    <x v="2"/>
    <s v="Relationship"/>
    <x v="0"/>
    <s v="Family"/>
    <x v="1"/>
    <n v="2.39"/>
    <s v="No"/>
    <n v="3.43"/>
    <n v="45"/>
    <n v="87000"/>
    <x v="0"/>
    <x v="0"/>
    <n v="38"/>
  </r>
  <r>
    <x v="2"/>
    <x v="1"/>
    <n v="21"/>
    <n v="2020"/>
    <x v="0"/>
    <n v="8"/>
    <x v="1"/>
    <s v="No"/>
    <x v="5"/>
    <n v="3"/>
    <x v="1"/>
    <x v="0"/>
    <s v="Yes"/>
    <x v="2"/>
    <x v="2"/>
    <x v="2"/>
    <s v="No"/>
    <s v="No"/>
    <x v="1"/>
    <s v="Cyber security"/>
    <n v="3"/>
    <x v="7"/>
    <s v="Married"/>
    <x v="1"/>
    <s v="Family"/>
    <x v="0"/>
    <n v="2.5099999999999998"/>
    <s v="No"/>
    <n v="3.87"/>
    <n v="103"/>
    <n v="87000"/>
    <x v="1"/>
    <x v="0"/>
    <n v="53"/>
  </r>
  <r>
    <x v="2"/>
    <x v="0"/>
    <n v="21"/>
    <n v="2020"/>
    <x v="0"/>
    <n v="11"/>
    <x v="0"/>
    <s v="No"/>
    <x v="2"/>
    <n v="2"/>
    <x v="0"/>
    <x v="0"/>
    <s v="Yes"/>
    <x v="3"/>
    <x v="1"/>
    <x v="45"/>
    <s v="No"/>
    <s v="No"/>
    <x v="1"/>
    <s v="Machine Learning"/>
    <n v="2"/>
    <x v="0"/>
    <s v="Single"/>
    <x v="0"/>
    <s v="Bachelor"/>
    <x v="0"/>
    <n v="2.81"/>
    <s v="No"/>
    <n v="3.89"/>
    <n v="143"/>
    <n v="87000"/>
    <x v="1"/>
    <x v="0"/>
    <n v="43.6"/>
  </r>
  <r>
    <x v="1"/>
    <x v="1"/>
    <n v="20"/>
    <n v="2020"/>
    <x v="0"/>
    <n v="9"/>
    <x v="1"/>
    <s v="No"/>
    <x v="2"/>
    <n v="1"/>
    <x v="0"/>
    <x v="0"/>
    <s v="Yes"/>
    <x v="2"/>
    <x v="2"/>
    <x v="3"/>
    <s v="No"/>
    <s v="No"/>
    <x v="0"/>
    <s v="Software Development"/>
    <n v="1"/>
    <x v="7"/>
    <s v="Single"/>
    <x v="1"/>
    <s v="Bachelor"/>
    <x v="0"/>
    <n v="2.4500000000000002"/>
    <s v="No"/>
    <n v="3.54"/>
    <n v="117"/>
    <n v="88000"/>
    <x v="1"/>
    <x v="0"/>
    <n v="44.2"/>
  </r>
  <r>
    <x v="1"/>
    <x v="0"/>
    <n v="20"/>
    <n v="2021"/>
    <x v="0"/>
    <n v="8"/>
    <x v="1"/>
    <s v="No"/>
    <x v="0"/>
    <n v="1"/>
    <x v="0"/>
    <x v="0"/>
    <s v="Yes"/>
    <x v="1"/>
    <x v="0"/>
    <x v="5"/>
    <s v="Yes"/>
    <s v="No"/>
    <x v="1"/>
    <s v="Artificial Intelligence"/>
    <n v="2"/>
    <x v="0"/>
    <s v="Single"/>
    <x v="0"/>
    <s v="Family"/>
    <x v="1"/>
    <n v="2.66"/>
    <s v="No"/>
    <n v="3.72"/>
    <n v="98"/>
    <n v="88000"/>
    <x v="1"/>
    <x v="0"/>
    <n v="55"/>
  </r>
  <r>
    <x v="2"/>
    <x v="1"/>
    <n v="21"/>
    <n v="2019"/>
    <x v="0"/>
    <n v="9"/>
    <x v="0"/>
    <s v="No"/>
    <x v="4"/>
    <n v="1"/>
    <x v="0"/>
    <x v="1"/>
    <s v="Yes"/>
    <x v="4"/>
    <x v="0"/>
    <x v="2"/>
    <s v="No"/>
    <s v="No"/>
    <x v="0"/>
    <s v="Software Development"/>
    <n v="1"/>
    <x v="7"/>
    <s v="Relationship"/>
    <x v="0"/>
    <s v="Family"/>
    <x v="1"/>
    <n v="2.04"/>
    <s v="No"/>
    <n v="3.23"/>
    <n v="100"/>
    <n v="89000"/>
    <x v="0"/>
    <x v="0"/>
    <n v="53"/>
  </r>
  <r>
    <x v="1"/>
    <x v="0"/>
    <n v="21"/>
    <n v="2020"/>
    <x v="0"/>
    <n v="8"/>
    <x v="1"/>
    <s v="No"/>
    <x v="5"/>
    <n v="2"/>
    <x v="1"/>
    <x v="0"/>
    <s v="Yes"/>
    <x v="5"/>
    <x v="2"/>
    <x v="5"/>
    <s v="No"/>
    <s v="Yes"/>
    <x v="1"/>
    <s v="Software Development"/>
    <n v="2"/>
    <x v="2"/>
    <s v="Single"/>
    <x v="0"/>
    <s v="Bachelor"/>
    <x v="0"/>
    <n v="2.29"/>
    <s v="No"/>
    <n v="3.56"/>
    <n v="100"/>
    <n v="89000"/>
    <x v="1"/>
    <x v="0"/>
    <n v="58"/>
  </r>
  <r>
    <x v="1"/>
    <x v="0"/>
    <n v="20"/>
    <n v="2020"/>
    <x v="0"/>
    <n v="8"/>
    <x v="1"/>
    <s v="No"/>
    <x v="5"/>
    <n v="2"/>
    <x v="0"/>
    <x v="0"/>
    <s v="Yes"/>
    <x v="6"/>
    <x v="2"/>
    <x v="3"/>
    <s v="No"/>
    <s v="No"/>
    <x v="0"/>
    <s v="Machine Learning"/>
    <n v="3"/>
    <x v="2"/>
    <s v="Single"/>
    <x v="1"/>
    <s v="Family"/>
    <x v="0"/>
    <n v="2.5499999999999998"/>
    <s v="No"/>
    <n v="3.77"/>
    <n v="137"/>
    <n v="89000"/>
    <x v="1"/>
    <x v="0"/>
    <n v="56.2"/>
  </r>
  <r>
    <x v="0"/>
    <x v="0"/>
    <n v="22"/>
    <n v="2017"/>
    <x v="0"/>
    <n v="11"/>
    <x v="0"/>
    <s v="No"/>
    <x v="5"/>
    <n v="2"/>
    <x v="0"/>
    <x v="0"/>
    <s v="Yes"/>
    <x v="2"/>
    <x v="2"/>
    <x v="5"/>
    <s v="No"/>
    <s v="No"/>
    <x v="0"/>
    <s v="Software Development"/>
    <n v="3"/>
    <x v="7"/>
    <s v="Single"/>
    <x v="0"/>
    <s v="Bachelor"/>
    <x v="1"/>
    <n v="2.9"/>
    <s v="No"/>
    <n v="3.89"/>
    <n v="135"/>
    <n v="90000"/>
    <x v="1"/>
    <x v="0"/>
    <n v="61"/>
  </r>
  <r>
    <x v="4"/>
    <x v="0"/>
    <n v="25"/>
    <n v="2018"/>
    <x v="0"/>
    <n v="11"/>
    <x v="1"/>
    <s v="No"/>
    <x v="0"/>
    <n v="2"/>
    <x v="0"/>
    <x v="0"/>
    <s v="Yes"/>
    <x v="1"/>
    <x v="0"/>
    <x v="5"/>
    <s v="No"/>
    <s v="No"/>
    <x v="1"/>
    <s v="Software Development"/>
    <n v="2"/>
    <x v="2"/>
    <s v="Relationship"/>
    <x v="0"/>
    <s v="Bachelor"/>
    <x v="0"/>
    <n v="2.34"/>
    <s v="No"/>
    <n v="3.42"/>
    <n v="143"/>
    <n v="90000"/>
    <x v="0"/>
    <x v="0"/>
    <n v="55"/>
  </r>
  <r>
    <x v="2"/>
    <x v="0"/>
    <n v="21"/>
    <n v="2019"/>
    <x v="0"/>
    <n v="10"/>
    <x v="1"/>
    <s v="No"/>
    <x v="0"/>
    <n v="2"/>
    <x v="1"/>
    <x v="0"/>
    <s v="Yes"/>
    <x v="4"/>
    <x v="2"/>
    <x v="5"/>
    <s v="No"/>
    <s v="No"/>
    <x v="0"/>
    <s v="Cyber security"/>
    <n v="2"/>
    <x v="0"/>
    <s v="Married"/>
    <x v="1"/>
    <s v="Family"/>
    <x v="0"/>
    <n v="2.08"/>
    <s v="No"/>
    <n v="3.11"/>
    <n v="138"/>
    <n v="90000"/>
    <x v="0"/>
    <x v="0"/>
    <n v="55"/>
  </r>
  <r>
    <x v="1"/>
    <x v="1"/>
    <n v="20"/>
    <n v="2020"/>
    <x v="0"/>
    <n v="9"/>
    <x v="1"/>
    <s v="No"/>
    <x v="0"/>
    <n v="1"/>
    <x v="1"/>
    <x v="0"/>
    <s v="Yes"/>
    <x v="9"/>
    <x v="2"/>
    <x v="5"/>
    <s v="No"/>
    <s v="No"/>
    <x v="0"/>
    <s v="Networking"/>
    <n v="3"/>
    <x v="6"/>
    <s v="Married"/>
    <x v="1"/>
    <s v="Family"/>
    <x v="0"/>
    <n v="2.5099999999999998"/>
    <s v="No"/>
    <n v="3.5"/>
    <n v="130"/>
    <n v="90000"/>
    <x v="1"/>
    <x v="0"/>
    <n v="58"/>
  </r>
  <r>
    <x v="3"/>
    <x v="1"/>
    <n v="21"/>
    <n v="2021"/>
    <x v="0"/>
    <n v="5"/>
    <x v="1"/>
    <s v="No"/>
    <x v="5"/>
    <n v="1"/>
    <x v="1"/>
    <x v="0"/>
    <s v="Yes"/>
    <x v="7"/>
    <x v="0"/>
    <x v="5"/>
    <s v="No"/>
    <s v="No"/>
    <x v="1"/>
    <s v="Machine Learning"/>
    <n v="3"/>
    <x v="2"/>
    <s v="Single"/>
    <x v="1"/>
    <s v="Family"/>
    <x v="0"/>
    <n v="2.13"/>
    <s v="No"/>
    <n v="3.33"/>
    <n v="107"/>
    <n v="90000"/>
    <x v="0"/>
    <x v="0"/>
    <n v="61"/>
  </r>
  <r>
    <x v="4"/>
    <x v="0"/>
    <n v="25"/>
    <n v="2018"/>
    <x v="0"/>
    <n v="11"/>
    <x v="1"/>
    <s v="No"/>
    <x v="2"/>
    <n v="1"/>
    <x v="0"/>
    <x v="0"/>
    <s v="Yes"/>
    <x v="2"/>
    <x v="0"/>
    <x v="46"/>
    <s v="No"/>
    <s v="Yes"/>
    <x v="1"/>
    <s v="Cyber security"/>
    <n v="1"/>
    <x v="0"/>
    <s v="Single"/>
    <x v="1"/>
    <s v="Bachelor"/>
    <x v="0"/>
    <n v="1.43"/>
    <s v="No"/>
    <n v="2.56"/>
    <n v="143"/>
    <n v="91000"/>
    <x v="0"/>
    <x v="0"/>
    <n v="23"/>
  </r>
  <r>
    <x v="3"/>
    <x v="1"/>
    <n v="20"/>
    <n v="2020"/>
    <x v="0"/>
    <n v="4"/>
    <x v="1"/>
    <s v="No"/>
    <x v="2"/>
    <n v="3"/>
    <x v="0"/>
    <x v="0"/>
    <s v="Yes"/>
    <x v="1"/>
    <x v="0"/>
    <x v="5"/>
    <s v="Yes"/>
    <s v="No"/>
    <x v="1"/>
    <s v="Software Development"/>
    <n v="1"/>
    <x v="7"/>
    <s v="Married"/>
    <x v="0"/>
    <s v="Family"/>
    <x v="0"/>
    <n v="1.26"/>
    <s v="No"/>
    <n v="2.33"/>
    <n v="59"/>
    <n v="93000"/>
    <x v="2"/>
    <x v="0"/>
    <n v="49"/>
  </r>
  <r>
    <x v="1"/>
    <x v="1"/>
    <n v="20"/>
    <n v="2020"/>
    <x v="0"/>
    <n v="9"/>
    <x v="1"/>
    <s v="No"/>
    <x v="2"/>
    <n v="3"/>
    <x v="0"/>
    <x v="0"/>
    <s v="Yes"/>
    <x v="1"/>
    <x v="2"/>
    <x v="41"/>
    <s v="Yes"/>
    <s v="No"/>
    <x v="0"/>
    <s v="Networking"/>
    <n v="4"/>
    <x v="6"/>
    <s v="Single"/>
    <x v="1"/>
    <s v="Bachelor"/>
    <x v="0"/>
    <n v="1.56"/>
    <s v="No"/>
    <n v="2.6"/>
    <n v="130"/>
    <n v="95000"/>
    <x v="0"/>
    <x v="0"/>
    <n v="40.400000000000006"/>
  </r>
  <r>
    <x v="2"/>
    <x v="0"/>
    <n v="23"/>
    <n v="2019"/>
    <x v="0"/>
    <n v="10"/>
    <x v="1"/>
    <s v="No"/>
    <x v="2"/>
    <n v="3"/>
    <x v="0"/>
    <x v="0"/>
    <s v="Yes"/>
    <x v="3"/>
    <x v="1"/>
    <x v="5"/>
    <s v="No"/>
    <s v="No"/>
    <x v="1"/>
    <s v="Software Development"/>
    <n v="4"/>
    <x v="7"/>
    <s v="Single"/>
    <x v="1"/>
    <s v="Bachelor"/>
    <x v="0"/>
    <n v="1.75"/>
    <s v="No"/>
    <n v="2.81"/>
    <n v="137"/>
    <n v="98000"/>
    <x v="0"/>
    <x v="0"/>
    <n v="58"/>
  </r>
  <r>
    <x v="4"/>
    <x v="0"/>
    <n v="25"/>
    <n v="2018"/>
    <x v="0"/>
    <n v="11"/>
    <x v="1"/>
    <s v="No"/>
    <x v="2"/>
    <n v="1"/>
    <x v="0"/>
    <x v="0"/>
    <s v="Yes"/>
    <x v="6"/>
    <x v="1"/>
    <x v="5"/>
    <s v="No"/>
    <s v="No"/>
    <x v="1"/>
    <s v="Software Development"/>
    <n v="3"/>
    <x v="2"/>
    <s v="Married"/>
    <x v="0"/>
    <s v="Family"/>
    <x v="0"/>
    <n v="1.76"/>
    <s v="No"/>
    <n v="2.87"/>
    <n v="144"/>
    <n v="100000"/>
    <x v="0"/>
    <x v="0"/>
    <n v="55"/>
  </r>
  <r>
    <x v="1"/>
    <x v="0"/>
    <n v="21"/>
    <n v="2019"/>
    <x v="0"/>
    <n v="5"/>
    <x v="1"/>
    <s v="No"/>
    <x v="4"/>
    <n v="2"/>
    <x v="1"/>
    <x v="0"/>
    <s v="Yes"/>
    <x v="4"/>
    <x v="0"/>
    <x v="5"/>
    <s v="Yes"/>
    <s v="No"/>
    <x v="0"/>
    <s v="Cyber security"/>
    <n v="2"/>
    <x v="0"/>
    <s v="Single"/>
    <x v="0"/>
    <s v="Bachelor"/>
    <x v="0"/>
    <n v="1.34"/>
    <s v="No"/>
    <n v="2.5299999999999998"/>
    <n v="96"/>
    <n v="100000"/>
    <x v="0"/>
    <x v="0"/>
    <n v="64"/>
  </r>
  <r>
    <x v="2"/>
    <x v="0"/>
    <n v="21"/>
    <n v="2019"/>
    <x v="0"/>
    <n v="8"/>
    <x v="1"/>
    <s v="No"/>
    <x v="3"/>
    <n v="3"/>
    <x v="0"/>
    <x v="0"/>
    <s v="Yes"/>
    <x v="4"/>
    <x v="2"/>
    <x v="5"/>
    <s v="No"/>
    <s v="No"/>
    <x v="0"/>
    <s v="Software Development"/>
    <n v="3"/>
    <x v="7"/>
    <s v="Single"/>
    <x v="1"/>
    <s v="Bachelor"/>
    <x v="0"/>
    <n v="2.91"/>
    <s v="No"/>
    <n v="3.95"/>
    <n v="119"/>
    <n v="100000"/>
    <x v="1"/>
    <x v="0"/>
    <n v="64"/>
  </r>
  <r>
    <x v="2"/>
    <x v="0"/>
    <n v="22"/>
    <n v="2019"/>
    <x v="0"/>
    <n v="10"/>
    <x v="1"/>
    <s v="No"/>
    <x v="2"/>
    <n v="3"/>
    <x v="1"/>
    <x v="0"/>
    <s v="Yes"/>
    <x v="2"/>
    <x v="0"/>
    <x v="37"/>
    <s v="Yes"/>
    <s v="No"/>
    <x v="1"/>
    <s v="Networking"/>
    <n v="4"/>
    <x v="6"/>
    <s v="Relationship"/>
    <x v="0"/>
    <s v="Family"/>
    <x v="1"/>
    <n v="2.46"/>
    <s v="No"/>
    <n v="3.52"/>
    <n v="140"/>
    <n v="100000"/>
    <x v="1"/>
    <x v="0"/>
    <n v="36"/>
  </r>
  <r>
    <x v="1"/>
    <x v="1"/>
    <n v="20"/>
    <n v="2020"/>
    <x v="0"/>
    <n v="5"/>
    <x v="1"/>
    <s v="No"/>
    <x v="0"/>
    <n v="1"/>
    <x v="0"/>
    <x v="0"/>
    <s v="Yes"/>
    <x v="6"/>
    <x v="0"/>
    <x v="7"/>
    <s v="No"/>
    <s v="No"/>
    <x v="1"/>
    <s v="Cyber security"/>
    <n v="3"/>
    <x v="2"/>
    <s v="Relationship"/>
    <x v="1"/>
    <s v="Bachelor"/>
    <x v="0"/>
    <n v="1.67"/>
    <s v="No"/>
    <n v="2.98"/>
    <n v="75"/>
    <n v="100000"/>
    <x v="0"/>
    <x v="0"/>
    <n v="46"/>
  </r>
  <r>
    <x v="11"/>
    <x v="1"/>
    <n v="20"/>
    <n v="2021"/>
    <x v="0"/>
    <n v="2"/>
    <x v="0"/>
    <s v="No"/>
    <x v="2"/>
    <n v="4"/>
    <x v="0"/>
    <x v="0"/>
    <s v="Yes"/>
    <x v="2"/>
    <x v="0"/>
    <x v="5"/>
    <s v="No"/>
    <s v="No"/>
    <x v="0"/>
    <s v="Software Development"/>
    <n v="3"/>
    <x v="6"/>
    <s v="Relationship"/>
    <x v="0"/>
    <s v="Family"/>
    <x v="1"/>
    <n v="2.66"/>
    <s v="Yes"/>
    <n v="2.66"/>
    <n v="12"/>
    <n v="100000"/>
    <x v="0"/>
    <x v="0"/>
    <n v="55"/>
  </r>
  <r>
    <x v="0"/>
    <x v="0"/>
    <n v="24"/>
    <n v="2018"/>
    <x v="0"/>
    <n v="10"/>
    <x v="1"/>
    <s v="No"/>
    <x v="1"/>
    <n v="3"/>
    <x v="1"/>
    <x v="0"/>
    <s v="Yes"/>
    <x v="1"/>
    <x v="2"/>
    <x v="21"/>
    <s v="Yes"/>
    <s v="No"/>
    <x v="1"/>
    <s v="Artificial Intelligence"/>
    <n v="2"/>
    <x v="0"/>
    <s v="Single"/>
    <x v="0"/>
    <s v="Family"/>
    <x v="0"/>
    <n v="2.65"/>
    <s v="No"/>
    <n v="3.68"/>
    <n v="140"/>
    <n v="110000"/>
    <x v="1"/>
    <x v="0"/>
    <n v="35"/>
  </r>
  <r>
    <x v="3"/>
    <x v="0"/>
    <n v="20"/>
    <n v="2020"/>
    <x v="0"/>
    <n v="6"/>
    <x v="1"/>
    <s v="No"/>
    <x v="2"/>
    <n v="1"/>
    <x v="0"/>
    <x v="0"/>
    <s v="Yes"/>
    <x v="0"/>
    <x v="0"/>
    <x v="5"/>
    <s v="No"/>
    <s v="No"/>
    <x v="1"/>
    <s v="Networking"/>
    <n v="4"/>
    <x v="6"/>
    <s v="Single"/>
    <x v="1"/>
    <s v="Family"/>
    <x v="0"/>
    <n v="2.8"/>
    <s v="No"/>
    <n v="3.91"/>
    <n v="77"/>
    <n v="110000"/>
    <x v="1"/>
    <x v="0"/>
    <n v="58"/>
  </r>
  <r>
    <x v="1"/>
    <x v="1"/>
    <n v="20"/>
    <n v="2020"/>
    <x v="0"/>
    <n v="8"/>
    <x v="1"/>
    <s v="No"/>
    <x v="3"/>
    <n v="3"/>
    <x v="0"/>
    <x v="0"/>
    <s v="Yes"/>
    <x v="5"/>
    <x v="0"/>
    <x v="5"/>
    <s v="No"/>
    <s v="No"/>
    <x v="1"/>
    <s v="Networking"/>
    <n v="1"/>
    <x v="6"/>
    <s v="Married"/>
    <x v="0"/>
    <s v="Family"/>
    <x v="0"/>
    <n v="1.46"/>
    <s v="No"/>
    <n v="2.67"/>
    <n v="101"/>
    <n v="110000"/>
    <x v="0"/>
    <x v="0"/>
    <n v="58"/>
  </r>
  <r>
    <x v="1"/>
    <x v="1"/>
    <n v="21"/>
    <n v="2020"/>
    <x v="0"/>
    <n v="10"/>
    <x v="1"/>
    <s v="No"/>
    <x v="2"/>
    <n v="3"/>
    <x v="0"/>
    <x v="0"/>
    <s v="Yes"/>
    <x v="2"/>
    <x v="0"/>
    <x v="44"/>
    <s v="Yes"/>
    <s v="No"/>
    <x v="1"/>
    <s v="Software Development"/>
    <n v="4"/>
    <x v="7"/>
    <s v="Single"/>
    <x v="1"/>
    <s v="Bachelor"/>
    <x v="0"/>
    <n v="1.67"/>
    <s v="No"/>
    <n v="2.73"/>
    <n v="134"/>
    <n v="110000"/>
    <x v="0"/>
    <x v="0"/>
    <n v="53.6"/>
  </r>
  <r>
    <x v="3"/>
    <x v="0"/>
    <n v="20"/>
    <n v="2021"/>
    <x v="0"/>
    <n v="6"/>
    <x v="1"/>
    <s v="No"/>
    <x v="0"/>
    <n v="3"/>
    <x v="0"/>
    <x v="0"/>
    <s v="Yes"/>
    <x v="1"/>
    <x v="2"/>
    <x v="32"/>
    <s v="Yes"/>
    <s v="No"/>
    <x v="1"/>
    <s v="Artificial Intelligence"/>
    <n v="1"/>
    <x v="0"/>
    <s v="Single"/>
    <x v="0"/>
    <s v="Bachelor"/>
    <x v="0"/>
    <n v="1.35"/>
    <s v="No"/>
    <n v="2.58"/>
    <n v="77"/>
    <n v="114000"/>
    <x v="0"/>
    <x v="0"/>
    <n v="36.799999999999997"/>
  </r>
  <r>
    <x v="1"/>
    <x v="0"/>
    <n v="21"/>
    <n v="2020"/>
    <x v="0"/>
    <n v="7"/>
    <x v="1"/>
    <s v="No"/>
    <x v="0"/>
    <n v="1"/>
    <x v="0"/>
    <x v="0"/>
    <s v="Yes"/>
    <x v="2"/>
    <x v="2"/>
    <x v="28"/>
    <s v="No"/>
    <s v="No"/>
    <x v="1"/>
    <s v="Software Development"/>
    <n v="2"/>
    <x v="2"/>
    <s v="Relationship"/>
    <x v="1"/>
    <s v="Family"/>
    <x v="0"/>
    <n v="2.56"/>
    <s v="No"/>
    <n v="3.66"/>
    <n v="88"/>
    <n v="115000"/>
    <x v="1"/>
    <x v="0"/>
    <n v="46.2"/>
  </r>
  <r>
    <x v="3"/>
    <x v="1"/>
    <n v="19"/>
    <n v="2022"/>
    <x v="0"/>
    <n v="3"/>
    <x v="1"/>
    <s v="No"/>
    <x v="1"/>
    <n v="1"/>
    <x v="1"/>
    <x v="0"/>
    <s v="Yes"/>
    <x v="0"/>
    <x v="2"/>
    <x v="5"/>
    <s v="No"/>
    <s v="No"/>
    <x v="1"/>
    <s v="Cyber security"/>
    <n v="3"/>
    <x v="7"/>
    <s v="Single"/>
    <x v="1"/>
    <s v="Family"/>
    <x v="0"/>
    <n v="2.67"/>
    <s v="No"/>
    <n v="3.78"/>
    <n v="32"/>
    <n v="115000"/>
    <x v="1"/>
    <x v="0"/>
    <n v="52"/>
  </r>
  <r>
    <x v="3"/>
    <x v="1"/>
    <n v="20"/>
    <n v="2020"/>
    <x v="0"/>
    <n v="5"/>
    <x v="1"/>
    <s v="No"/>
    <x v="2"/>
    <n v="2"/>
    <x v="0"/>
    <x v="0"/>
    <s v="Yes"/>
    <x v="3"/>
    <x v="2"/>
    <x v="47"/>
    <s v="No"/>
    <s v="No"/>
    <x v="0"/>
    <s v="Machine Learning"/>
    <n v="2"/>
    <x v="0"/>
    <s v="Single"/>
    <x v="0"/>
    <s v="Bachelor"/>
    <x v="0"/>
    <n v="2.56"/>
    <s v="No"/>
    <n v="3.61"/>
    <n v="68"/>
    <n v="116000"/>
    <x v="1"/>
    <x v="0"/>
    <n v="28.400000000000002"/>
  </r>
  <r>
    <x v="2"/>
    <x v="0"/>
    <n v="25"/>
    <n v="2019"/>
    <x v="0"/>
    <n v="10"/>
    <x v="1"/>
    <s v="No"/>
    <x v="2"/>
    <n v="3"/>
    <x v="0"/>
    <x v="0"/>
    <s v="Yes"/>
    <x v="2"/>
    <x v="0"/>
    <x v="31"/>
    <s v="Yes"/>
    <s v="No"/>
    <x v="1"/>
    <s v="Networking"/>
    <n v="2"/>
    <x v="6"/>
    <s v="Single"/>
    <x v="1"/>
    <s v="Bachelor"/>
    <x v="0"/>
    <n v="2.67"/>
    <s v="No"/>
    <n v="3.75"/>
    <n v="140"/>
    <n v="117000"/>
    <x v="1"/>
    <x v="0"/>
    <n v="46.4"/>
  </r>
  <r>
    <x v="3"/>
    <x v="0"/>
    <n v="20"/>
    <n v="2021"/>
    <x v="0"/>
    <n v="6"/>
    <x v="1"/>
    <s v="No"/>
    <x v="0"/>
    <n v="3"/>
    <x v="0"/>
    <x v="0"/>
    <s v="Yes"/>
    <x v="2"/>
    <x v="1"/>
    <x v="5"/>
    <s v="No"/>
    <s v="No"/>
    <x v="0"/>
    <s v="Software Development"/>
    <n v="1"/>
    <x v="2"/>
    <s v="Relationship"/>
    <x v="1"/>
    <s v="Bachelor"/>
    <x v="0"/>
    <n v="2.46"/>
    <s v="No"/>
    <n v="3.55"/>
    <n v="89"/>
    <n v="120000"/>
    <x v="1"/>
    <x v="0"/>
    <n v="52"/>
  </r>
  <r>
    <x v="2"/>
    <x v="0"/>
    <n v="24"/>
    <n v="2019"/>
    <x v="0"/>
    <n v="10"/>
    <x v="1"/>
    <s v="No"/>
    <x v="1"/>
    <n v="2"/>
    <x v="0"/>
    <x v="0"/>
    <s v="Yes"/>
    <x v="1"/>
    <x v="0"/>
    <x v="48"/>
    <s v="Yes"/>
    <s v="No"/>
    <x v="0"/>
    <s v="Networking"/>
    <n v="2"/>
    <x v="6"/>
    <s v="Married"/>
    <x v="0"/>
    <s v="Family"/>
    <x v="0"/>
    <n v="1.44"/>
    <s v="No"/>
    <n v="2.65"/>
    <n v="136"/>
    <n v="123000"/>
    <x v="0"/>
    <x v="0"/>
    <n v="42.2"/>
  </r>
  <r>
    <x v="2"/>
    <x v="1"/>
    <n v="24"/>
    <n v="2019"/>
    <x v="0"/>
    <n v="11"/>
    <x v="1"/>
    <s v="No"/>
    <x v="0"/>
    <n v="2"/>
    <x v="0"/>
    <x v="0"/>
    <s v="Yes"/>
    <x v="3"/>
    <x v="1"/>
    <x v="5"/>
    <s v="No"/>
    <s v="No"/>
    <x v="1"/>
    <s v="Software Development"/>
    <n v="4"/>
    <x v="2"/>
    <s v="Relationship"/>
    <x v="0"/>
    <s v="Bachelor"/>
    <x v="0"/>
    <n v="2.5299999999999998"/>
    <s v="No"/>
    <n v="3.62"/>
    <n v="143"/>
    <n v="128000"/>
    <x v="1"/>
    <x v="0"/>
    <n v="61"/>
  </r>
  <r>
    <x v="4"/>
    <x v="1"/>
    <n v="25"/>
    <n v="2019"/>
    <x v="0"/>
    <n v="11"/>
    <x v="1"/>
    <s v="No"/>
    <x v="2"/>
    <n v="2"/>
    <x v="0"/>
    <x v="0"/>
    <s v="Yes"/>
    <x v="0"/>
    <x v="1"/>
    <x v="5"/>
    <s v="No"/>
    <s v="No"/>
    <x v="1"/>
    <s v="Software Development"/>
    <n v="3"/>
    <x v="2"/>
    <s v="Single"/>
    <x v="0"/>
    <s v="Family"/>
    <x v="0"/>
    <n v="2.79"/>
    <s v="No"/>
    <n v="3.88"/>
    <n v="141"/>
    <n v="130000"/>
    <x v="1"/>
    <x v="0"/>
    <n v="55"/>
  </r>
  <r>
    <x v="1"/>
    <x v="1"/>
    <n v="20"/>
    <n v="2020"/>
    <x v="0"/>
    <n v="9"/>
    <x v="0"/>
    <s v="No"/>
    <x v="0"/>
    <n v="1"/>
    <x v="0"/>
    <x v="0"/>
    <s v="Yes"/>
    <x v="1"/>
    <x v="0"/>
    <x v="5"/>
    <s v="Yes"/>
    <s v="No"/>
    <x v="0"/>
    <s v="Software Development"/>
    <n v="4"/>
    <x v="2"/>
    <s v="Single"/>
    <x v="0"/>
    <s v="Family"/>
    <x v="0"/>
    <n v="2.75"/>
    <s v="No"/>
    <n v="3.82"/>
    <n v="103"/>
    <n v="130000"/>
    <x v="1"/>
    <x v="0"/>
    <n v="61"/>
  </r>
  <r>
    <x v="3"/>
    <x v="0"/>
    <n v="21"/>
    <n v="2021"/>
    <x v="0"/>
    <n v="6"/>
    <x v="1"/>
    <s v="No"/>
    <x v="1"/>
    <n v="3"/>
    <x v="0"/>
    <x v="0"/>
    <s v="Yes"/>
    <x v="2"/>
    <x v="2"/>
    <x v="5"/>
    <s v="Yes"/>
    <s v="No"/>
    <x v="1"/>
    <s v="Software Development"/>
    <n v="4"/>
    <x v="7"/>
    <s v="Married"/>
    <x v="0"/>
    <s v="Family"/>
    <x v="1"/>
    <n v="1.68"/>
    <s v="No"/>
    <n v="2.73"/>
    <n v="88"/>
    <n v="130000"/>
    <x v="0"/>
    <x v="0"/>
    <n v="55"/>
  </r>
  <r>
    <x v="3"/>
    <x v="1"/>
    <n v="20"/>
    <n v="2021"/>
    <x v="0"/>
    <n v="5"/>
    <x v="1"/>
    <s v="No"/>
    <x v="5"/>
    <n v="1"/>
    <x v="1"/>
    <x v="0"/>
    <s v="Yes"/>
    <x v="2"/>
    <x v="0"/>
    <x v="22"/>
    <s v="Yes"/>
    <s v="No"/>
    <x v="0"/>
    <s v="Software Development"/>
    <n v="4"/>
    <x v="2"/>
    <s v="Married"/>
    <x v="1"/>
    <s v="Family"/>
    <x v="0"/>
    <n v="1.67"/>
    <s v="No"/>
    <n v="2.77"/>
    <n v="58"/>
    <n v="130000"/>
    <x v="0"/>
    <x v="0"/>
    <n v="54.8"/>
  </r>
  <r>
    <x v="2"/>
    <x v="0"/>
    <n v="20"/>
    <n v="2020"/>
    <x v="0"/>
    <n v="10"/>
    <x v="0"/>
    <s v="No"/>
    <x v="2"/>
    <n v="2"/>
    <x v="0"/>
    <x v="0"/>
    <s v="Yes"/>
    <x v="1"/>
    <x v="2"/>
    <x v="49"/>
    <s v="No"/>
    <s v="No"/>
    <x v="0"/>
    <s v="Software Development"/>
    <n v="4"/>
    <x v="2"/>
    <s v="Relationship"/>
    <x v="1"/>
    <s v="Bachelor"/>
    <x v="0"/>
    <n v="1.76"/>
    <s v="No"/>
    <n v="2.8"/>
    <n v="122"/>
    <n v="134000"/>
    <x v="0"/>
    <x v="0"/>
    <n v="51.6"/>
  </r>
  <r>
    <x v="1"/>
    <x v="1"/>
    <n v="25"/>
    <n v="2019"/>
    <x v="0"/>
    <n v="10"/>
    <x v="1"/>
    <s v="No"/>
    <x v="5"/>
    <n v="2"/>
    <x v="1"/>
    <x v="0"/>
    <s v="Yes"/>
    <x v="4"/>
    <x v="2"/>
    <x v="5"/>
    <s v="No"/>
    <s v="No"/>
    <x v="0"/>
    <s v="Networking"/>
    <n v="2"/>
    <x v="6"/>
    <s v="Relationship"/>
    <x v="1"/>
    <s v="Bachelor"/>
    <x v="0"/>
    <n v="2.88"/>
    <s v="No"/>
    <n v="3.9"/>
    <n v="139"/>
    <n v="135000"/>
    <x v="1"/>
    <x v="0"/>
    <n v="58"/>
  </r>
  <r>
    <x v="2"/>
    <x v="0"/>
    <n v="20"/>
    <n v="2020"/>
    <x v="0"/>
    <n v="11"/>
    <x v="1"/>
    <s v="No"/>
    <x v="2"/>
    <n v="1"/>
    <x v="0"/>
    <x v="0"/>
    <s v="Yes"/>
    <x v="1"/>
    <x v="1"/>
    <x v="5"/>
    <s v="Yes"/>
    <s v="No"/>
    <x v="1"/>
    <s v="Networking"/>
    <n v="2"/>
    <x v="6"/>
    <s v="Single"/>
    <x v="1"/>
    <s v="Bachelor"/>
    <x v="0"/>
    <n v="2.54"/>
    <s v="No"/>
    <n v="3.61"/>
    <n v="143"/>
    <n v="135000"/>
    <x v="1"/>
    <x v="0"/>
    <n v="52"/>
  </r>
  <r>
    <x v="1"/>
    <x v="1"/>
    <n v="22"/>
    <n v="2020"/>
    <x v="0"/>
    <n v="9"/>
    <x v="1"/>
    <s v="No"/>
    <x v="5"/>
    <n v="2"/>
    <x v="0"/>
    <x v="0"/>
    <s v="Yes"/>
    <x v="3"/>
    <x v="2"/>
    <x v="5"/>
    <s v="Yes"/>
    <s v="Yes"/>
    <x v="1"/>
    <s v="Cyber security"/>
    <n v="2"/>
    <x v="0"/>
    <s v="Married"/>
    <x v="0"/>
    <s v="Family"/>
    <x v="0"/>
    <n v="1.76"/>
    <s v="No"/>
    <n v="2.82"/>
    <n v="121"/>
    <n v="135000"/>
    <x v="0"/>
    <x v="0"/>
    <n v="58"/>
  </r>
  <r>
    <x v="2"/>
    <x v="0"/>
    <n v="21"/>
    <n v="2020"/>
    <x v="0"/>
    <n v="8"/>
    <x v="1"/>
    <s v="No"/>
    <x v="0"/>
    <n v="2"/>
    <x v="0"/>
    <x v="0"/>
    <s v="Yes"/>
    <x v="2"/>
    <x v="0"/>
    <x v="5"/>
    <s v="No"/>
    <s v="No"/>
    <x v="1"/>
    <s v="Artificial Intelligence"/>
    <n v="2"/>
    <x v="0"/>
    <s v="Single"/>
    <x v="0"/>
    <s v="Family"/>
    <x v="1"/>
    <n v="2.54"/>
    <s v="No"/>
    <n v="3.64"/>
    <n v="97"/>
    <n v="135000"/>
    <x v="1"/>
    <x v="0"/>
    <n v="55"/>
  </r>
  <r>
    <x v="4"/>
    <x v="0"/>
    <n v="25"/>
    <n v="2018"/>
    <x v="0"/>
    <n v="11"/>
    <x v="1"/>
    <s v="No"/>
    <x v="0"/>
    <n v="2"/>
    <x v="0"/>
    <x v="0"/>
    <s v="Yes"/>
    <x v="2"/>
    <x v="0"/>
    <x v="5"/>
    <s v="No"/>
    <s v="No"/>
    <x v="0"/>
    <s v="Networking"/>
    <n v="1"/>
    <x v="6"/>
    <s v="Single"/>
    <x v="0"/>
    <s v="Family"/>
    <x v="0"/>
    <n v="1.54"/>
    <s v="No"/>
    <n v="2.68"/>
    <n v="143"/>
    <n v="144000"/>
    <x v="0"/>
    <x v="0"/>
    <n v="52"/>
  </r>
  <r>
    <x v="1"/>
    <x v="1"/>
    <n v="21"/>
    <n v="2020"/>
    <x v="0"/>
    <n v="9"/>
    <x v="1"/>
    <s v="No"/>
    <x v="2"/>
    <n v="1"/>
    <x v="0"/>
    <x v="0"/>
    <s v="Yes"/>
    <x v="2"/>
    <x v="0"/>
    <x v="46"/>
    <s v="No"/>
    <s v="No"/>
    <x v="1"/>
    <s v="Machine Learning"/>
    <n v="2"/>
    <x v="0"/>
    <s v="Relationship"/>
    <x v="0"/>
    <s v="Bachelor"/>
    <x v="1"/>
    <n v="1.46"/>
    <s v="No"/>
    <n v="2.5"/>
    <n v="119"/>
    <n v="144000"/>
    <x v="0"/>
    <x v="0"/>
    <n v="26"/>
  </r>
  <r>
    <x v="4"/>
    <x v="0"/>
    <n v="22"/>
    <n v="2019"/>
    <x v="0"/>
    <n v="11"/>
    <x v="0"/>
    <s v="No"/>
    <x v="4"/>
    <n v="3"/>
    <x v="0"/>
    <x v="0"/>
    <s v="Yes"/>
    <x v="6"/>
    <x v="2"/>
    <x v="5"/>
    <s v="No"/>
    <s v="No"/>
    <x v="1"/>
    <s v="Cyber security"/>
    <n v="4"/>
    <x v="0"/>
    <s v="Single"/>
    <x v="1"/>
    <s v="Family"/>
    <x v="0"/>
    <n v="2.91"/>
    <s v="No"/>
    <n v="3.97"/>
    <n v="141"/>
    <n v="150000"/>
    <x v="1"/>
    <x v="0"/>
    <n v="70"/>
  </r>
  <r>
    <x v="1"/>
    <x v="1"/>
    <n v="20"/>
    <n v="2020"/>
    <x v="0"/>
    <n v="9"/>
    <x v="1"/>
    <s v="No"/>
    <x v="0"/>
    <n v="3"/>
    <x v="1"/>
    <x v="0"/>
    <s v="Yes"/>
    <x v="1"/>
    <x v="2"/>
    <x v="5"/>
    <s v="No"/>
    <s v="No"/>
    <x v="1"/>
    <s v="Networking"/>
    <n v="2"/>
    <x v="6"/>
    <s v="Relationship"/>
    <x v="0"/>
    <s v="Bachelor"/>
    <x v="0"/>
    <n v="1.8"/>
    <s v="No"/>
    <n v="2.89"/>
    <n v="116"/>
    <n v="155000"/>
    <x v="0"/>
    <x v="0"/>
    <n v="55"/>
  </r>
  <r>
    <x v="1"/>
    <x v="1"/>
    <n v="20"/>
    <n v="2020"/>
    <x v="0"/>
    <n v="8"/>
    <x v="0"/>
    <s v="No"/>
    <x v="3"/>
    <n v="2"/>
    <x v="0"/>
    <x v="0"/>
    <s v="Yes"/>
    <x v="1"/>
    <x v="0"/>
    <x v="5"/>
    <s v="No"/>
    <s v="No"/>
    <x v="1"/>
    <s v="Software Development"/>
    <n v="4"/>
    <x v="2"/>
    <s v="Relationship"/>
    <x v="0"/>
    <s v="Bachelor"/>
    <x v="0"/>
    <n v="2.78"/>
    <s v="No"/>
    <n v="3.8"/>
    <n v="89"/>
    <n v="158000"/>
    <x v="1"/>
    <x v="0"/>
    <n v="67"/>
  </r>
  <r>
    <x v="1"/>
    <x v="1"/>
    <n v="21"/>
    <n v="2021"/>
    <x v="0"/>
    <n v="5"/>
    <x v="0"/>
    <s v="No"/>
    <x v="0"/>
    <n v="2"/>
    <x v="0"/>
    <x v="0"/>
    <s v="Yes"/>
    <x v="7"/>
    <x v="2"/>
    <x v="50"/>
    <s v="No"/>
    <s v="No"/>
    <x v="0"/>
    <s v="Software Development"/>
    <n v="2"/>
    <x v="2"/>
    <s v="Single"/>
    <x v="0"/>
    <s v="Family"/>
    <x v="0"/>
    <n v="1.65"/>
    <s v="No"/>
    <n v="2.56"/>
    <n v="64"/>
    <n v="165000"/>
    <x v="0"/>
    <x v="0"/>
    <n v="41.8"/>
  </r>
  <r>
    <x v="2"/>
    <x v="1"/>
    <n v="22"/>
    <n v="2019"/>
    <x v="0"/>
    <n v="8"/>
    <x v="0"/>
    <s v="No"/>
    <x v="2"/>
    <n v="1"/>
    <x v="0"/>
    <x v="0"/>
    <s v="Yes"/>
    <x v="4"/>
    <x v="2"/>
    <x v="5"/>
    <s v="No"/>
    <s v="No"/>
    <x v="1"/>
    <s v="Software Development"/>
    <n v="2"/>
    <x v="7"/>
    <s v="Single"/>
    <x v="0"/>
    <s v="Family"/>
    <x v="0"/>
    <n v="2.3199999999999998"/>
    <s v="No"/>
    <n v="3.87"/>
    <n v="113"/>
    <n v="170000"/>
    <x v="1"/>
    <x v="0"/>
    <n v="52"/>
  </r>
  <r>
    <x v="2"/>
    <x v="1"/>
    <n v="25"/>
    <n v="2019"/>
    <x v="0"/>
    <n v="11"/>
    <x v="1"/>
    <s v="No"/>
    <x v="0"/>
    <n v="3"/>
    <x v="1"/>
    <x v="0"/>
    <s v="Yes"/>
    <x v="3"/>
    <x v="2"/>
    <x v="46"/>
    <s v="No"/>
    <s v="No"/>
    <x v="1"/>
    <s v="Networking"/>
    <n v="2"/>
    <x v="6"/>
    <s v="Relationship"/>
    <x v="1"/>
    <s v="Bachelor"/>
    <x v="0"/>
    <n v="1.57"/>
    <s v="No"/>
    <n v="2.63"/>
    <n v="143"/>
    <n v="170000"/>
    <x v="0"/>
    <x v="0"/>
    <n v="29"/>
  </r>
  <r>
    <x v="1"/>
    <x v="1"/>
    <n v="20"/>
    <n v="2020"/>
    <x v="0"/>
    <n v="8"/>
    <x v="0"/>
    <s v="No"/>
    <x v="0"/>
    <n v="3"/>
    <x v="0"/>
    <x v="0"/>
    <s v="Yes"/>
    <x v="1"/>
    <x v="0"/>
    <x v="5"/>
    <s v="Yes"/>
    <s v="No"/>
    <x v="1"/>
    <s v="Artificial Intelligence"/>
    <n v="4"/>
    <x v="0"/>
    <s v="Single"/>
    <x v="0"/>
    <s v="Family"/>
    <x v="0"/>
    <n v="2.85"/>
    <s v="No"/>
    <n v="3.93"/>
    <n v="100"/>
    <n v="190000"/>
    <x v="1"/>
    <x v="0"/>
    <n v="61"/>
  </r>
  <r>
    <x v="2"/>
    <x v="0"/>
    <n v="21"/>
    <n v="2020"/>
    <x v="0"/>
    <n v="10"/>
    <x v="1"/>
    <s v="No"/>
    <x v="0"/>
    <n v="2"/>
    <x v="0"/>
    <x v="0"/>
    <s v="Yes"/>
    <x v="3"/>
    <x v="0"/>
    <x v="36"/>
    <s v="No"/>
    <s v="No"/>
    <x v="1"/>
    <s v="Networking"/>
    <n v="4"/>
    <x v="6"/>
    <s v="Married"/>
    <x v="1"/>
    <s v="Family"/>
    <x v="0"/>
    <n v="2.74"/>
    <s v="No"/>
    <n v="3.84"/>
    <n v="137"/>
    <n v="190000"/>
    <x v="1"/>
    <x v="0"/>
    <n v="48.2"/>
  </r>
  <r>
    <x v="2"/>
    <x v="1"/>
    <n v="22"/>
    <n v="2020"/>
    <x v="0"/>
    <n v="7"/>
    <x v="1"/>
    <s v="No"/>
    <x v="0"/>
    <n v="2"/>
    <x v="0"/>
    <x v="0"/>
    <s v="Yes"/>
    <x v="6"/>
    <x v="0"/>
    <x v="5"/>
    <s v="No"/>
    <s v="Yes"/>
    <x v="1"/>
    <s v="Software Development"/>
    <n v="3"/>
    <x v="7"/>
    <s v="Single"/>
    <x v="0"/>
    <s v="Bachelor"/>
    <x v="0"/>
    <n v="2.13"/>
    <s v="No"/>
    <n v="3.03"/>
    <n v="107"/>
    <n v="235000"/>
    <x v="0"/>
    <x v="0"/>
    <n v="58"/>
  </r>
  <r>
    <x v="1"/>
    <x v="1"/>
    <n v="20"/>
    <n v="2021"/>
    <x v="0"/>
    <n v="5"/>
    <x v="0"/>
    <s v="No"/>
    <x v="4"/>
    <n v="2"/>
    <x v="0"/>
    <x v="0"/>
    <s v="Yes"/>
    <x v="3"/>
    <x v="2"/>
    <x v="5"/>
    <s v="No"/>
    <s v="No"/>
    <x v="1"/>
    <s v="Software Development"/>
    <n v="4"/>
    <x v="7"/>
    <s v="Single"/>
    <x v="0"/>
    <s v="Family"/>
    <x v="0"/>
    <n v="2.91"/>
    <s v="No"/>
    <n v="3.91"/>
    <n v="81"/>
    <n v="250000"/>
    <x v="1"/>
    <x v="0"/>
    <n v="70"/>
  </r>
  <r>
    <x v="4"/>
    <x v="1"/>
    <n v="25"/>
    <n v="2018"/>
    <x v="0"/>
    <n v="11"/>
    <x v="1"/>
    <s v="No"/>
    <x v="0"/>
    <n v="3"/>
    <x v="0"/>
    <x v="0"/>
    <s v="Yes"/>
    <x v="2"/>
    <x v="0"/>
    <x v="5"/>
    <s v="Yes"/>
    <s v="No"/>
    <x v="1"/>
    <s v="Cyber security"/>
    <n v="1"/>
    <x v="0"/>
    <s v="Single"/>
    <x v="1"/>
    <s v="Bachelor"/>
    <x v="0"/>
    <n v="1.43"/>
    <s v="No"/>
    <n v="2.4900000000000002"/>
    <n v="143"/>
    <n v="255000"/>
    <x v="2"/>
    <x v="0"/>
    <n v="52"/>
  </r>
  <r>
    <x v="4"/>
    <x v="0"/>
    <n v="25"/>
    <n v="2017"/>
    <x v="0"/>
    <n v="11"/>
    <x v="1"/>
    <s v="No"/>
    <x v="2"/>
    <n v="1"/>
    <x v="0"/>
    <x v="0"/>
    <s v="No"/>
    <x v="0"/>
    <x v="1"/>
    <x v="31"/>
    <s v="No"/>
    <s v="No"/>
    <x v="1"/>
    <s v="Networking"/>
    <n v="3"/>
    <x v="0"/>
    <s v="Relationship"/>
    <x v="1"/>
    <s v="Family"/>
    <x v="0"/>
    <n v="1.98"/>
    <s v="No"/>
    <n v="2.89"/>
    <n v="145"/>
    <n v="300000"/>
    <x v="0"/>
    <x v="0"/>
    <n v="49.4"/>
  </r>
  <r>
    <x v="2"/>
    <x v="0"/>
    <n v="23"/>
    <n v="2019"/>
    <x v="0"/>
    <n v="9"/>
    <x v="0"/>
    <s v="No"/>
    <x v="1"/>
    <n v="2"/>
    <x v="0"/>
    <x v="0"/>
    <s v="Yes"/>
    <x v="0"/>
    <x v="1"/>
    <x v="5"/>
    <s v="No"/>
    <s v="No"/>
    <x v="0"/>
    <s v="Software Development"/>
    <n v="1"/>
    <x v="0"/>
    <s v="Relationship"/>
    <x v="1"/>
    <s v="Family"/>
    <x v="0"/>
    <n v="2.91"/>
    <s v="No"/>
    <n v="3.89"/>
    <n v="103"/>
    <n v="10000"/>
    <x v="1"/>
    <x v="0"/>
    <n v="46"/>
  </r>
  <r>
    <x v="2"/>
    <x v="1"/>
    <n v="22"/>
    <n v="2019"/>
    <x v="0"/>
    <n v="11"/>
    <x v="0"/>
    <s v="No"/>
    <x v="2"/>
    <n v="1"/>
    <x v="0"/>
    <x v="0"/>
    <s v="Yes"/>
    <x v="1"/>
    <x v="0"/>
    <x v="4"/>
    <s v="No"/>
    <s v="No"/>
    <x v="0"/>
    <s v="Software Development"/>
    <n v="1"/>
    <x v="0"/>
    <s v="Single"/>
    <x v="1"/>
    <s v="Family"/>
    <x v="0"/>
    <n v="2.5"/>
    <s v="No"/>
    <n v="3.48"/>
    <n v="128"/>
    <n v="25000"/>
    <x v="0"/>
    <x v="0"/>
    <n v="47"/>
  </r>
  <r>
    <x v="11"/>
    <x v="1"/>
    <n v="21"/>
    <n v="2022"/>
    <x v="0"/>
    <n v="2"/>
    <x v="1"/>
    <s v="No"/>
    <x v="3"/>
    <n v="5"/>
    <x v="0"/>
    <x v="0"/>
    <s v="Yes"/>
    <x v="0"/>
    <x v="0"/>
    <x v="5"/>
    <s v="No"/>
    <s v="No"/>
    <x v="1"/>
    <s v="Software Development"/>
    <n v="3"/>
    <x v="2"/>
    <s v="Single"/>
    <x v="0"/>
    <s v="Family"/>
    <x v="0"/>
    <n v="2.85"/>
    <s v="No"/>
    <n v="3.65"/>
    <n v="28"/>
    <n v="25000"/>
    <x v="1"/>
    <x v="0"/>
    <n v="64"/>
  </r>
  <r>
    <x v="2"/>
    <x v="1"/>
    <n v="24"/>
    <n v="2019"/>
    <x v="0"/>
    <n v="9"/>
    <x v="1"/>
    <s v="No"/>
    <x v="3"/>
    <n v="1"/>
    <x v="0"/>
    <x v="0"/>
    <s v="Yes"/>
    <x v="5"/>
    <x v="1"/>
    <x v="0"/>
    <s v="No"/>
    <s v="No"/>
    <x v="1"/>
    <s v="Networking"/>
    <n v="2"/>
    <x v="6"/>
    <s v="Single"/>
    <x v="0"/>
    <s v="Family"/>
    <x v="1"/>
    <n v="2.2000000000000002"/>
    <s v="Yes"/>
    <n v="3.5"/>
    <n v="60"/>
    <n v="28000"/>
    <x v="1"/>
    <x v="0"/>
    <n v="57"/>
  </r>
  <r>
    <x v="2"/>
    <x v="0"/>
    <n v="25"/>
    <n v="2019"/>
    <x v="0"/>
    <n v="10"/>
    <x v="0"/>
    <s v="No"/>
    <x v="0"/>
    <n v="1"/>
    <x v="1"/>
    <x v="0"/>
    <s v="Yes"/>
    <x v="0"/>
    <x v="2"/>
    <x v="10"/>
    <s v="No"/>
    <s v="No"/>
    <x v="0"/>
    <s v="Networking"/>
    <n v="3"/>
    <x v="2"/>
    <s v="Relationship"/>
    <x v="0"/>
    <s v="Bachelor"/>
    <x v="0"/>
    <n v="2.48"/>
    <s v="No"/>
    <n v="3.48"/>
    <n v="105"/>
    <n v="30000"/>
    <x v="0"/>
    <x v="0"/>
    <n v="57.6"/>
  </r>
  <r>
    <x v="2"/>
    <x v="1"/>
    <n v="23"/>
    <n v="2019"/>
    <x v="0"/>
    <n v="10"/>
    <x v="1"/>
    <s v="No"/>
    <x v="5"/>
    <n v="1"/>
    <x v="0"/>
    <x v="0"/>
    <s v="Yes"/>
    <x v="1"/>
    <x v="0"/>
    <x v="8"/>
    <s v="No"/>
    <s v="No"/>
    <x v="1"/>
    <s v="Networking"/>
    <n v="2"/>
    <x v="6"/>
    <s v="Single"/>
    <x v="1"/>
    <s v="Bachelor"/>
    <x v="0"/>
    <n v="2.87"/>
    <s v="No"/>
    <n v="3.93"/>
    <n v="138"/>
    <n v="30000"/>
    <x v="1"/>
    <x v="0"/>
    <n v="57.2"/>
  </r>
  <r>
    <x v="3"/>
    <x v="0"/>
    <n v="22"/>
    <n v="2020"/>
    <x v="0"/>
    <n v="5"/>
    <x v="0"/>
    <s v="No"/>
    <x v="2"/>
    <n v="2"/>
    <x v="0"/>
    <x v="0"/>
    <s v="No"/>
    <x v="4"/>
    <x v="0"/>
    <x v="10"/>
    <s v="No"/>
    <s v="No"/>
    <x v="0"/>
    <s v="Software Development"/>
    <n v="2"/>
    <x v="6"/>
    <s v="Single"/>
    <x v="1"/>
    <s v="Family"/>
    <x v="0"/>
    <n v="2.56"/>
    <s v="No"/>
    <n v="3.35"/>
    <n v="54"/>
    <n v="30000"/>
    <x v="0"/>
    <x v="0"/>
    <n v="51.6"/>
  </r>
  <r>
    <x v="1"/>
    <x v="1"/>
    <n v="20"/>
    <n v="2020"/>
    <x v="0"/>
    <n v="7"/>
    <x v="1"/>
    <s v="No"/>
    <x v="5"/>
    <n v="2"/>
    <x v="0"/>
    <x v="0"/>
    <s v="Yes"/>
    <x v="6"/>
    <x v="0"/>
    <x v="5"/>
    <s v="No"/>
    <s v="No"/>
    <x v="0"/>
    <s v="Artificial Intelligence"/>
    <n v="1"/>
    <x v="6"/>
    <s v="Relationship"/>
    <x v="1"/>
    <s v="Family"/>
    <x v="0"/>
    <n v="2.31"/>
    <s v="No"/>
    <n v="3.45"/>
    <n v="109"/>
    <n v="30000"/>
    <x v="0"/>
    <x v="0"/>
    <n v="55"/>
  </r>
  <r>
    <x v="0"/>
    <x v="0"/>
    <n v="25"/>
    <n v="2018"/>
    <x v="0"/>
    <n v="11"/>
    <x v="1"/>
    <s v="No"/>
    <x v="0"/>
    <n v="1"/>
    <x v="0"/>
    <x v="0"/>
    <s v="Yes"/>
    <x v="1"/>
    <x v="1"/>
    <x v="5"/>
    <s v="No"/>
    <s v="Yes"/>
    <x v="0"/>
    <s v="Cyber security"/>
    <n v="2"/>
    <x v="0"/>
    <s v="Married"/>
    <x v="1"/>
    <s v="Family"/>
    <x v="0"/>
    <n v="2.4500000000000002"/>
    <s v="No"/>
    <n v="3.56"/>
    <n v="143"/>
    <n v="32000"/>
    <x v="1"/>
    <x v="0"/>
    <n v="55"/>
  </r>
  <r>
    <x v="3"/>
    <x v="1"/>
    <n v="19"/>
    <n v="2021"/>
    <x v="0"/>
    <n v="7"/>
    <x v="1"/>
    <s v="No"/>
    <x v="5"/>
    <n v="2"/>
    <x v="1"/>
    <x v="0"/>
    <s v="Yes"/>
    <x v="0"/>
    <x v="0"/>
    <x v="0"/>
    <s v="No"/>
    <s v="No"/>
    <x v="0"/>
    <s v="Artificial Intelligence"/>
    <n v="2"/>
    <x v="6"/>
    <s v="Relationship"/>
    <x v="0"/>
    <s v="Family"/>
    <x v="1"/>
    <n v="2.09"/>
    <s v="No"/>
    <n v="3.34"/>
    <n v="100"/>
    <n v="34000"/>
    <x v="0"/>
    <x v="0"/>
    <n v="54"/>
  </r>
  <r>
    <x v="4"/>
    <x v="0"/>
    <n v="24"/>
    <n v="2018"/>
    <x v="0"/>
    <n v="11"/>
    <x v="1"/>
    <s v="No"/>
    <x v="0"/>
    <n v="2"/>
    <x v="0"/>
    <x v="0"/>
    <s v="Yes"/>
    <x v="1"/>
    <x v="0"/>
    <x v="21"/>
    <s v="Yes"/>
    <s v="No"/>
    <x v="1"/>
    <s v="Cyber security"/>
    <n v="2"/>
    <x v="0"/>
    <s v="Single"/>
    <x v="0"/>
    <s v="Family"/>
    <x v="1"/>
    <n v="2.4500000000000002"/>
    <s v="No"/>
    <n v="3.55"/>
    <n v="144"/>
    <n v="37000"/>
    <x v="1"/>
    <x v="0"/>
    <n v="41"/>
  </r>
  <r>
    <x v="2"/>
    <x v="1"/>
    <n v="20"/>
    <n v="2020"/>
    <x v="0"/>
    <n v="11"/>
    <x v="1"/>
    <s v="No"/>
    <x v="2"/>
    <n v="2"/>
    <x v="1"/>
    <x v="0"/>
    <s v="Yes"/>
    <x v="1"/>
    <x v="0"/>
    <x v="51"/>
    <s v="No"/>
    <s v="No"/>
    <x v="1"/>
    <s v="Cyber security"/>
    <n v="4"/>
    <x v="0"/>
    <s v="Married"/>
    <x v="1"/>
    <s v="Family"/>
    <x v="0"/>
    <n v="2.67"/>
    <s v="No"/>
    <n v="3.77"/>
    <n v="143"/>
    <n v="37000"/>
    <x v="1"/>
    <x v="0"/>
    <n v="46.8"/>
  </r>
  <r>
    <x v="3"/>
    <x v="0"/>
    <n v="21"/>
    <n v="2021"/>
    <x v="0"/>
    <n v="6"/>
    <x v="1"/>
    <s v="No"/>
    <x v="2"/>
    <n v="2"/>
    <x v="0"/>
    <x v="0"/>
    <s v="Yes"/>
    <x v="1"/>
    <x v="2"/>
    <x v="52"/>
    <s v="No"/>
    <s v="No"/>
    <x v="0"/>
    <s v="Cyber security"/>
    <n v="3"/>
    <x v="0"/>
    <s v="Single"/>
    <x v="1"/>
    <s v="Bachelor"/>
    <x v="1"/>
    <n v="1.89"/>
    <s v="No"/>
    <n v="2.97"/>
    <n v="97"/>
    <n v="37000"/>
    <x v="0"/>
    <x v="0"/>
    <n v="31.8"/>
  </r>
  <r>
    <x v="1"/>
    <x v="1"/>
    <n v="20"/>
    <n v="2020"/>
    <x v="0"/>
    <n v="8"/>
    <x v="1"/>
    <s v="No"/>
    <x v="2"/>
    <n v="2"/>
    <x v="1"/>
    <x v="0"/>
    <s v="No"/>
    <x v="1"/>
    <x v="1"/>
    <x v="36"/>
    <s v="No"/>
    <s v="No"/>
    <x v="1"/>
    <s v="Software Development"/>
    <n v="4"/>
    <x v="2"/>
    <s v="Married"/>
    <x v="0"/>
    <s v="Family"/>
    <x v="0"/>
    <n v="2.67"/>
    <s v="No"/>
    <n v="3.74"/>
    <n v="90"/>
    <n v="38000"/>
    <x v="1"/>
    <x v="0"/>
    <n v="45.2"/>
  </r>
  <r>
    <x v="3"/>
    <x v="1"/>
    <n v="22"/>
    <n v="2021"/>
    <x v="0"/>
    <n v="5"/>
    <x v="0"/>
    <s v="No"/>
    <x v="2"/>
    <n v="2"/>
    <x v="0"/>
    <x v="0"/>
    <s v="Yes"/>
    <x v="2"/>
    <x v="0"/>
    <x v="53"/>
    <s v="Yes"/>
    <s v="No"/>
    <x v="1"/>
    <s v="Cyber security"/>
    <n v="2"/>
    <x v="0"/>
    <s v="Single"/>
    <x v="1"/>
    <s v="Bachelor"/>
    <x v="0"/>
    <n v="2.74"/>
    <s v="No"/>
    <n v="3.8"/>
    <n v="68"/>
    <n v="39000"/>
    <x v="1"/>
    <x v="0"/>
    <n v="30.8"/>
  </r>
  <r>
    <x v="0"/>
    <x v="1"/>
    <n v="22"/>
    <n v="2017"/>
    <x v="0"/>
    <n v="10"/>
    <x v="1"/>
    <s v="No"/>
    <x v="0"/>
    <n v="2"/>
    <x v="1"/>
    <x v="0"/>
    <s v="Yes"/>
    <x v="7"/>
    <x v="2"/>
    <x v="0"/>
    <s v="Yes"/>
    <s v="No"/>
    <x v="0"/>
    <s v="Software Development"/>
    <n v="2"/>
    <x v="7"/>
    <s v="Single"/>
    <x v="1"/>
    <s v="Family"/>
    <x v="0"/>
    <n v="1.61"/>
    <s v="No"/>
    <n v="2.88"/>
    <n v="123"/>
    <n v="40000"/>
    <x v="0"/>
    <x v="0"/>
    <n v="51"/>
  </r>
  <r>
    <x v="0"/>
    <x v="1"/>
    <n v="24"/>
    <n v="2018"/>
    <x v="0"/>
    <n v="11"/>
    <x v="1"/>
    <s v="No"/>
    <x v="5"/>
    <n v="2"/>
    <x v="0"/>
    <x v="0"/>
    <s v="Yes"/>
    <x v="2"/>
    <x v="0"/>
    <x v="31"/>
    <s v="Yes"/>
    <s v="Yes"/>
    <x v="1"/>
    <s v="Cyber security"/>
    <n v="4"/>
    <x v="0"/>
    <s v="Relationship"/>
    <x v="1"/>
    <s v="Bachelor"/>
    <x v="0"/>
    <n v="2.54"/>
    <s v="No"/>
    <n v="3.63"/>
    <n v="144"/>
    <n v="40000"/>
    <x v="1"/>
    <x v="0"/>
    <n v="58.4"/>
  </r>
  <r>
    <x v="2"/>
    <x v="0"/>
    <n v="21"/>
    <n v="2020"/>
    <x v="0"/>
    <n v="10"/>
    <x v="1"/>
    <s v="No"/>
    <x v="2"/>
    <n v="3"/>
    <x v="0"/>
    <x v="0"/>
    <s v="Yes"/>
    <x v="1"/>
    <x v="0"/>
    <x v="45"/>
    <s v="Yes"/>
    <s v="No"/>
    <x v="0"/>
    <s v="Cyber security"/>
    <n v="2"/>
    <x v="0"/>
    <s v="Relationship"/>
    <x v="1"/>
    <s v="Bachelor"/>
    <x v="0"/>
    <n v="1.46"/>
    <s v="No"/>
    <n v="2.5499999999999998"/>
    <n v="139"/>
    <n v="40000"/>
    <x v="0"/>
    <x v="0"/>
    <n v="43.6"/>
  </r>
  <r>
    <x v="2"/>
    <x v="0"/>
    <n v="20"/>
    <n v="2020"/>
    <x v="0"/>
    <n v="10"/>
    <x v="0"/>
    <s v="No"/>
    <x v="2"/>
    <n v="2"/>
    <x v="0"/>
    <x v="0"/>
    <s v="Yes"/>
    <x v="2"/>
    <x v="0"/>
    <x v="5"/>
    <s v="No"/>
    <s v="No"/>
    <x v="1"/>
    <s v="Networking"/>
    <n v="4"/>
    <x v="6"/>
    <s v="Relationship"/>
    <x v="1"/>
    <s v="Bachelor"/>
    <x v="0"/>
    <n v="2.65"/>
    <s v="No"/>
    <n v="3.79"/>
    <n v="138"/>
    <n v="40000"/>
    <x v="1"/>
    <x v="0"/>
    <n v="58"/>
  </r>
  <r>
    <x v="1"/>
    <x v="1"/>
    <n v="21"/>
    <n v="2020"/>
    <x v="0"/>
    <n v="9"/>
    <x v="1"/>
    <s v="No"/>
    <x v="0"/>
    <n v="2"/>
    <x v="1"/>
    <x v="0"/>
    <s v="Yes"/>
    <x v="1"/>
    <x v="2"/>
    <x v="38"/>
    <s v="No"/>
    <s v="No"/>
    <x v="1"/>
    <s v="Artificial Intelligence"/>
    <n v="2"/>
    <x v="0"/>
    <s v="Single"/>
    <x v="0"/>
    <s v="Bachelor"/>
    <x v="0"/>
    <n v="1.88"/>
    <s v="No"/>
    <n v="2.92"/>
    <n v="124"/>
    <n v="42000"/>
    <x v="0"/>
    <x v="0"/>
    <n v="33.400000000000006"/>
  </r>
  <r>
    <x v="3"/>
    <x v="1"/>
    <n v="21"/>
    <n v="2021"/>
    <x v="0"/>
    <n v="6"/>
    <x v="0"/>
    <s v="No"/>
    <x v="2"/>
    <n v="1"/>
    <x v="0"/>
    <x v="0"/>
    <s v="Yes"/>
    <x v="1"/>
    <x v="2"/>
    <x v="28"/>
    <s v="Yes"/>
    <s v="No"/>
    <x v="0"/>
    <s v="Software Development"/>
    <n v="1"/>
    <x v="7"/>
    <s v="Married"/>
    <x v="0"/>
    <s v="Family"/>
    <x v="0"/>
    <n v="2.77"/>
    <s v="No"/>
    <n v="3.8"/>
    <n v="77"/>
    <n v="42000"/>
    <x v="1"/>
    <x v="0"/>
    <n v="40.200000000000003"/>
  </r>
  <r>
    <x v="2"/>
    <x v="0"/>
    <n v="20"/>
    <n v="2020"/>
    <x v="0"/>
    <n v="5"/>
    <x v="1"/>
    <s v="No"/>
    <x v="5"/>
    <n v="2"/>
    <x v="1"/>
    <x v="0"/>
    <s v="Yes"/>
    <x v="5"/>
    <x v="0"/>
    <x v="0"/>
    <s v="No"/>
    <s v="No"/>
    <x v="1"/>
    <s v="Machine Learning"/>
    <n v="2"/>
    <x v="2"/>
    <s v="Single"/>
    <x v="1"/>
    <s v="Bachelor"/>
    <x v="0"/>
    <n v="1.98"/>
    <s v="No"/>
    <n v="2.97"/>
    <n v="66"/>
    <n v="45000"/>
    <x v="0"/>
    <x v="0"/>
    <n v="54"/>
  </r>
  <r>
    <x v="3"/>
    <x v="0"/>
    <n v="22"/>
    <n v="2021"/>
    <x v="0"/>
    <n v="5"/>
    <x v="1"/>
    <s v="No"/>
    <x v="2"/>
    <n v="1"/>
    <x v="1"/>
    <x v="0"/>
    <s v="Yes"/>
    <x v="1"/>
    <x v="1"/>
    <x v="54"/>
    <s v="No"/>
    <s v="No"/>
    <x v="0"/>
    <s v="Networking"/>
    <n v="4"/>
    <x v="6"/>
    <s v="Relationship"/>
    <x v="1"/>
    <s v="Bachelor"/>
    <x v="0"/>
    <n v="1.81"/>
    <s v="No"/>
    <n v="2.88"/>
    <n v="72"/>
    <n v="45000"/>
    <x v="0"/>
    <x v="0"/>
    <n v="27.200000000000003"/>
  </r>
  <r>
    <x v="1"/>
    <x v="1"/>
    <n v="20"/>
    <n v="2020"/>
    <x v="0"/>
    <n v="9"/>
    <x v="1"/>
    <s v="No"/>
    <x v="2"/>
    <n v="3"/>
    <x v="0"/>
    <x v="0"/>
    <s v="Yes"/>
    <x v="1"/>
    <x v="2"/>
    <x v="55"/>
    <s v="No"/>
    <s v="No"/>
    <x v="0"/>
    <s v="Networking"/>
    <n v="1"/>
    <x v="6"/>
    <s v="Relationship"/>
    <x v="1"/>
    <s v="Bachelor"/>
    <x v="0"/>
    <n v="2.87"/>
    <s v="No"/>
    <n v="3.9"/>
    <n v="125"/>
    <n v="46000"/>
    <x v="1"/>
    <x v="0"/>
    <n v="31"/>
  </r>
  <r>
    <x v="3"/>
    <x v="0"/>
    <n v="20"/>
    <n v="2021"/>
    <x v="0"/>
    <n v="4"/>
    <x v="1"/>
    <s v="No"/>
    <x v="2"/>
    <n v="2"/>
    <x v="0"/>
    <x v="0"/>
    <s v="Yes"/>
    <x v="4"/>
    <x v="0"/>
    <x v="5"/>
    <s v="No"/>
    <s v="No"/>
    <x v="0"/>
    <s v="Networking"/>
    <n v="8"/>
    <x v="2"/>
    <s v="Single"/>
    <x v="1"/>
    <s v="Family"/>
    <x v="0"/>
    <n v="1.76"/>
    <s v="No"/>
    <n v="2.67"/>
    <n v="27"/>
    <n v="46000"/>
    <x v="0"/>
    <x v="0"/>
    <n v="70"/>
  </r>
  <r>
    <x v="3"/>
    <x v="1"/>
    <n v="21"/>
    <n v="2021"/>
    <x v="0"/>
    <n v="7"/>
    <x v="1"/>
    <s v="No"/>
    <x v="0"/>
    <n v="2"/>
    <x v="0"/>
    <x v="0"/>
    <s v="Yes"/>
    <x v="2"/>
    <x v="0"/>
    <x v="56"/>
    <s v="No"/>
    <s v="No"/>
    <x v="1"/>
    <s v="Artificial Intelligence"/>
    <n v="2"/>
    <x v="0"/>
    <s v="Single"/>
    <x v="0"/>
    <s v="Bachelor"/>
    <x v="0"/>
    <n v="2.34"/>
    <s v="No"/>
    <n v="3.4"/>
    <n v="109"/>
    <n v="47000"/>
    <x v="0"/>
    <x v="0"/>
    <n v="27.8"/>
  </r>
  <r>
    <x v="1"/>
    <x v="1"/>
    <n v="20"/>
    <n v="2019"/>
    <x v="0"/>
    <n v="9"/>
    <x v="1"/>
    <s v="No"/>
    <x v="3"/>
    <n v="2"/>
    <x v="0"/>
    <x v="0"/>
    <s v="Yes"/>
    <x v="0"/>
    <x v="0"/>
    <x v="5"/>
    <s v="No"/>
    <s v="No"/>
    <x v="0"/>
    <s v="Artificial Intelligence"/>
    <n v="1"/>
    <x v="6"/>
    <s v="Single"/>
    <x v="1"/>
    <s v="Bachelor"/>
    <x v="0"/>
    <n v="2.0699999999999998"/>
    <s v="No"/>
    <n v="3.28"/>
    <n v="132"/>
    <n v="48000"/>
    <x v="0"/>
    <x v="0"/>
    <n v="58"/>
  </r>
  <r>
    <x v="2"/>
    <x v="0"/>
    <n v="23"/>
    <n v="2019"/>
    <x v="0"/>
    <n v="10"/>
    <x v="1"/>
    <s v="No"/>
    <x v="2"/>
    <n v="3"/>
    <x v="1"/>
    <x v="0"/>
    <s v="Yes"/>
    <x v="2"/>
    <x v="0"/>
    <x v="44"/>
    <s v="No"/>
    <s v="No"/>
    <x v="1"/>
    <s v="Networking"/>
    <n v="4"/>
    <x v="6"/>
    <s v="Relationship"/>
    <x v="1"/>
    <s v="Family"/>
    <x v="1"/>
    <n v="2.4500000000000002"/>
    <s v="No"/>
    <n v="3.51"/>
    <n v="132"/>
    <n v="48000"/>
    <x v="1"/>
    <x v="0"/>
    <n v="53.6"/>
  </r>
  <r>
    <x v="2"/>
    <x v="0"/>
    <n v="20"/>
    <n v="2020"/>
    <x v="0"/>
    <n v="11"/>
    <x v="1"/>
    <s v="Yes"/>
    <x v="3"/>
    <n v="1"/>
    <x v="0"/>
    <x v="0"/>
    <s v="Yes"/>
    <x v="1"/>
    <x v="0"/>
    <x v="36"/>
    <s v="Yes"/>
    <s v="No"/>
    <x v="0"/>
    <s v="Networking"/>
    <n v="2"/>
    <x v="6"/>
    <s v="Single"/>
    <x v="1"/>
    <s v="Bachelor"/>
    <x v="0"/>
    <n v="2.66"/>
    <s v="No"/>
    <n v="3.79"/>
    <n v="135"/>
    <n v="48000"/>
    <x v="1"/>
    <x v="0"/>
    <n v="48.2"/>
  </r>
  <r>
    <x v="2"/>
    <x v="1"/>
    <n v="23"/>
    <n v="2019"/>
    <x v="0"/>
    <n v="11"/>
    <x v="0"/>
    <s v="No"/>
    <x v="4"/>
    <n v="3"/>
    <x v="0"/>
    <x v="0"/>
    <s v="Yes"/>
    <x v="2"/>
    <x v="0"/>
    <x v="5"/>
    <s v="No"/>
    <s v="No"/>
    <x v="1"/>
    <s v="Cyber security"/>
    <n v="4"/>
    <x v="0"/>
    <s v="Relationship"/>
    <x v="1"/>
    <s v="Family"/>
    <x v="0"/>
    <n v="2.77"/>
    <s v="No"/>
    <n v="3.85"/>
    <n v="144"/>
    <n v="49000"/>
    <x v="1"/>
    <x v="0"/>
    <n v="70"/>
  </r>
  <r>
    <x v="3"/>
    <x v="1"/>
    <n v="21"/>
    <n v="2021"/>
    <x v="0"/>
    <n v="6"/>
    <x v="1"/>
    <s v="No"/>
    <x v="3"/>
    <n v="3"/>
    <x v="1"/>
    <x v="0"/>
    <s v="Yes"/>
    <x v="1"/>
    <x v="1"/>
    <x v="5"/>
    <s v="Yes"/>
    <s v="No"/>
    <x v="1"/>
    <s v="Networking"/>
    <n v="2"/>
    <x v="6"/>
    <s v="Single"/>
    <x v="1"/>
    <s v="Family"/>
    <x v="0"/>
    <n v="2.63"/>
    <s v="No"/>
    <n v="3.7"/>
    <n v="75"/>
    <n v="49000"/>
    <x v="1"/>
    <x v="0"/>
    <n v="61"/>
  </r>
  <r>
    <x v="2"/>
    <x v="0"/>
    <n v="23"/>
    <n v="2018"/>
    <x v="0"/>
    <n v="8"/>
    <x v="0"/>
    <s v="No"/>
    <x v="0"/>
    <n v="3"/>
    <x v="1"/>
    <x v="0"/>
    <s v="Yes"/>
    <x v="2"/>
    <x v="2"/>
    <x v="2"/>
    <s v="No"/>
    <s v="No"/>
    <x v="1"/>
    <s v="Cyber security"/>
    <n v="2"/>
    <x v="7"/>
    <s v="Relationship"/>
    <x v="0"/>
    <s v="Family"/>
    <x v="0"/>
    <n v="2.81"/>
    <s v="No"/>
    <n v="3.79"/>
    <n v="135"/>
    <n v="50000"/>
    <x v="1"/>
    <x v="0"/>
    <n v="47"/>
  </r>
  <r>
    <x v="1"/>
    <x v="1"/>
    <n v="21"/>
    <n v="2019"/>
    <x v="0"/>
    <n v="6"/>
    <x v="1"/>
    <s v="No"/>
    <x v="2"/>
    <n v="1"/>
    <x v="0"/>
    <x v="0"/>
    <s v="Yes"/>
    <x v="1"/>
    <x v="0"/>
    <x v="5"/>
    <s v="No"/>
    <s v="No"/>
    <x v="0"/>
    <s v="Software Development"/>
    <n v="1"/>
    <x v="0"/>
    <s v="Single"/>
    <x v="1"/>
    <s v="Family"/>
    <x v="0"/>
    <n v="2.44"/>
    <s v="No"/>
    <n v="3.44"/>
    <n v="56"/>
    <n v="50000"/>
    <x v="0"/>
    <x v="0"/>
    <n v="49"/>
  </r>
  <r>
    <x v="1"/>
    <x v="0"/>
    <n v="23"/>
    <n v="2019"/>
    <x v="0"/>
    <n v="7"/>
    <x v="1"/>
    <s v="No"/>
    <x v="1"/>
    <n v="1"/>
    <x v="1"/>
    <x v="0"/>
    <s v="Yes"/>
    <x v="0"/>
    <x v="2"/>
    <x v="7"/>
    <s v="No"/>
    <s v="No"/>
    <x v="0"/>
    <s v="Cyber security"/>
    <n v="5"/>
    <x v="6"/>
    <s v="Single"/>
    <x v="0"/>
    <s v="Family"/>
    <x v="0"/>
    <n v="2.5"/>
    <s v="No"/>
    <n v="3.22"/>
    <n v="66"/>
    <n v="50000"/>
    <x v="0"/>
    <x v="0"/>
    <n v="46"/>
  </r>
  <r>
    <x v="1"/>
    <x v="1"/>
    <n v="21"/>
    <n v="2020"/>
    <x v="0"/>
    <n v="7"/>
    <x v="1"/>
    <s v="No"/>
    <x v="2"/>
    <n v="3"/>
    <x v="0"/>
    <x v="0"/>
    <s v="Yes"/>
    <x v="5"/>
    <x v="2"/>
    <x v="5"/>
    <s v="No"/>
    <s v="No"/>
    <x v="0"/>
    <s v="Software Development"/>
    <n v="1"/>
    <x v="7"/>
    <s v="Relationship"/>
    <x v="0"/>
    <s v="Family"/>
    <x v="0"/>
    <n v="2.5499999999999998"/>
    <s v="No"/>
    <n v="3.8"/>
    <n v="112"/>
    <n v="50000"/>
    <x v="1"/>
    <x v="0"/>
    <n v="49"/>
  </r>
  <r>
    <x v="3"/>
    <x v="1"/>
    <n v="20"/>
    <n v="2021"/>
    <x v="0"/>
    <n v="5"/>
    <x v="1"/>
    <s v="No"/>
    <x v="0"/>
    <n v="2"/>
    <x v="0"/>
    <x v="0"/>
    <s v="Yes"/>
    <x v="0"/>
    <x v="1"/>
    <x v="5"/>
    <s v="No"/>
    <s v="No"/>
    <x v="0"/>
    <s v="Software Development"/>
    <n v="2"/>
    <x v="7"/>
    <s v="Single"/>
    <x v="1"/>
    <s v="Family"/>
    <x v="0"/>
    <n v="2.2200000000000002"/>
    <s v="No"/>
    <n v="3.35"/>
    <n v="79"/>
    <n v="50000"/>
    <x v="0"/>
    <x v="0"/>
    <n v="55"/>
  </r>
  <r>
    <x v="1"/>
    <x v="1"/>
    <n v="20"/>
    <n v="2020"/>
    <x v="0"/>
    <n v="9"/>
    <x v="1"/>
    <s v="No"/>
    <x v="0"/>
    <n v="3"/>
    <x v="0"/>
    <x v="0"/>
    <s v="Yes"/>
    <x v="1"/>
    <x v="1"/>
    <x v="5"/>
    <s v="No"/>
    <s v="No"/>
    <x v="0"/>
    <s v="Software Development"/>
    <n v="2"/>
    <x v="2"/>
    <s v="Single"/>
    <x v="0"/>
    <s v="Family"/>
    <x v="0"/>
    <n v="2.56"/>
    <s v="No"/>
    <n v="3.64"/>
    <n v="108"/>
    <n v="53000"/>
    <x v="1"/>
    <x v="0"/>
    <n v="55"/>
  </r>
  <r>
    <x v="2"/>
    <x v="1"/>
    <n v="23"/>
    <n v="2019"/>
    <x v="0"/>
    <n v="8"/>
    <x v="1"/>
    <s v="No"/>
    <x v="0"/>
    <n v="2"/>
    <x v="0"/>
    <x v="0"/>
    <s v="Yes"/>
    <x v="6"/>
    <x v="0"/>
    <x v="5"/>
    <s v="No"/>
    <s v="No"/>
    <x v="1"/>
    <s v="Software Development"/>
    <n v="2"/>
    <x v="2"/>
    <s v="Single"/>
    <x v="1"/>
    <s v="Family"/>
    <x v="0"/>
    <n v="1.99"/>
    <s v="No"/>
    <n v="3"/>
    <n v="121"/>
    <n v="55000"/>
    <x v="0"/>
    <x v="0"/>
    <n v="55"/>
  </r>
  <r>
    <x v="2"/>
    <x v="1"/>
    <n v="24"/>
    <n v="2019"/>
    <x v="0"/>
    <n v="11"/>
    <x v="1"/>
    <s v="No"/>
    <x v="0"/>
    <n v="2"/>
    <x v="0"/>
    <x v="0"/>
    <s v="Yes"/>
    <x v="2"/>
    <x v="0"/>
    <x v="40"/>
    <s v="No"/>
    <s v="No"/>
    <x v="0"/>
    <s v="Networking"/>
    <n v="1"/>
    <x v="6"/>
    <s v="Married"/>
    <x v="1"/>
    <s v="Family"/>
    <x v="0"/>
    <n v="1.56"/>
    <s v="No"/>
    <n v="2.62"/>
    <n v="143"/>
    <n v="55000"/>
    <x v="0"/>
    <x v="0"/>
    <n v="25.6"/>
  </r>
  <r>
    <x v="2"/>
    <x v="1"/>
    <n v="21"/>
    <n v="2019"/>
    <x v="0"/>
    <n v="11"/>
    <x v="1"/>
    <s v="No"/>
    <x v="5"/>
    <n v="3"/>
    <x v="0"/>
    <x v="0"/>
    <s v="Yes"/>
    <x v="2"/>
    <x v="2"/>
    <x v="45"/>
    <s v="No"/>
    <s v="No"/>
    <x v="0"/>
    <s v="Artificial Intelligence"/>
    <n v="2"/>
    <x v="0"/>
    <s v="Relationship"/>
    <x v="1"/>
    <s v="Bachelor"/>
    <x v="0"/>
    <n v="2.67"/>
    <s v="No"/>
    <n v="3.77"/>
    <n v="143"/>
    <n v="55000"/>
    <x v="1"/>
    <x v="0"/>
    <n v="49.6"/>
  </r>
  <r>
    <x v="2"/>
    <x v="1"/>
    <n v="20"/>
    <n v="2020"/>
    <x v="0"/>
    <n v="9"/>
    <x v="1"/>
    <s v="No"/>
    <x v="5"/>
    <n v="2"/>
    <x v="0"/>
    <x v="0"/>
    <s v="No"/>
    <x v="5"/>
    <x v="2"/>
    <x v="5"/>
    <s v="No"/>
    <s v="No"/>
    <x v="1"/>
    <s v="Artificial Intelligence"/>
    <n v="2"/>
    <x v="2"/>
    <s v="Single"/>
    <x v="0"/>
    <s v="Family"/>
    <x v="0"/>
    <n v="2.31"/>
    <s v="No"/>
    <n v="3.44"/>
    <n v="138"/>
    <n v="55000"/>
    <x v="0"/>
    <x v="0"/>
    <n v="58"/>
  </r>
  <r>
    <x v="2"/>
    <x v="0"/>
    <n v="24"/>
    <n v="2019"/>
    <x v="0"/>
    <n v="11"/>
    <x v="1"/>
    <s v="No"/>
    <x v="2"/>
    <n v="2"/>
    <x v="0"/>
    <x v="0"/>
    <s v="Yes"/>
    <x v="1"/>
    <x v="0"/>
    <x v="42"/>
    <s v="Yes"/>
    <s v="No"/>
    <x v="0"/>
    <s v="Networking"/>
    <n v="4"/>
    <x v="6"/>
    <s v="Married"/>
    <x v="0"/>
    <s v="Family"/>
    <x v="0"/>
    <n v="1.26"/>
    <s v="No"/>
    <n v="2.37"/>
    <n v="143"/>
    <n v="56000"/>
    <x v="2"/>
    <x v="0"/>
    <n v="48.400000000000006"/>
  </r>
  <r>
    <x v="4"/>
    <x v="1"/>
    <n v="25"/>
    <n v="2018"/>
    <x v="0"/>
    <n v="11"/>
    <x v="1"/>
    <s v="No"/>
    <x v="1"/>
    <n v="2"/>
    <x v="1"/>
    <x v="0"/>
    <s v="Yes"/>
    <x v="4"/>
    <x v="1"/>
    <x v="57"/>
    <s v="No"/>
    <s v="No"/>
    <x v="0"/>
    <s v="Networking"/>
    <n v="4"/>
    <x v="6"/>
    <s v="Single"/>
    <x v="0"/>
    <s v="Family"/>
    <x v="0"/>
    <n v="1.55"/>
    <s v="No"/>
    <n v="2.78"/>
    <n v="143"/>
    <n v="57000"/>
    <x v="0"/>
    <x v="0"/>
    <n v="41.400000000000006"/>
  </r>
  <r>
    <x v="1"/>
    <x v="1"/>
    <n v="20"/>
    <n v="2020"/>
    <x v="0"/>
    <n v="9"/>
    <x v="1"/>
    <s v="No"/>
    <x v="2"/>
    <n v="3"/>
    <x v="0"/>
    <x v="0"/>
    <s v="Yes"/>
    <x v="2"/>
    <x v="2"/>
    <x v="5"/>
    <s v="Yes"/>
    <s v="No"/>
    <x v="1"/>
    <s v="Software Development"/>
    <n v="4"/>
    <x v="7"/>
    <s v="Relationship"/>
    <x v="0"/>
    <s v="Bachelor"/>
    <x v="0"/>
    <n v="2.64"/>
    <s v="No"/>
    <n v="3.71"/>
    <n v="129"/>
    <n v="59000"/>
    <x v="1"/>
    <x v="0"/>
    <n v="58"/>
  </r>
  <r>
    <x v="1"/>
    <x v="0"/>
    <n v="20"/>
    <n v="2020"/>
    <x v="0"/>
    <n v="10"/>
    <x v="1"/>
    <s v="No"/>
    <x v="1"/>
    <n v="2"/>
    <x v="0"/>
    <x v="0"/>
    <s v="Yes"/>
    <x v="2"/>
    <x v="2"/>
    <x v="5"/>
    <s v="Yes"/>
    <s v="No"/>
    <x v="1"/>
    <s v="Software Development"/>
    <n v="2"/>
    <x v="7"/>
    <s v="Relationship"/>
    <x v="0"/>
    <s v="Bachelor"/>
    <x v="0"/>
    <n v="2.76"/>
    <s v="No"/>
    <n v="3.81"/>
    <n v="134"/>
    <n v="59000"/>
    <x v="1"/>
    <x v="0"/>
    <n v="49"/>
  </r>
  <r>
    <x v="2"/>
    <x v="0"/>
    <n v="25"/>
    <n v="2018"/>
    <x v="0"/>
    <n v="8"/>
    <x v="1"/>
    <s v="No"/>
    <x v="5"/>
    <n v="2"/>
    <x v="0"/>
    <x v="0"/>
    <s v="Yes"/>
    <x v="6"/>
    <x v="1"/>
    <x v="3"/>
    <s v="No"/>
    <s v="No"/>
    <x v="1"/>
    <s v="Cyber security"/>
    <n v="1"/>
    <x v="0"/>
    <s v="Single"/>
    <x v="0"/>
    <s v="Bachelor"/>
    <x v="0"/>
    <n v="1.62"/>
    <s v="No"/>
    <n v="2.4500000000000002"/>
    <n v="99"/>
    <n v="60000"/>
    <x v="2"/>
    <x v="0"/>
    <n v="50.2"/>
  </r>
  <r>
    <x v="2"/>
    <x v="1"/>
    <n v="23"/>
    <n v="2019"/>
    <x v="0"/>
    <n v="11"/>
    <x v="0"/>
    <s v="No"/>
    <x v="2"/>
    <n v="2"/>
    <x v="1"/>
    <x v="0"/>
    <s v="Yes"/>
    <x v="4"/>
    <x v="1"/>
    <x v="2"/>
    <s v="No"/>
    <s v="No"/>
    <x v="1"/>
    <s v="Networking"/>
    <n v="2"/>
    <x v="2"/>
    <s v="Single"/>
    <x v="0"/>
    <s v="Family"/>
    <x v="0"/>
    <n v="2.88"/>
    <s v="No"/>
    <n v="3.6"/>
    <n v="109"/>
    <n v="60000"/>
    <x v="1"/>
    <x v="0"/>
    <n v="44"/>
  </r>
  <r>
    <x v="1"/>
    <x v="1"/>
    <n v="23"/>
    <n v="2019"/>
    <x v="0"/>
    <n v="5"/>
    <x v="1"/>
    <s v="No"/>
    <x v="0"/>
    <n v="2"/>
    <x v="0"/>
    <x v="0"/>
    <s v="Yes"/>
    <x v="5"/>
    <x v="0"/>
    <x v="0"/>
    <s v="Yes"/>
    <s v="No"/>
    <x v="0"/>
    <s v="Software Development"/>
    <n v="4"/>
    <x v="2"/>
    <s v="Relationship"/>
    <x v="0"/>
    <s v="Family"/>
    <x v="0"/>
    <n v="2.61"/>
    <s v="No"/>
    <n v="3.57"/>
    <n v="130"/>
    <n v="60000"/>
    <x v="1"/>
    <x v="0"/>
    <n v="57"/>
  </r>
  <r>
    <x v="1"/>
    <x v="1"/>
    <n v="23"/>
    <n v="2019"/>
    <x v="0"/>
    <n v="7"/>
    <x v="0"/>
    <s v="No"/>
    <x v="1"/>
    <n v="2"/>
    <x v="0"/>
    <x v="0"/>
    <s v="Yes"/>
    <x v="2"/>
    <x v="0"/>
    <x v="5"/>
    <s v="No"/>
    <s v="No"/>
    <x v="0"/>
    <s v="Networking"/>
    <n v="2"/>
    <x v="3"/>
    <s v="Single"/>
    <x v="0"/>
    <s v="Family"/>
    <x v="0"/>
    <n v="2.85"/>
    <s v="No"/>
    <n v="3.79"/>
    <n v="66"/>
    <n v="60000"/>
    <x v="1"/>
    <x v="0"/>
    <n v="49"/>
  </r>
  <r>
    <x v="4"/>
    <x v="0"/>
    <n v="23"/>
    <n v="2019"/>
    <x v="0"/>
    <n v="12"/>
    <x v="1"/>
    <s v="No"/>
    <x v="3"/>
    <n v="2"/>
    <x v="0"/>
    <x v="0"/>
    <s v="No"/>
    <x v="9"/>
    <x v="2"/>
    <x v="5"/>
    <s v="No"/>
    <s v="No"/>
    <x v="1"/>
    <s v="Networking"/>
    <n v="1"/>
    <x v="4"/>
    <s v="Single"/>
    <x v="1"/>
    <s v="Family"/>
    <x v="0"/>
    <n v="2.19"/>
    <s v="No"/>
    <n v="3.7"/>
    <n v="111"/>
    <n v="60000"/>
    <x v="1"/>
    <x v="0"/>
    <n v="58"/>
  </r>
  <r>
    <x v="1"/>
    <x v="1"/>
    <n v="22"/>
    <n v="2019"/>
    <x v="0"/>
    <n v="7"/>
    <x v="1"/>
    <s v="No"/>
    <x v="2"/>
    <n v="2"/>
    <x v="0"/>
    <x v="0"/>
    <s v="Yes"/>
    <x v="4"/>
    <x v="0"/>
    <x v="23"/>
    <s v="Yes"/>
    <s v="No"/>
    <x v="0"/>
    <s v="Networking"/>
    <n v="2"/>
    <x v="2"/>
    <s v="Single"/>
    <x v="0"/>
    <s v="Bachelor"/>
    <x v="0"/>
    <n v="1.9"/>
    <s v="No"/>
    <n v="2.81"/>
    <n v="97"/>
    <n v="60000"/>
    <x v="0"/>
    <x v="0"/>
    <n v="36"/>
  </r>
  <r>
    <x v="2"/>
    <x v="1"/>
    <n v="21"/>
    <n v="2019"/>
    <x v="0"/>
    <n v="8"/>
    <x v="1"/>
    <s v="No"/>
    <x v="3"/>
    <n v="2"/>
    <x v="1"/>
    <x v="0"/>
    <s v="Yes"/>
    <x v="6"/>
    <x v="2"/>
    <x v="11"/>
    <s v="No"/>
    <s v="No"/>
    <x v="1"/>
    <s v="Networking"/>
    <n v="3"/>
    <x v="6"/>
    <s v="Single"/>
    <x v="0"/>
    <s v="Bachelor"/>
    <x v="1"/>
    <n v="1.89"/>
    <s v="No"/>
    <n v="3.08"/>
    <n v="117"/>
    <n v="60000"/>
    <x v="0"/>
    <x v="0"/>
    <n v="54"/>
  </r>
  <r>
    <x v="1"/>
    <x v="1"/>
    <n v="21"/>
    <n v="2019"/>
    <x v="0"/>
    <n v="10"/>
    <x v="1"/>
    <s v="No"/>
    <x v="1"/>
    <n v="3"/>
    <x v="0"/>
    <x v="0"/>
    <s v="Yes"/>
    <x v="9"/>
    <x v="2"/>
    <x v="5"/>
    <s v="No"/>
    <s v="No"/>
    <x v="0"/>
    <s v="Software Development"/>
    <n v="1"/>
    <x v="2"/>
    <s v="Relationship"/>
    <x v="1"/>
    <s v="Bachelor"/>
    <x v="0"/>
    <n v="2.77"/>
    <s v="No"/>
    <n v="3.81"/>
    <n v="136"/>
    <n v="60000"/>
    <x v="1"/>
    <x v="0"/>
    <n v="46"/>
  </r>
  <r>
    <x v="1"/>
    <x v="0"/>
    <n v="22"/>
    <n v="2020"/>
    <x v="0"/>
    <n v="6"/>
    <x v="1"/>
    <s v="No"/>
    <x v="2"/>
    <n v="1"/>
    <x v="0"/>
    <x v="0"/>
    <s v="Yes"/>
    <x v="7"/>
    <x v="0"/>
    <x v="4"/>
    <s v="No"/>
    <s v="No"/>
    <x v="1"/>
    <s v="Software Development"/>
    <n v="1"/>
    <x v="0"/>
    <s v="Single"/>
    <x v="0"/>
    <s v="Family"/>
    <x v="1"/>
    <n v="1.4"/>
    <s v="No"/>
    <n v="2.95"/>
    <n v="61"/>
    <n v="60000"/>
    <x v="0"/>
    <x v="0"/>
    <n v="47"/>
  </r>
  <r>
    <x v="1"/>
    <x v="1"/>
    <n v="20"/>
    <n v="2020"/>
    <x v="0"/>
    <n v="6"/>
    <x v="0"/>
    <s v="No"/>
    <x v="3"/>
    <n v="3"/>
    <x v="0"/>
    <x v="0"/>
    <s v="Yes"/>
    <x v="4"/>
    <x v="2"/>
    <x v="14"/>
    <s v="No"/>
    <s v="No"/>
    <x v="1"/>
    <s v="Machine Learning"/>
    <n v="1"/>
    <x v="7"/>
    <s v="Single"/>
    <x v="1"/>
    <s v="Bachelor"/>
    <x v="0"/>
    <n v="1.76"/>
    <s v="No"/>
    <n v="2.87"/>
    <n v="68"/>
    <n v="60000"/>
    <x v="0"/>
    <x v="0"/>
    <n v="38"/>
  </r>
  <r>
    <x v="1"/>
    <x v="1"/>
    <n v="20"/>
    <n v="2021"/>
    <x v="0"/>
    <n v="7"/>
    <x v="0"/>
    <s v="No"/>
    <x v="3"/>
    <n v="3"/>
    <x v="0"/>
    <x v="0"/>
    <s v="Yes"/>
    <x v="2"/>
    <x v="2"/>
    <x v="5"/>
    <s v="No"/>
    <s v="No"/>
    <x v="0"/>
    <s v="Networking"/>
    <n v="1"/>
    <x v="6"/>
    <s v="Married"/>
    <x v="1"/>
    <s v="Family"/>
    <x v="0"/>
    <n v="2.66"/>
    <s v="No"/>
    <n v="3.83"/>
    <n v="102"/>
    <n v="60000"/>
    <x v="1"/>
    <x v="0"/>
    <n v="58"/>
  </r>
  <r>
    <x v="1"/>
    <x v="0"/>
    <n v="20"/>
    <n v="2020"/>
    <x v="0"/>
    <n v="9"/>
    <x v="1"/>
    <s v="No"/>
    <x v="2"/>
    <n v="2"/>
    <x v="0"/>
    <x v="0"/>
    <s v="Yes"/>
    <x v="2"/>
    <x v="0"/>
    <x v="46"/>
    <s v="Yes"/>
    <s v="No"/>
    <x v="0"/>
    <s v="Software Development"/>
    <n v="1"/>
    <x v="7"/>
    <s v="Single"/>
    <x v="1"/>
    <s v="Family"/>
    <x v="0"/>
    <n v="1.56"/>
    <s v="No"/>
    <n v="2.62"/>
    <n v="107"/>
    <n v="62000"/>
    <x v="0"/>
    <x v="0"/>
    <n v="23"/>
  </r>
  <r>
    <x v="3"/>
    <x v="1"/>
    <n v="20"/>
    <n v="2021"/>
    <x v="0"/>
    <n v="5"/>
    <x v="1"/>
    <s v="No"/>
    <x v="0"/>
    <n v="2"/>
    <x v="0"/>
    <x v="0"/>
    <s v="Yes"/>
    <x v="1"/>
    <x v="0"/>
    <x v="5"/>
    <s v="No"/>
    <s v="No"/>
    <x v="0"/>
    <s v="Networking"/>
    <n v="4"/>
    <x v="6"/>
    <s v="Married"/>
    <x v="1"/>
    <s v="Family"/>
    <x v="0"/>
    <n v="2.87"/>
    <s v="No"/>
    <n v="3.91"/>
    <n v="61"/>
    <n v="62000"/>
    <x v="1"/>
    <x v="0"/>
    <n v="61"/>
  </r>
  <r>
    <x v="4"/>
    <x v="0"/>
    <n v="24"/>
    <n v="2019"/>
    <x v="0"/>
    <n v="10"/>
    <x v="0"/>
    <s v="No"/>
    <x v="5"/>
    <n v="1"/>
    <x v="0"/>
    <x v="0"/>
    <s v="Yes"/>
    <x v="6"/>
    <x v="0"/>
    <x v="17"/>
    <s v="Yes"/>
    <s v="No"/>
    <x v="1"/>
    <s v="Cyber security"/>
    <n v="3"/>
    <x v="0"/>
    <s v="Single"/>
    <x v="1"/>
    <s v="Bachelor"/>
    <x v="0"/>
    <n v="2.09"/>
    <s v="No"/>
    <n v="3.23"/>
    <n v="129"/>
    <n v="64000"/>
    <x v="0"/>
    <x v="0"/>
    <n v="55.800000000000004"/>
  </r>
  <r>
    <x v="1"/>
    <x v="1"/>
    <n v="20"/>
    <n v="2020"/>
    <x v="0"/>
    <n v="9"/>
    <x v="1"/>
    <s v="No"/>
    <x v="3"/>
    <n v="2"/>
    <x v="1"/>
    <x v="0"/>
    <s v="Yes"/>
    <x v="2"/>
    <x v="2"/>
    <x v="31"/>
    <s v="No"/>
    <s v="No"/>
    <x v="0"/>
    <s v="Artificial Intelligence"/>
    <n v="2"/>
    <x v="0"/>
    <s v="Single"/>
    <x v="0"/>
    <s v="Bachelor"/>
    <x v="0"/>
    <n v="1.56"/>
    <s v="No"/>
    <n v="2.66"/>
    <n v="120"/>
    <n v="64000"/>
    <x v="0"/>
    <x v="0"/>
    <n v="55.4"/>
  </r>
  <r>
    <x v="2"/>
    <x v="1"/>
    <n v="21"/>
    <n v="2020"/>
    <x v="0"/>
    <n v="10"/>
    <x v="0"/>
    <s v="No"/>
    <x v="7"/>
    <n v="3"/>
    <x v="0"/>
    <x v="0"/>
    <s v="Yes"/>
    <x v="1"/>
    <x v="0"/>
    <x v="5"/>
    <s v="No"/>
    <s v="No"/>
    <x v="1"/>
    <s v="Networking"/>
    <n v="2"/>
    <x v="6"/>
    <s v="Married"/>
    <x v="1"/>
    <s v="Family"/>
    <x v="1"/>
    <n v="2.78"/>
    <s v="No"/>
    <n v="3.89"/>
    <n v="138"/>
    <n v="65000"/>
    <x v="1"/>
    <x v="0"/>
    <n v="67"/>
  </r>
  <r>
    <x v="1"/>
    <x v="0"/>
    <n v="20"/>
    <n v="2020"/>
    <x v="0"/>
    <n v="9"/>
    <x v="1"/>
    <s v="No"/>
    <x v="1"/>
    <n v="1"/>
    <x v="0"/>
    <x v="0"/>
    <s v="Yes"/>
    <x v="2"/>
    <x v="0"/>
    <x v="50"/>
    <s v="No"/>
    <s v="No"/>
    <x v="0"/>
    <s v="Cyber security"/>
    <n v="2"/>
    <x v="0"/>
    <s v="Married"/>
    <x v="0"/>
    <s v="Family"/>
    <x v="0"/>
    <n v="2.4500000000000002"/>
    <s v="No"/>
    <n v="3.51"/>
    <n v="103"/>
    <n v="65000"/>
    <x v="1"/>
    <x v="0"/>
    <n v="35.799999999999997"/>
  </r>
  <r>
    <x v="3"/>
    <x v="1"/>
    <n v="19"/>
    <n v="2022"/>
    <x v="0"/>
    <n v="3"/>
    <x v="1"/>
    <s v="No"/>
    <x v="0"/>
    <n v="1"/>
    <x v="0"/>
    <x v="0"/>
    <s v="Yes"/>
    <x v="1"/>
    <x v="2"/>
    <x v="4"/>
    <s v="No"/>
    <s v="No"/>
    <x v="1"/>
    <s v="Machine Learning"/>
    <n v="1"/>
    <x v="6"/>
    <s v="Single"/>
    <x v="1"/>
    <s v="Bachelor"/>
    <x v="0"/>
    <n v="2.78"/>
    <s v="No"/>
    <n v="3.89"/>
    <n v="35"/>
    <n v="65000"/>
    <x v="1"/>
    <x v="0"/>
    <n v="50"/>
  </r>
  <r>
    <x v="4"/>
    <x v="0"/>
    <n v="24"/>
    <n v="2018"/>
    <x v="0"/>
    <n v="11"/>
    <x v="1"/>
    <s v="No"/>
    <x v="3"/>
    <n v="2"/>
    <x v="0"/>
    <x v="0"/>
    <s v="Yes"/>
    <x v="1"/>
    <x v="0"/>
    <x v="5"/>
    <s v="No"/>
    <s v="No"/>
    <x v="0"/>
    <s v="Software Development"/>
    <n v="2"/>
    <x v="2"/>
    <s v="Relationship"/>
    <x v="1"/>
    <s v="Bachelor"/>
    <x v="1"/>
    <n v="1.67"/>
    <s v="No"/>
    <n v="2.73"/>
    <n v="143"/>
    <n v="66000"/>
    <x v="0"/>
    <x v="0"/>
    <n v="61"/>
  </r>
  <r>
    <x v="2"/>
    <x v="0"/>
    <n v="22"/>
    <n v="2019"/>
    <x v="0"/>
    <n v="10"/>
    <x v="1"/>
    <s v="No"/>
    <x v="2"/>
    <n v="2"/>
    <x v="0"/>
    <x v="0"/>
    <s v="No"/>
    <x v="15"/>
    <x v="2"/>
    <x v="5"/>
    <s v="No"/>
    <s v="No"/>
    <x v="1"/>
    <s v="Software Development"/>
    <n v="4"/>
    <x v="2"/>
    <s v="Relationship"/>
    <x v="0"/>
    <s v="Bachelor"/>
    <x v="0"/>
    <n v="1.55"/>
    <s v="No"/>
    <n v="2.68"/>
    <n v="134"/>
    <n v="66000"/>
    <x v="0"/>
    <x v="0"/>
    <n v="58"/>
  </r>
  <r>
    <x v="11"/>
    <x v="1"/>
    <n v="19"/>
    <n v="2021"/>
    <x v="0"/>
    <n v="2"/>
    <x v="1"/>
    <s v="No"/>
    <x v="2"/>
    <n v="2"/>
    <x v="1"/>
    <x v="0"/>
    <s v="Yes"/>
    <x v="9"/>
    <x v="2"/>
    <x v="22"/>
    <s v="No"/>
    <s v="No"/>
    <x v="1"/>
    <s v="Machine Learning"/>
    <n v="2"/>
    <x v="2"/>
    <s v="Relationship"/>
    <x v="1"/>
    <s v="Family"/>
    <x v="0"/>
    <n v="1.87"/>
    <s v="No"/>
    <n v="2.88"/>
    <n v="35"/>
    <n v="66000"/>
    <x v="0"/>
    <x v="0"/>
    <n v="42.8"/>
  </r>
  <r>
    <x v="3"/>
    <x v="0"/>
    <n v="21"/>
    <n v="2021"/>
    <x v="0"/>
    <n v="5"/>
    <x v="1"/>
    <s v="No"/>
    <x v="5"/>
    <n v="2"/>
    <x v="0"/>
    <x v="0"/>
    <s v="Yes"/>
    <x v="2"/>
    <x v="2"/>
    <x v="9"/>
    <s v="No"/>
    <s v="No"/>
    <x v="1"/>
    <s v="Software Development"/>
    <n v="4"/>
    <x v="2"/>
    <s v="Relationship"/>
    <x v="0"/>
    <s v="Bachelor"/>
    <x v="0"/>
    <n v="1.56"/>
    <s v="No"/>
    <n v="2.63"/>
    <n v="65"/>
    <n v="66000"/>
    <x v="0"/>
    <x v="0"/>
    <n v="58"/>
  </r>
  <r>
    <x v="1"/>
    <x v="1"/>
    <n v="23"/>
    <n v="2019"/>
    <x v="0"/>
    <n v="7"/>
    <x v="1"/>
    <s v="No"/>
    <x v="2"/>
    <n v="2"/>
    <x v="1"/>
    <x v="0"/>
    <s v="Yes"/>
    <x v="5"/>
    <x v="0"/>
    <x v="5"/>
    <s v="No"/>
    <s v="No"/>
    <x v="0"/>
    <s v="Software Development"/>
    <n v="1"/>
    <x v="6"/>
    <s v="Relationship"/>
    <x v="1"/>
    <s v="Family"/>
    <x v="0"/>
    <n v="2.7"/>
    <s v="No"/>
    <n v="3.5"/>
    <n v="66"/>
    <n v="67000"/>
    <x v="1"/>
    <x v="0"/>
    <n v="49"/>
  </r>
  <r>
    <x v="1"/>
    <x v="1"/>
    <n v="20"/>
    <n v="2020"/>
    <x v="0"/>
    <n v="9"/>
    <x v="1"/>
    <s v="No"/>
    <x v="2"/>
    <n v="2"/>
    <x v="0"/>
    <x v="0"/>
    <s v="No"/>
    <x v="2"/>
    <x v="0"/>
    <x v="44"/>
    <s v="Yes"/>
    <s v="No"/>
    <x v="0"/>
    <s v="Networking"/>
    <n v="4"/>
    <x v="6"/>
    <s v="Single"/>
    <x v="1"/>
    <s v="Family"/>
    <x v="0"/>
    <n v="2.76"/>
    <s v="No"/>
    <n v="3.8"/>
    <n v="113"/>
    <n v="67000"/>
    <x v="1"/>
    <x v="0"/>
    <n v="53.6"/>
  </r>
  <r>
    <x v="1"/>
    <x v="0"/>
    <n v="22"/>
    <n v="2021"/>
    <x v="0"/>
    <n v="8"/>
    <x v="1"/>
    <s v="No"/>
    <x v="2"/>
    <n v="2"/>
    <x v="0"/>
    <x v="0"/>
    <s v="Yes"/>
    <x v="1"/>
    <x v="0"/>
    <x v="36"/>
    <s v="Yes"/>
    <s v="No"/>
    <x v="1"/>
    <s v="Cyber security"/>
    <n v="4"/>
    <x v="0"/>
    <s v="Single"/>
    <x v="0"/>
    <s v="Bachelor"/>
    <x v="0"/>
    <n v="1.45"/>
    <s v="No"/>
    <n v="2.56"/>
    <n v="88"/>
    <n v="67000"/>
    <x v="0"/>
    <x v="0"/>
    <n v="45.2"/>
  </r>
  <r>
    <x v="2"/>
    <x v="0"/>
    <n v="20"/>
    <n v="2020"/>
    <x v="0"/>
    <n v="8"/>
    <x v="1"/>
    <s v="No"/>
    <x v="3"/>
    <n v="3"/>
    <x v="1"/>
    <x v="0"/>
    <s v="Yes"/>
    <x v="5"/>
    <x v="2"/>
    <x v="0"/>
    <s v="No"/>
    <s v="No"/>
    <x v="1"/>
    <s v="Software Development"/>
    <n v="2"/>
    <x v="7"/>
    <s v="Married"/>
    <x v="0"/>
    <s v="Family"/>
    <x v="0"/>
    <n v="1.55"/>
    <s v="No"/>
    <n v="2.76"/>
    <n v="77"/>
    <n v="68000"/>
    <x v="0"/>
    <x v="0"/>
    <n v="57"/>
  </r>
  <r>
    <x v="1"/>
    <x v="0"/>
    <n v="20"/>
    <n v="2020"/>
    <x v="0"/>
    <n v="9"/>
    <x v="1"/>
    <s v="No"/>
    <x v="2"/>
    <n v="3"/>
    <x v="0"/>
    <x v="0"/>
    <s v="Yes"/>
    <x v="2"/>
    <x v="0"/>
    <x v="17"/>
    <s v="No"/>
    <s v="No"/>
    <x v="1"/>
    <s v="Networking"/>
    <n v="4"/>
    <x v="6"/>
    <s v="Single"/>
    <x v="1"/>
    <s v="Bachelor"/>
    <x v="0"/>
    <n v="2.67"/>
    <s v="No"/>
    <n v="3.73"/>
    <n v="101"/>
    <n v="68000"/>
    <x v="1"/>
    <x v="0"/>
    <n v="52.800000000000004"/>
  </r>
  <r>
    <x v="1"/>
    <x v="1"/>
    <n v="21"/>
    <n v="2020"/>
    <x v="0"/>
    <n v="9"/>
    <x v="1"/>
    <s v="No"/>
    <x v="2"/>
    <n v="2"/>
    <x v="0"/>
    <x v="0"/>
    <s v="Yes"/>
    <x v="1"/>
    <x v="2"/>
    <x v="31"/>
    <s v="No"/>
    <s v="No"/>
    <x v="0"/>
    <s v="Artificial Intelligence"/>
    <n v="1"/>
    <x v="0"/>
    <s v="Single"/>
    <x v="0"/>
    <s v="Bachelor"/>
    <x v="1"/>
    <n v="2.86"/>
    <s v="No"/>
    <n v="3.9"/>
    <n v="119"/>
    <n v="68000"/>
    <x v="1"/>
    <x v="0"/>
    <n v="43.4"/>
  </r>
  <r>
    <x v="2"/>
    <x v="1"/>
    <n v="22"/>
    <n v="2018"/>
    <x v="0"/>
    <n v="6"/>
    <x v="1"/>
    <s v="No"/>
    <x v="5"/>
    <n v="3"/>
    <x v="0"/>
    <x v="0"/>
    <s v="Yes"/>
    <x v="2"/>
    <x v="0"/>
    <x v="2"/>
    <s v="No"/>
    <s v="No"/>
    <x v="1"/>
    <s v="Cyber security"/>
    <n v="3"/>
    <x v="7"/>
    <s v="Single"/>
    <x v="1"/>
    <s v="Family"/>
    <x v="1"/>
    <n v="2.0299999999999998"/>
    <s v="No"/>
    <n v="3.25"/>
    <n v="59"/>
    <n v="70000"/>
    <x v="0"/>
    <x v="0"/>
    <n v="53"/>
  </r>
  <r>
    <x v="4"/>
    <x v="1"/>
    <n v="22"/>
    <n v="2018"/>
    <x v="0"/>
    <n v="10"/>
    <x v="1"/>
    <s v="No"/>
    <x v="5"/>
    <n v="2"/>
    <x v="0"/>
    <x v="0"/>
    <s v="Yes"/>
    <x v="6"/>
    <x v="2"/>
    <x v="4"/>
    <s v="No"/>
    <s v="No"/>
    <x v="1"/>
    <s v="Networking"/>
    <n v="2"/>
    <x v="2"/>
    <s v="Relationship"/>
    <x v="1"/>
    <s v="Family"/>
    <x v="0"/>
    <n v="2.31"/>
    <s v="No"/>
    <n v="3.65"/>
    <n v="140"/>
    <n v="70000"/>
    <x v="1"/>
    <x v="0"/>
    <n v="56"/>
  </r>
  <r>
    <x v="1"/>
    <x v="1"/>
    <n v="22"/>
    <n v="2019"/>
    <x v="0"/>
    <n v="8"/>
    <x v="0"/>
    <s v="No"/>
    <x v="5"/>
    <n v="3"/>
    <x v="0"/>
    <x v="0"/>
    <s v="No"/>
    <x v="1"/>
    <x v="2"/>
    <x v="5"/>
    <s v="No"/>
    <s v="No"/>
    <x v="1"/>
    <s v="Networking"/>
    <n v="3"/>
    <x v="6"/>
    <s v="Single"/>
    <x v="0"/>
    <s v="Bachelor"/>
    <x v="0"/>
    <n v="2.66"/>
    <s v="No"/>
    <n v="3.78"/>
    <n v="109"/>
    <n v="70000"/>
    <x v="1"/>
    <x v="0"/>
    <n v="61"/>
  </r>
  <r>
    <x v="3"/>
    <x v="1"/>
    <n v="20"/>
    <n v="2021"/>
    <x v="0"/>
    <n v="5"/>
    <x v="1"/>
    <s v="No"/>
    <x v="4"/>
    <n v="2"/>
    <x v="1"/>
    <x v="0"/>
    <s v="Yes"/>
    <x v="1"/>
    <x v="0"/>
    <x v="5"/>
    <s v="No"/>
    <s v="No"/>
    <x v="1"/>
    <s v="Software Development"/>
    <n v="2"/>
    <x v="2"/>
    <s v="Relationship"/>
    <x v="1"/>
    <s v="Family"/>
    <x v="0"/>
    <n v="2.11"/>
    <s v="No"/>
    <n v="3.26"/>
    <n v="87"/>
    <n v="70000"/>
    <x v="0"/>
    <x v="0"/>
    <n v="64"/>
  </r>
  <r>
    <x v="3"/>
    <x v="0"/>
    <n v="19"/>
    <n v="2021"/>
    <x v="0"/>
    <n v="5"/>
    <x v="1"/>
    <s v="No"/>
    <x v="0"/>
    <n v="3"/>
    <x v="0"/>
    <x v="0"/>
    <s v="Yes"/>
    <x v="1"/>
    <x v="0"/>
    <x v="5"/>
    <s v="No"/>
    <s v="No"/>
    <x v="1"/>
    <s v="Networking"/>
    <n v="4"/>
    <x v="6"/>
    <s v="Single"/>
    <x v="1"/>
    <s v="Family"/>
    <x v="0"/>
    <n v="1.67"/>
    <s v="No"/>
    <n v="2.7"/>
    <n v="77"/>
    <n v="70000"/>
    <x v="0"/>
    <x v="0"/>
    <n v="61"/>
  </r>
  <r>
    <x v="4"/>
    <x v="0"/>
    <n v="23"/>
    <n v="2019"/>
    <x v="0"/>
    <n v="11"/>
    <x v="0"/>
    <s v="No"/>
    <x v="0"/>
    <n v="2"/>
    <x v="0"/>
    <x v="0"/>
    <s v="Yes"/>
    <x v="0"/>
    <x v="2"/>
    <x v="6"/>
    <s v="No"/>
    <s v="No"/>
    <x v="0"/>
    <s v="Software Development"/>
    <n v="3"/>
    <x v="7"/>
    <s v="Single"/>
    <x v="0"/>
    <s v="Bachelor"/>
    <x v="0"/>
    <n v="2.4"/>
    <s v="No"/>
    <n v="3.44"/>
    <n v="139"/>
    <n v="71000"/>
    <x v="0"/>
    <x v="0"/>
    <n v="56.800000000000004"/>
  </r>
  <r>
    <x v="1"/>
    <x v="1"/>
    <n v="21"/>
    <n v="2020"/>
    <x v="0"/>
    <n v="3"/>
    <x v="1"/>
    <s v="No"/>
    <x v="0"/>
    <n v="2"/>
    <x v="1"/>
    <x v="0"/>
    <s v="Yes"/>
    <x v="9"/>
    <x v="1"/>
    <x v="58"/>
    <s v="Yes"/>
    <s v="No"/>
    <x v="1"/>
    <s v="Machine Learning"/>
    <n v="1"/>
    <x v="6"/>
    <s v="Single"/>
    <x v="1"/>
    <s v="Family"/>
    <x v="0"/>
    <n v="1.55"/>
    <s v="No"/>
    <n v="2.81"/>
    <n v="34"/>
    <n v="73000"/>
    <x v="0"/>
    <x v="0"/>
    <n v="24"/>
  </r>
  <r>
    <x v="3"/>
    <x v="1"/>
    <n v="20"/>
    <n v="2020"/>
    <x v="0"/>
    <n v="5"/>
    <x v="0"/>
    <s v="No"/>
    <x v="3"/>
    <n v="2"/>
    <x v="1"/>
    <x v="0"/>
    <s v="Yes"/>
    <x v="15"/>
    <x v="0"/>
    <x v="0"/>
    <s v="No"/>
    <s v="No"/>
    <x v="0"/>
    <s v="Cyber security"/>
    <n v="1"/>
    <x v="0"/>
    <s v="Single"/>
    <x v="0"/>
    <s v="Bachelor"/>
    <x v="0"/>
    <n v="2.5499999999999998"/>
    <s v="No"/>
    <n v="3.59"/>
    <n v="72"/>
    <n v="73000"/>
    <x v="1"/>
    <x v="0"/>
    <n v="54"/>
  </r>
  <r>
    <x v="1"/>
    <x v="0"/>
    <n v="20"/>
    <n v="2021"/>
    <x v="0"/>
    <n v="9"/>
    <x v="1"/>
    <s v="No"/>
    <x v="1"/>
    <n v="4"/>
    <x v="0"/>
    <x v="0"/>
    <s v="Yes"/>
    <x v="1"/>
    <x v="0"/>
    <x v="17"/>
    <s v="Yes"/>
    <s v="No"/>
    <x v="0"/>
    <s v="Software Development"/>
    <n v="4"/>
    <x v="2"/>
    <s v="Relationship"/>
    <x v="0"/>
    <s v="Family"/>
    <x v="0"/>
    <n v="2.4500000000000002"/>
    <s v="No"/>
    <n v="3.56"/>
    <n v="123"/>
    <n v="74000"/>
    <x v="1"/>
    <x v="0"/>
    <n v="49.800000000000004"/>
  </r>
  <r>
    <x v="4"/>
    <x v="0"/>
    <n v="21"/>
    <n v="2019"/>
    <x v="0"/>
    <n v="11"/>
    <x v="0"/>
    <s v="No"/>
    <x v="4"/>
    <n v="4"/>
    <x v="0"/>
    <x v="0"/>
    <s v="Yes"/>
    <x v="2"/>
    <x v="2"/>
    <x v="5"/>
    <s v="No"/>
    <s v="No"/>
    <x v="0"/>
    <s v="Software Development"/>
    <n v="3"/>
    <x v="7"/>
    <s v="Single"/>
    <x v="1"/>
    <s v="Bachelor"/>
    <x v="0"/>
    <n v="2.77"/>
    <s v="No"/>
    <n v="3.87"/>
    <n v="139"/>
    <n v="75000"/>
    <x v="1"/>
    <x v="0"/>
    <n v="67"/>
  </r>
  <r>
    <x v="1"/>
    <x v="1"/>
    <n v="20"/>
    <n v="2020"/>
    <x v="0"/>
    <n v="8"/>
    <x v="1"/>
    <s v="No"/>
    <x v="0"/>
    <n v="1"/>
    <x v="0"/>
    <x v="0"/>
    <s v="Yes"/>
    <x v="1"/>
    <x v="0"/>
    <x v="5"/>
    <s v="No"/>
    <s v="No"/>
    <x v="1"/>
    <s v="Software Development"/>
    <n v="2"/>
    <x v="7"/>
    <s v="Single"/>
    <x v="0"/>
    <s v="Bachelor"/>
    <x v="0"/>
    <n v="2.5299999999999998"/>
    <s v="No"/>
    <n v="3.6"/>
    <n v="95"/>
    <n v="75000"/>
    <x v="1"/>
    <x v="0"/>
    <n v="55"/>
  </r>
  <r>
    <x v="3"/>
    <x v="1"/>
    <n v="19"/>
    <n v="2021"/>
    <x v="0"/>
    <n v="6"/>
    <x v="1"/>
    <s v="No"/>
    <x v="0"/>
    <n v="1"/>
    <x v="1"/>
    <x v="0"/>
    <s v="Yes"/>
    <x v="1"/>
    <x v="0"/>
    <x v="59"/>
    <s v="Yes"/>
    <s v="No"/>
    <x v="0"/>
    <s v="Machine Learning"/>
    <n v="2"/>
    <x v="0"/>
    <s v="Relationship"/>
    <x v="0"/>
    <s v="Bachelor"/>
    <x v="1"/>
    <n v="1.65"/>
    <s v="No"/>
    <n v="2.71"/>
    <n v="73"/>
    <n v="75000"/>
    <x v="0"/>
    <x v="0"/>
    <n v="32.200000000000003"/>
  </r>
  <r>
    <x v="1"/>
    <x v="1"/>
    <n v="19"/>
    <n v="2020"/>
    <x v="0"/>
    <n v="4"/>
    <x v="1"/>
    <s v="No"/>
    <x v="0"/>
    <n v="1"/>
    <x v="1"/>
    <x v="0"/>
    <s v="Yes"/>
    <x v="15"/>
    <x v="1"/>
    <x v="7"/>
    <s v="No"/>
    <s v="No"/>
    <x v="1"/>
    <s v="Artificial Intelligence"/>
    <n v="3"/>
    <x v="6"/>
    <s v="Relationship"/>
    <x v="1"/>
    <s v="Bachelor"/>
    <x v="1"/>
    <n v="2.3199999999999998"/>
    <s v="No"/>
    <n v="3.68"/>
    <n v="46"/>
    <n v="77000"/>
    <x v="1"/>
    <x v="0"/>
    <n v="46"/>
  </r>
  <r>
    <x v="2"/>
    <x v="1"/>
    <n v="20"/>
    <n v="2020"/>
    <x v="0"/>
    <n v="11"/>
    <x v="1"/>
    <s v="No"/>
    <x v="1"/>
    <n v="3"/>
    <x v="0"/>
    <x v="0"/>
    <s v="Yes"/>
    <x v="2"/>
    <x v="0"/>
    <x v="42"/>
    <s v="No"/>
    <s v="No"/>
    <x v="1"/>
    <s v="Software Development"/>
    <n v="2"/>
    <x v="7"/>
    <s v="Married"/>
    <x v="0"/>
    <s v="Family"/>
    <x v="0"/>
    <n v="2.61"/>
    <s v="No"/>
    <n v="3.7"/>
    <n v="144"/>
    <n v="77000"/>
    <x v="1"/>
    <x v="0"/>
    <n v="39.400000000000006"/>
  </r>
  <r>
    <x v="2"/>
    <x v="0"/>
    <n v="20"/>
    <n v="2020"/>
    <x v="0"/>
    <n v="11"/>
    <x v="1"/>
    <s v="No"/>
    <x v="2"/>
    <n v="1"/>
    <x v="1"/>
    <x v="0"/>
    <s v="Yes"/>
    <x v="1"/>
    <x v="0"/>
    <x v="35"/>
    <s v="Yes"/>
    <s v="No"/>
    <x v="1"/>
    <s v="Software Development"/>
    <n v="4"/>
    <x v="7"/>
    <s v="Single"/>
    <x v="0"/>
    <s v="Family"/>
    <x v="0"/>
    <n v="1.55"/>
    <s v="No"/>
    <n v="2.61"/>
    <n v="143"/>
    <n v="77000"/>
    <x v="0"/>
    <x v="0"/>
    <n v="39.6"/>
  </r>
  <r>
    <x v="1"/>
    <x v="0"/>
    <n v="19"/>
    <n v="2021"/>
    <x v="0"/>
    <n v="4"/>
    <x v="1"/>
    <s v="No"/>
    <x v="5"/>
    <n v="2"/>
    <x v="1"/>
    <x v="0"/>
    <s v="Yes"/>
    <x v="7"/>
    <x v="0"/>
    <x v="5"/>
    <s v="No"/>
    <s v="No"/>
    <x v="0"/>
    <s v="Machine Learning"/>
    <n v="2"/>
    <x v="0"/>
    <s v="Single"/>
    <x v="0"/>
    <s v="Family"/>
    <x v="0"/>
    <n v="2.23"/>
    <s v="No"/>
    <n v="3.67"/>
    <n v="45"/>
    <n v="77000"/>
    <x v="1"/>
    <x v="0"/>
    <n v="58"/>
  </r>
  <r>
    <x v="0"/>
    <x v="0"/>
    <n v="25"/>
    <n v="2017"/>
    <x v="0"/>
    <n v="12"/>
    <x v="1"/>
    <s v="No"/>
    <x v="1"/>
    <n v="3"/>
    <x v="1"/>
    <x v="0"/>
    <s v="Yes"/>
    <x v="1"/>
    <x v="2"/>
    <x v="23"/>
    <s v="Yes"/>
    <s v="No"/>
    <x v="0"/>
    <s v="Software Development"/>
    <n v="3"/>
    <x v="2"/>
    <s v="Relationship"/>
    <x v="0"/>
    <s v="Bachelor"/>
    <x v="0"/>
    <n v="2.4500000000000002"/>
    <s v="No"/>
    <n v="3.34"/>
    <n v="122"/>
    <n v="78000"/>
    <x v="0"/>
    <x v="0"/>
    <n v="36"/>
  </r>
  <r>
    <x v="2"/>
    <x v="1"/>
    <n v="22"/>
    <n v="2017"/>
    <x v="0"/>
    <n v="11"/>
    <x v="1"/>
    <s v="No"/>
    <x v="1"/>
    <n v="1"/>
    <x v="1"/>
    <x v="0"/>
    <s v="Yes"/>
    <x v="1"/>
    <x v="0"/>
    <x v="0"/>
    <s v="No"/>
    <s v="No"/>
    <x v="1"/>
    <s v="Networking"/>
    <n v="1"/>
    <x v="3"/>
    <s v="Married"/>
    <x v="1"/>
    <s v="Family"/>
    <x v="1"/>
    <n v="2.11"/>
    <s v="No"/>
    <n v="3.56"/>
    <n v="132"/>
    <n v="78000"/>
    <x v="1"/>
    <x v="0"/>
    <n v="42"/>
  </r>
  <r>
    <x v="2"/>
    <x v="0"/>
    <n v="24"/>
    <n v="2019"/>
    <x v="0"/>
    <n v="10"/>
    <x v="1"/>
    <s v="No"/>
    <x v="0"/>
    <n v="2"/>
    <x v="0"/>
    <x v="0"/>
    <s v="Yes"/>
    <x v="0"/>
    <x v="0"/>
    <x v="22"/>
    <s v="No"/>
    <s v="No"/>
    <x v="1"/>
    <s v="Artificial Intelligence"/>
    <n v="1"/>
    <x v="0"/>
    <s v="Single"/>
    <x v="1"/>
    <s v="Bachelor"/>
    <x v="0"/>
    <n v="1.59"/>
    <s v="No"/>
    <n v="2.62"/>
    <n v="132"/>
    <n v="78000"/>
    <x v="0"/>
    <x v="0"/>
    <n v="42.8"/>
  </r>
  <r>
    <x v="4"/>
    <x v="0"/>
    <n v="25"/>
    <n v="2019"/>
    <x v="0"/>
    <n v="11"/>
    <x v="1"/>
    <s v="No"/>
    <x v="3"/>
    <n v="1"/>
    <x v="0"/>
    <x v="0"/>
    <s v="Yes"/>
    <x v="1"/>
    <x v="2"/>
    <x v="5"/>
    <s v="Yes"/>
    <s v="No"/>
    <x v="1"/>
    <s v="Software Development"/>
    <n v="4"/>
    <x v="2"/>
    <s v="Relationship"/>
    <x v="0"/>
    <s v="Family"/>
    <x v="0"/>
    <n v="2.56"/>
    <s v="No"/>
    <n v="3.67"/>
    <n v="143"/>
    <n v="78000"/>
    <x v="1"/>
    <x v="0"/>
    <n v="67"/>
  </r>
  <r>
    <x v="1"/>
    <x v="0"/>
    <n v="20"/>
    <n v="2020"/>
    <x v="0"/>
    <n v="6"/>
    <x v="1"/>
    <s v="No"/>
    <x v="4"/>
    <n v="3"/>
    <x v="1"/>
    <x v="0"/>
    <s v="No"/>
    <x v="1"/>
    <x v="2"/>
    <x v="5"/>
    <s v="No"/>
    <s v="No"/>
    <x v="1"/>
    <s v="Networking"/>
    <n v="1"/>
    <x v="0"/>
    <s v="Single"/>
    <x v="0"/>
    <s v="Bachelor"/>
    <x v="0"/>
    <n v="2.76"/>
    <s v="No"/>
    <n v="3.77"/>
    <n v="97"/>
    <n v="78000"/>
    <x v="1"/>
    <x v="0"/>
    <n v="61"/>
  </r>
  <r>
    <x v="1"/>
    <x v="0"/>
    <n v="21"/>
    <n v="2020"/>
    <x v="0"/>
    <n v="9"/>
    <x v="1"/>
    <s v="No"/>
    <x v="2"/>
    <n v="3"/>
    <x v="0"/>
    <x v="0"/>
    <s v="Yes"/>
    <x v="1"/>
    <x v="0"/>
    <x v="5"/>
    <s v="No"/>
    <s v="No"/>
    <x v="0"/>
    <s v="Software Development"/>
    <n v="4"/>
    <x v="2"/>
    <s v="Single"/>
    <x v="0"/>
    <s v="Bachelor"/>
    <x v="0"/>
    <n v="2.76"/>
    <s v="No"/>
    <n v="3.8"/>
    <n v="124"/>
    <n v="78000"/>
    <x v="1"/>
    <x v="0"/>
    <n v="58"/>
  </r>
  <r>
    <x v="1"/>
    <x v="0"/>
    <n v="20"/>
    <n v="2020"/>
    <x v="0"/>
    <n v="8"/>
    <x v="1"/>
    <s v="No"/>
    <x v="0"/>
    <n v="3"/>
    <x v="0"/>
    <x v="0"/>
    <s v="No"/>
    <x v="2"/>
    <x v="0"/>
    <x v="5"/>
    <s v="No"/>
    <s v="No"/>
    <x v="1"/>
    <s v="Cyber security"/>
    <n v="4"/>
    <x v="0"/>
    <s v="Single"/>
    <x v="1"/>
    <s v="Bachelor"/>
    <x v="0"/>
    <n v="2.61"/>
    <s v="No"/>
    <n v="3.7"/>
    <n v="98"/>
    <n v="79000"/>
    <x v="1"/>
    <x v="0"/>
    <n v="61"/>
  </r>
  <r>
    <x v="2"/>
    <x v="1"/>
    <n v="20"/>
    <n v="2020"/>
    <x v="0"/>
    <n v="11"/>
    <x v="0"/>
    <s v="No"/>
    <x v="1"/>
    <n v="3"/>
    <x v="0"/>
    <x v="0"/>
    <s v="Yes"/>
    <x v="1"/>
    <x v="1"/>
    <x v="5"/>
    <s v="No"/>
    <s v="No"/>
    <x v="1"/>
    <s v="Software Development"/>
    <n v="4"/>
    <x v="7"/>
    <s v="Relationship"/>
    <x v="1"/>
    <s v="Family"/>
    <x v="0"/>
    <n v="2.75"/>
    <s v="No"/>
    <n v="3.86"/>
    <n v="143"/>
    <n v="79000"/>
    <x v="1"/>
    <x v="0"/>
    <n v="55"/>
  </r>
  <r>
    <x v="2"/>
    <x v="0"/>
    <n v="21"/>
    <n v="2019"/>
    <x v="0"/>
    <n v="10"/>
    <x v="0"/>
    <s v="No"/>
    <x v="2"/>
    <n v="3"/>
    <x v="0"/>
    <x v="0"/>
    <s v="Yes"/>
    <x v="1"/>
    <x v="1"/>
    <x v="0"/>
    <s v="No"/>
    <s v="Yes"/>
    <x v="1"/>
    <s v="Software Development"/>
    <n v="3"/>
    <x v="0"/>
    <s v="Relationship"/>
    <x v="0"/>
    <s v="Family"/>
    <x v="0"/>
    <n v="1.98"/>
    <s v="No"/>
    <n v="3.11"/>
    <n v="125"/>
    <n v="80000"/>
    <x v="0"/>
    <x v="0"/>
    <n v="51"/>
  </r>
  <r>
    <x v="2"/>
    <x v="0"/>
    <n v="20"/>
    <n v="2019"/>
    <x v="0"/>
    <n v="9"/>
    <x v="0"/>
    <s v="No"/>
    <x v="4"/>
    <n v="4"/>
    <x v="0"/>
    <x v="0"/>
    <s v="Yes"/>
    <x v="1"/>
    <x v="2"/>
    <x v="5"/>
    <s v="No"/>
    <s v="No"/>
    <x v="1"/>
    <s v="Software Development"/>
    <n v="3"/>
    <x v="7"/>
    <s v="Single"/>
    <x v="1"/>
    <s v="Family"/>
    <x v="0"/>
    <n v="2.77"/>
    <s v="No"/>
    <n v="3.87"/>
    <n v="125"/>
    <n v="80000"/>
    <x v="1"/>
    <x v="0"/>
    <n v="67"/>
  </r>
  <r>
    <x v="3"/>
    <x v="0"/>
    <n v="21"/>
    <n v="2021"/>
    <x v="0"/>
    <n v="5"/>
    <x v="1"/>
    <s v="No"/>
    <x v="2"/>
    <n v="2"/>
    <x v="0"/>
    <x v="0"/>
    <s v="Yes"/>
    <x v="0"/>
    <x v="0"/>
    <x v="28"/>
    <s v="No"/>
    <s v="No"/>
    <x v="0"/>
    <s v="Artificial Intelligence"/>
    <n v="2"/>
    <x v="6"/>
    <s v="Single"/>
    <x v="0"/>
    <s v="Family"/>
    <x v="0"/>
    <n v="1.79"/>
    <s v="No"/>
    <n v="2.82"/>
    <n v="71"/>
    <n v="80000"/>
    <x v="0"/>
    <x v="0"/>
    <n v="43.2"/>
  </r>
  <r>
    <x v="3"/>
    <x v="1"/>
    <n v="21"/>
    <n v="2021"/>
    <x v="0"/>
    <n v="6"/>
    <x v="1"/>
    <s v="No"/>
    <x v="0"/>
    <n v="2"/>
    <x v="1"/>
    <x v="0"/>
    <s v="Yes"/>
    <x v="2"/>
    <x v="0"/>
    <x v="5"/>
    <s v="Yes"/>
    <s v="No"/>
    <x v="1"/>
    <s v="Artificial Intelligence"/>
    <n v="2"/>
    <x v="2"/>
    <s v="Single"/>
    <x v="1"/>
    <s v="Bachelor"/>
    <x v="0"/>
    <n v="1.88"/>
    <s v="No"/>
    <n v="2.91"/>
    <n v="74"/>
    <n v="80000"/>
    <x v="0"/>
    <x v="0"/>
    <n v="55"/>
  </r>
  <r>
    <x v="2"/>
    <x v="0"/>
    <n v="21"/>
    <n v="2020"/>
    <x v="0"/>
    <n v="8"/>
    <x v="1"/>
    <s v="No"/>
    <x v="0"/>
    <n v="1"/>
    <x v="1"/>
    <x v="0"/>
    <s v="Yes"/>
    <x v="6"/>
    <x v="0"/>
    <x v="60"/>
    <s v="No"/>
    <s v="No"/>
    <x v="1"/>
    <s v="Machine Learning"/>
    <n v="1"/>
    <x v="2"/>
    <s v="Relationship"/>
    <x v="0"/>
    <s v="Bachelor"/>
    <x v="1"/>
    <n v="2.38"/>
    <s v="No"/>
    <n v="3.49"/>
    <n v="109"/>
    <n v="81000"/>
    <x v="0"/>
    <x v="0"/>
    <n v="40.400000000000006"/>
  </r>
  <r>
    <x v="1"/>
    <x v="0"/>
    <n v="20"/>
    <n v="2020"/>
    <x v="0"/>
    <n v="9"/>
    <x v="1"/>
    <s v="No"/>
    <x v="5"/>
    <n v="2"/>
    <x v="1"/>
    <x v="0"/>
    <s v="Yes"/>
    <x v="0"/>
    <x v="0"/>
    <x v="5"/>
    <s v="No"/>
    <s v="No"/>
    <x v="0"/>
    <s v="Software Development"/>
    <n v="1"/>
    <x v="2"/>
    <s v="Relationship"/>
    <x v="1"/>
    <s v="Bachelor"/>
    <x v="0"/>
    <n v="2.08"/>
    <s v="No"/>
    <n v="3.21"/>
    <n v="113"/>
    <n v="83000"/>
    <x v="0"/>
    <x v="0"/>
    <n v="55"/>
  </r>
  <r>
    <x v="3"/>
    <x v="1"/>
    <n v="21"/>
    <n v="2021"/>
    <x v="0"/>
    <n v="4"/>
    <x v="1"/>
    <s v="No"/>
    <x v="3"/>
    <n v="2"/>
    <x v="1"/>
    <x v="0"/>
    <s v="Yes"/>
    <x v="6"/>
    <x v="0"/>
    <x v="7"/>
    <s v="No"/>
    <s v="No"/>
    <x v="1"/>
    <s v="Software Development"/>
    <n v="1"/>
    <x v="6"/>
    <s v="Relationship"/>
    <x v="1"/>
    <s v="Family"/>
    <x v="0"/>
    <n v="1.89"/>
    <s v="No"/>
    <n v="3.4"/>
    <n v="56"/>
    <n v="86000"/>
    <x v="0"/>
    <x v="0"/>
    <n v="46"/>
  </r>
  <r>
    <x v="1"/>
    <x v="0"/>
    <n v="20"/>
    <n v="2019"/>
    <x v="0"/>
    <n v="6"/>
    <x v="1"/>
    <s v="No"/>
    <x v="2"/>
    <n v="1"/>
    <x v="1"/>
    <x v="0"/>
    <s v="Yes"/>
    <x v="0"/>
    <x v="2"/>
    <x v="61"/>
    <s v="Yes"/>
    <s v="Yes"/>
    <x v="0"/>
    <s v="Software Development"/>
    <n v="1"/>
    <x v="2"/>
    <s v="Married"/>
    <x v="0"/>
    <s v="Family"/>
    <x v="0"/>
    <n v="1.21"/>
    <s v="No"/>
    <n v="2.4700000000000002"/>
    <n v="139"/>
    <n v="87000"/>
    <x v="2"/>
    <x v="0"/>
    <n v="21.4"/>
  </r>
  <r>
    <x v="2"/>
    <x v="0"/>
    <n v="20"/>
    <n v="2019"/>
    <x v="0"/>
    <n v="8"/>
    <x v="1"/>
    <s v="No"/>
    <x v="0"/>
    <n v="2"/>
    <x v="0"/>
    <x v="0"/>
    <s v="Yes"/>
    <x v="5"/>
    <x v="0"/>
    <x v="23"/>
    <s v="No"/>
    <s v="No"/>
    <x v="0"/>
    <s v="Machine Learning"/>
    <n v="2"/>
    <x v="2"/>
    <s v="Single"/>
    <x v="0"/>
    <s v="Bachelor"/>
    <x v="0"/>
    <n v="1.81"/>
    <s v="No"/>
    <n v="2.86"/>
    <n v="117"/>
    <n v="87000"/>
    <x v="0"/>
    <x v="0"/>
    <n v="39"/>
  </r>
  <r>
    <x v="3"/>
    <x v="0"/>
    <n v="20"/>
    <n v="2021"/>
    <x v="0"/>
    <n v="8"/>
    <x v="1"/>
    <s v="No"/>
    <x v="3"/>
    <n v="3"/>
    <x v="0"/>
    <x v="0"/>
    <s v="Yes"/>
    <x v="7"/>
    <x v="2"/>
    <x v="5"/>
    <s v="No"/>
    <s v="No"/>
    <x v="0"/>
    <s v="Software Development"/>
    <n v="3"/>
    <x v="7"/>
    <s v="Single"/>
    <x v="0"/>
    <s v="Bachelor"/>
    <x v="1"/>
    <n v="2.4500000000000002"/>
    <s v="No"/>
    <n v="3.68"/>
    <n v="124"/>
    <n v="87000"/>
    <x v="1"/>
    <x v="0"/>
    <n v="64"/>
  </r>
  <r>
    <x v="0"/>
    <x v="0"/>
    <n v="25"/>
    <n v="2018"/>
    <x v="0"/>
    <n v="11"/>
    <x v="1"/>
    <s v="No"/>
    <x v="2"/>
    <n v="2"/>
    <x v="0"/>
    <x v="0"/>
    <s v="Yes"/>
    <x v="2"/>
    <x v="0"/>
    <x v="5"/>
    <s v="No"/>
    <s v="No"/>
    <x v="0"/>
    <s v="Software Development"/>
    <n v="2"/>
    <x v="2"/>
    <s v="Married"/>
    <x v="0"/>
    <s v="Family"/>
    <x v="0"/>
    <n v="1.56"/>
    <s v="No"/>
    <n v="2.66"/>
    <n v="143"/>
    <n v="88000"/>
    <x v="0"/>
    <x v="0"/>
    <n v="52"/>
  </r>
  <r>
    <x v="2"/>
    <x v="1"/>
    <n v="25"/>
    <n v="2019"/>
    <x v="0"/>
    <n v="11"/>
    <x v="1"/>
    <s v="No"/>
    <x v="0"/>
    <n v="1"/>
    <x v="0"/>
    <x v="0"/>
    <s v="Yes"/>
    <x v="1"/>
    <x v="2"/>
    <x v="5"/>
    <s v="Yes"/>
    <s v="No"/>
    <x v="1"/>
    <s v="Software Development"/>
    <n v="2"/>
    <x v="2"/>
    <s v="Single"/>
    <x v="0"/>
    <s v="Bachelor"/>
    <x v="0"/>
    <n v="1.6"/>
    <s v="No"/>
    <n v="2.68"/>
    <n v="143"/>
    <n v="88000"/>
    <x v="0"/>
    <x v="0"/>
    <n v="55"/>
  </r>
  <r>
    <x v="2"/>
    <x v="1"/>
    <n v="20"/>
    <n v="2020"/>
    <x v="0"/>
    <n v="11"/>
    <x v="1"/>
    <s v="No"/>
    <x v="2"/>
    <n v="2"/>
    <x v="1"/>
    <x v="0"/>
    <s v="Yes"/>
    <x v="1"/>
    <x v="2"/>
    <x v="41"/>
    <s v="Yes"/>
    <s v="No"/>
    <x v="1"/>
    <s v="Software Development"/>
    <n v="2"/>
    <x v="7"/>
    <s v="Relationship"/>
    <x v="1"/>
    <s v="Bachelor"/>
    <x v="0"/>
    <n v="1.81"/>
    <s v="No"/>
    <n v="2.89"/>
    <n v="144"/>
    <n v="88000"/>
    <x v="0"/>
    <x v="0"/>
    <n v="34.400000000000006"/>
  </r>
  <r>
    <x v="1"/>
    <x v="1"/>
    <n v="20"/>
    <n v="2021"/>
    <x v="0"/>
    <n v="7"/>
    <x v="1"/>
    <s v="No"/>
    <x v="0"/>
    <n v="3"/>
    <x v="0"/>
    <x v="0"/>
    <s v="Yes"/>
    <x v="2"/>
    <x v="0"/>
    <x v="5"/>
    <s v="Yes"/>
    <s v="No"/>
    <x v="0"/>
    <s v="Artificial Intelligence"/>
    <n v="5"/>
    <x v="2"/>
    <s v="Married"/>
    <x v="1"/>
    <s v="Family"/>
    <x v="0"/>
    <n v="1.76"/>
    <s v="No"/>
    <n v="2.81"/>
    <n v="96"/>
    <n v="88000"/>
    <x v="0"/>
    <x v="0"/>
    <n v="64"/>
  </r>
  <r>
    <x v="2"/>
    <x v="1"/>
    <n v="21"/>
    <n v="2020"/>
    <x v="0"/>
    <n v="10"/>
    <x v="1"/>
    <s v="No"/>
    <x v="2"/>
    <n v="1"/>
    <x v="0"/>
    <x v="0"/>
    <s v="Yes"/>
    <x v="2"/>
    <x v="1"/>
    <x v="31"/>
    <s v="Yes"/>
    <s v="No"/>
    <x v="0"/>
    <s v="Artificial Intelligence"/>
    <n v="4"/>
    <x v="0"/>
    <s v="Single"/>
    <x v="1"/>
    <s v="Bachelor"/>
    <x v="0"/>
    <n v="1.57"/>
    <s v="No"/>
    <n v="2.65"/>
    <n v="135"/>
    <n v="89000"/>
    <x v="0"/>
    <x v="0"/>
    <n v="52.4"/>
  </r>
  <r>
    <x v="2"/>
    <x v="0"/>
    <n v="24"/>
    <n v="2019"/>
    <x v="0"/>
    <n v="10"/>
    <x v="1"/>
    <s v="No"/>
    <x v="0"/>
    <n v="2"/>
    <x v="0"/>
    <x v="0"/>
    <s v="Yes"/>
    <x v="0"/>
    <x v="2"/>
    <x v="5"/>
    <s v="No"/>
    <s v="No"/>
    <x v="1"/>
    <s v="Networking"/>
    <n v="2"/>
    <x v="6"/>
    <s v="Single"/>
    <x v="0"/>
    <s v="Bachelor"/>
    <x v="0"/>
    <n v="2.0499999999999998"/>
    <s v="No"/>
    <n v="3.45"/>
    <n v="85"/>
    <n v="90000"/>
    <x v="0"/>
    <x v="0"/>
    <n v="55"/>
  </r>
  <r>
    <x v="1"/>
    <x v="0"/>
    <n v="20"/>
    <n v="2020"/>
    <x v="0"/>
    <n v="9"/>
    <x v="1"/>
    <s v="No"/>
    <x v="0"/>
    <n v="2"/>
    <x v="0"/>
    <x v="0"/>
    <s v="Yes"/>
    <x v="3"/>
    <x v="2"/>
    <x v="50"/>
    <s v="Yes"/>
    <s v="No"/>
    <x v="1"/>
    <s v="Software Development"/>
    <n v="2"/>
    <x v="7"/>
    <s v="Single"/>
    <x v="1"/>
    <s v="Family"/>
    <x v="0"/>
    <n v="2.38"/>
    <s v="No"/>
    <n v="3.47"/>
    <n v="130"/>
    <n v="90000"/>
    <x v="0"/>
    <x v="0"/>
    <n v="41.8"/>
  </r>
  <r>
    <x v="1"/>
    <x v="1"/>
    <n v="20"/>
    <n v="2020"/>
    <x v="0"/>
    <n v="8"/>
    <x v="1"/>
    <s v="No"/>
    <x v="2"/>
    <n v="2"/>
    <x v="0"/>
    <x v="0"/>
    <s v="No"/>
    <x v="2"/>
    <x v="2"/>
    <x v="5"/>
    <s v="Yes"/>
    <s v="No"/>
    <x v="1"/>
    <s v="Software Development"/>
    <n v="1"/>
    <x v="7"/>
    <s v="Relationship"/>
    <x v="0"/>
    <s v="Family"/>
    <x v="0"/>
    <n v="2.67"/>
    <s v="No"/>
    <n v="3.73"/>
    <n v="93"/>
    <n v="90000"/>
    <x v="1"/>
    <x v="0"/>
    <n v="49"/>
  </r>
  <r>
    <x v="3"/>
    <x v="0"/>
    <n v="22"/>
    <n v="2021"/>
    <x v="0"/>
    <n v="6"/>
    <x v="1"/>
    <s v="No"/>
    <x v="0"/>
    <n v="1"/>
    <x v="0"/>
    <x v="0"/>
    <s v="Yes"/>
    <x v="2"/>
    <x v="0"/>
    <x v="5"/>
    <s v="No"/>
    <s v="No"/>
    <x v="0"/>
    <s v="Software Development"/>
    <n v="2"/>
    <x v="2"/>
    <s v="Single"/>
    <x v="1"/>
    <s v="Bachelor"/>
    <x v="0"/>
    <n v="1.56"/>
    <s v="No"/>
    <n v="2.67"/>
    <n v="71"/>
    <n v="90000"/>
    <x v="0"/>
    <x v="0"/>
    <n v="55"/>
  </r>
  <r>
    <x v="1"/>
    <x v="0"/>
    <n v="20"/>
    <n v="2020"/>
    <x v="0"/>
    <n v="9"/>
    <x v="1"/>
    <s v="No"/>
    <x v="2"/>
    <n v="2"/>
    <x v="0"/>
    <x v="0"/>
    <s v="Yes"/>
    <x v="1"/>
    <x v="2"/>
    <x v="5"/>
    <s v="Yes"/>
    <s v="No"/>
    <x v="0"/>
    <s v="Networking"/>
    <n v="1"/>
    <x v="6"/>
    <s v="Relationship"/>
    <x v="0"/>
    <s v="Family"/>
    <x v="0"/>
    <n v="1.91"/>
    <s v="No"/>
    <n v="2.96"/>
    <n v="109"/>
    <n v="94000"/>
    <x v="0"/>
    <x v="0"/>
    <n v="49"/>
  </r>
  <r>
    <x v="2"/>
    <x v="0"/>
    <n v="24"/>
    <n v="2017"/>
    <x v="0"/>
    <n v="9"/>
    <x v="1"/>
    <s v="No"/>
    <x v="0"/>
    <n v="2"/>
    <x v="1"/>
    <x v="0"/>
    <s v="Yes"/>
    <x v="2"/>
    <x v="0"/>
    <x v="7"/>
    <s v="Yes"/>
    <s v="No"/>
    <x v="1"/>
    <s v="Networking"/>
    <n v="2"/>
    <x v="7"/>
    <s v="Relationship"/>
    <x v="0"/>
    <s v="Family"/>
    <x v="1"/>
    <n v="1.89"/>
    <s v="No"/>
    <n v="3.18"/>
    <n v="113"/>
    <n v="95000"/>
    <x v="0"/>
    <x v="0"/>
    <n v="43"/>
  </r>
  <r>
    <x v="1"/>
    <x v="1"/>
    <n v="20"/>
    <n v="2019"/>
    <x v="0"/>
    <n v="7"/>
    <x v="1"/>
    <s v="No"/>
    <x v="5"/>
    <n v="2"/>
    <x v="0"/>
    <x v="0"/>
    <s v="Yes"/>
    <x v="5"/>
    <x v="2"/>
    <x v="5"/>
    <s v="No"/>
    <s v="No"/>
    <x v="1"/>
    <s v="Software Development"/>
    <n v="1"/>
    <x v="7"/>
    <s v="Single"/>
    <x v="1"/>
    <s v="Family"/>
    <x v="0"/>
    <n v="2.76"/>
    <s v="No"/>
    <n v="3.88"/>
    <n v="109"/>
    <n v="95000"/>
    <x v="1"/>
    <x v="0"/>
    <n v="55"/>
  </r>
  <r>
    <x v="2"/>
    <x v="1"/>
    <n v="23"/>
    <n v="2019"/>
    <x v="0"/>
    <n v="11"/>
    <x v="1"/>
    <s v="No"/>
    <x v="0"/>
    <n v="1"/>
    <x v="0"/>
    <x v="0"/>
    <s v="Yes"/>
    <x v="1"/>
    <x v="0"/>
    <x v="5"/>
    <s v="Yes"/>
    <s v="No"/>
    <x v="1"/>
    <s v="Software Development"/>
    <n v="2"/>
    <x v="2"/>
    <s v="Relationship"/>
    <x v="0"/>
    <s v="Bachelor"/>
    <x v="0"/>
    <n v="2.76"/>
    <s v="No"/>
    <n v="3.84"/>
    <n v="144"/>
    <n v="96000"/>
    <x v="1"/>
    <x v="0"/>
    <n v="55"/>
  </r>
  <r>
    <x v="3"/>
    <x v="0"/>
    <n v="20"/>
    <n v="2021"/>
    <x v="0"/>
    <n v="6"/>
    <x v="0"/>
    <s v="No"/>
    <x v="3"/>
    <n v="3"/>
    <x v="0"/>
    <x v="0"/>
    <s v="Yes"/>
    <x v="2"/>
    <x v="2"/>
    <x v="42"/>
    <s v="Yes"/>
    <s v="No"/>
    <x v="1"/>
    <s v="Software Development"/>
    <n v="1"/>
    <x v="7"/>
    <s v="Relationship"/>
    <x v="0"/>
    <s v="Bachelor"/>
    <x v="0"/>
    <n v="2.7"/>
    <s v="No"/>
    <n v="3.87"/>
    <n v="78"/>
    <n v="97000"/>
    <x v="1"/>
    <x v="0"/>
    <n v="48.400000000000006"/>
  </r>
  <r>
    <x v="4"/>
    <x v="0"/>
    <n v="22"/>
    <n v="2019"/>
    <x v="0"/>
    <n v="11"/>
    <x v="1"/>
    <s v="Yes"/>
    <x v="2"/>
    <n v="1"/>
    <x v="0"/>
    <x v="0"/>
    <s v="Yes"/>
    <x v="1"/>
    <x v="0"/>
    <x v="5"/>
    <s v="No"/>
    <s v="No"/>
    <x v="1"/>
    <s v="Software Development"/>
    <n v="2"/>
    <x v="7"/>
    <s v="Single"/>
    <x v="1"/>
    <s v="Family"/>
    <x v="0"/>
    <n v="2.56"/>
    <s v="No"/>
    <n v="3.64"/>
    <n v="143"/>
    <n v="98000"/>
    <x v="1"/>
    <x v="0"/>
    <n v="52"/>
  </r>
  <r>
    <x v="3"/>
    <x v="0"/>
    <n v="20"/>
    <n v="2020"/>
    <x v="0"/>
    <n v="5"/>
    <x v="1"/>
    <s v="No"/>
    <x v="1"/>
    <n v="1"/>
    <x v="1"/>
    <x v="0"/>
    <s v="Yes"/>
    <x v="2"/>
    <x v="0"/>
    <x v="28"/>
    <s v="Yes"/>
    <s v="No"/>
    <x v="0"/>
    <s v="Networking"/>
    <n v="1"/>
    <x v="6"/>
    <s v="Relationship"/>
    <x v="1"/>
    <s v="Family"/>
    <x v="0"/>
    <n v="1.81"/>
    <s v="No"/>
    <n v="2.84"/>
    <n v="71"/>
    <n v="98000"/>
    <x v="0"/>
    <x v="0"/>
    <n v="37.200000000000003"/>
  </r>
  <r>
    <x v="2"/>
    <x v="0"/>
    <n v="24"/>
    <n v="2018"/>
    <x v="0"/>
    <n v="8"/>
    <x v="1"/>
    <s v="No"/>
    <x v="2"/>
    <n v="2"/>
    <x v="0"/>
    <x v="0"/>
    <s v="Yes"/>
    <x v="7"/>
    <x v="1"/>
    <x v="8"/>
    <s v="No"/>
    <s v="No"/>
    <x v="1"/>
    <s v="Networking"/>
    <n v="3"/>
    <x v="6"/>
    <s v="Single"/>
    <x v="1"/>
    <s v="Family"/>
    <x v="1"/>
    <n v="2.5299999999999998"/>
    <s v="No"/>
    <n v="3.36"/>
    <n v="76"/>
    <n v="100000"/>
    <x v="0"/>
    <x v="0"/>
    <n v="54.2"/>
  </r>
  <r>
    <x v="4"/>
    <x v="1"/>
    <n v="23"/>
    <n v="2019"/>
    <x v="0"/>
    <n v="5"/>
    <x v="1"/>
    <s v="No"/>
    <x v="2"/>
    <n v="1"/>
    <x v="0"/>
    <x v="0"/>
    <s v="Yes"/>
    <x v="6"/>
    <x v="1"/>
    <x v="0"/>
    <s v="Yes"/>
    <s v="No"/>
    <x v="0"/>
    <s v="Networking"/>
    <n v="2"/>
    <x v="6"/>
    <s v="Single"/>
    <x v="0"/>
    <s v="Bachelor"/>
    <x v="0"/>
    <n v="2.54"/>
    <s v="No"/>
    <n v="3.57"/>
    <n v="84"/>
    <n v="100000"/>
    <x v="1"/>
    <x v="0"/>
    <n v="48"/>
  </r>
  <r>
    <x v="4"/>
    <x v="1"/>
    <n v="22"/>
    <n v="2019"/>
    <x v="0"/>
    <n v="6"/>
    <x v="1"/>
    <s v="No"/>
    <x v="5"/>
    <n v="2"/>
    <x v="0"/>
    <x v="0"/>
    <s v="Yes"/>
    <x v="4"/>
    <x v="0"/>
    <x v="2"/>
    <s v="No"/>
    <s v="No"/>
    <x v="0"/>
    <s v="Software Development"/>
    <n v="1"/>
    <x v="2"/>
    <s v="Single"/>
    <x v="0"/>
    <s v="Family"/>
    <x v="0"/>
    <n v="2.4500000000000002"/>
    <s v="No"/>
    <n v="3.5"/>
    <n v="16"/>
    <n v="100000"/>
    <x v="1"/>
    <x v="0"/>
    <n v="47"/>
  </r>
  <r>
    <x v="2"/>
    <x v="1"/>
    <n v="21"/>
    <n v="2020"/>
    <x v="0"/>
    <n v="8"/>
    <x v="0"/>
    <s v="Yes"/>
    <x v="6"/>
    <n v="3"/>
    <x v="0"/>
    <x v="0"/>
    <s v="Yes"/>
    <x v="2"/>
    <x v="2"/>
    <x v="5"/>
    <s v="No"/>
    <s v="No"/>
    <x v="1"/>
    <s v="Networking"/>
    <n v="4"/>
    <x v="7"/>
    <s v="Single"/>
    <x v="1"/>
    <s v="Family"/>
    <x v="0"/>
    <n v="2.91"/>
    <s v="No"/>
    <n v="4"/>
    <n v="97"/>
    <n v="100000"/>
    <x v="1"/>
    <x v="0"/>
    <n v="76"/>
  </r>
  <r>
    <x v="3"/>
    <x v="0"/>
    <n v="20"/>
    <n v="2021"/>
    <x v="0"/>
    <n v="6"/>
    <x v="1"/>
    <s v="No"/>
    <x v="1"/>
    <n v="2"/>
    <x v="0"/>
    <x v="0"/>
    <s v="Yes"/>
    <x v="2"/>
    <x v="0"/>
    <x v="35"/>
    <s v="No"/>
    <s v="No"/>
    <x v="0"/>
    <s v="Networking"/>
    <n v="4"/>
    <x v="6"/>
    <s v="Married"/>
    <x v="0"/>
    <s v="Family"/>
    <x v="0"/>
    <n v="2.67"/>
    <s v="No"/>
    <n v="3.77"/>
    <n v="78"/>
    <n v="100000"/>
    <x v="1"/>
    <x v="0"/>
    <n v="36.6"/>
  </r>
  <r>
    <x v="4"/>
    <x v="1"/>
    <n v="22"/>
    <n v="2018"/>
    <x v="0"/>
    <n v="11"/>
    <x v="1"/>
    <s v="No"/>
    <x v="3"/>
    <n v="3"/>
    <x v="0"/>
    <x v="0"/>
    <s v="Yes"/>
    <x v="7"/>
    <x v="0"/>
    <x v="22"/>
    <s v="No"/>
    <s v="No"/>
    <x v="0"/>
    <s v="Machine Learning"/>
    <n v="2"/>
    <x v="2"/>
    <s v="Single"/>
    <x v="1"/>
    <s v="Bachelor"/>
    <x v="0"/>
    <n v="2.33"/>
    <s v="No"/>
    <n v="3.88"/>
    <n v="144"/>
    <n v="110000"/>
    <x v="1"/>
    <x v="0"/>
    <n v="51.8"/>
  </r>
  <r>
    <x v="1"/>
    <x v="0"/>
    <n v="24"/>
    <n v="2019"/>
    <x v="0"/>
    <n v="10"/>
    <x v="1"/>
    <s v="No"/>
    <x v="1"/>
    <n v="2"/>
    <x v="1"/>
    <x v="0"/>
    <s v="Yes"/>
    <x v="1"/>
    <x v="1"/>
    <x v="5"/>
    <s v="Yes"/>
    <s v="No"/>
    <x v="1"/>
    <s v="Networking"/>
    <n v="4"/>
    <x v="6"/>
    <s v="Married"/>
    <x v="0"/>
    <s v="Family"/>
    <x v="0"/>
    <n v="2.87"/>
    <s v="No"/>
    <n v="3.91"/>
    <n v="140"/>
    <n v="110000"/>
    <x v="1"/>
    <x v="0"/>
    <n v="55"/>
  </r>
  <r>
    <x v="2"/>
    <x v="1"/>
    <n v="20"/>
    <n v="2020"/>
    <x v="0"/>
    <n v="10"/>
    <x v="1"/>
    <s v="No"/>
    <x v="0"/>
    <n v="2"/>
    <x v="1"/>
    <x v="0"/>
    <s v="No"/>
    <x v="15"/>
    <x v="2"/>
    <x v="5"/>
    <s v="No"/>
    <s v="No"/>
    <x v="1"/>
    <s v="Artificial Intelligence"/>
    <n v="4"/>
    <x v="6"/>
    <s v="Relationship"/>
    <x v="0"/>
    <s v="Bachelor"/>
    <x v="0"/>
    <n v="2.09"/>
    <s v="No"/>
    <n v="3.23"/>
    <n v="119"/>
    <n v="110000"/>
    <x v="0"/>
    <x v="0"/>
    <n v="61"/>
  </r>
  <r>
    <x v="2"/>
    <x v="1"/>
    <n v="25"/>
    <n v="2018"/>
    <x v="0"/>
    <n v="9"/>
    <x v="1"/>
    <s v="No"/>
    <x v="2"/>
    <n v="3"/>
    <x v="1"/>
    <x v="0"/>
    <s v="Yes"/>
    <x v="1"/>
    <x v="0"/>
    <x v="22"/>
    <s v="Yes"/>
    <s v="No"/>
    <x v="0"/>
    <s v="Networking"/>
    <n v="2"/>
    <x v="6"/>
    <s v="Married"/>
    <x v="0"/>
    <s v="Family"/>
    <x v="0"/>
    <n v="1.67"/>
    <s v="No"/>
    <n v="2.73"/>
    <n v="124"/>
    <n v="112000"/>
    <x v="0"/>
    <x v="0"/>
    <n v="42.8"/>
  </r>
  <r>
    <x v="3"/>
    <x v="1"/>
    <n v="20"/>
    <n v="2021"/>
    <x v="0"/>
    <n v="5"/>
    <x v="1"/>
    <s v="No"/>
    <x v="1"/>
    <n v="1"/>
    <x v="1"/>
    <x v="0"/>
    <s v="Yes"/>
    <x v="9"/>
    <x v="0"/>
    <x v="37"/>
    <s v="Yes"/>
    <s v="No"/>
    <x v="1"/>
    <s v="Cyber security"/>
    <n v="1"/>
    <x v="0"/>
    <s v="Relationship"/>
    <x v="0"/>
    <s v="Family"/>
    <x v="0"/>
    <n v="1.1499999999999999"/>
    <s v="No"/>
    <n v="2.39"/>
    <n v="75"/>
    <n v="112000"/>
    <x v="2"/>
    <x v="0"/>
    <n v="24"/>
  </r>
  <r>
    <x v="3"/>
    <x v="1"/>
    <n v="21"/>
    <n v="2021"/>
    <x v="0"/>
    <n v="5"/>
    <x v="1"/>
    <s v="No"/>
    <x v="2"/>
    <n v="2"/>
    <x v="0"/>
    <x v="0"/>
    <s v="Yes"/>
    <x v="1"/>
    <x v="2"/>
    <x v="5"/>
    <s v="Yes"/>
    <s v="No"/>
    <x v="0"/>
    <s v="Software Development"/>
    <n v="4"/>
    <x v="2"/>
    <s v="Married"/>
    <x v="1"/>
    <s v="Family"/>
    <x v="0"/>
    <n v="2.56"/>
    <s v="No"/>
    <n v="3.64"/>
    <n v="68"/>
    <n v="113000"/>
    <x v="1"/>
    <x v="0"/>
    <n v="58"/>
  </r>
  <r>
    <x v="1"/>
    <x v="0"/>
    <n v="20"/>
    <n v="2020"/>
    <x v="0"/>
    <n v="7"/>
    <x v="1"/>
    <s v="No"/>
    <x v="0"/>
    <n v="2"/>
    <x v="0"/>
    <x v="0"/>
    <s v="No"/>
    <x v="1"/>
    <x v="1"/>
    <x v="5"/>
    <s v="No"/>
    <s v="No"/>
    <x v="1"/>
    <s v="Software Development"/>
    <n v="3"/>
    <x v="2"/>
    <s v="Single"/>
    <x v="1"/>
    <s v="Bachelor"/>
    <x v="0"/>
    <n v="1.99"/>
    <s v="No"/>
    <n v="2.94"/>
    <n v="88"/>
    <n v="120000"/>
    <x v="0"/>
    <x v="0"/>
    <n v="58"/>
  </r>
  <r>
    <x v="11"/>
    <x v="1"/>
    <n v="19"/>
    <n v="2021"/>
    <x v="0"/>
    <n v="2"/>
    <x v="0"/>
    <s v="No"/>
    <x v="4"/>
    <n v="4"/>
    <x v="0"/>
    <x v="0"/>
    <s v="Yes"/>
    <x v="4"/>
    <x v="0"/>
    <x v="5"/>
    <s v="No"/>
    <s v="Yes"/>
    <x v="1"/>
    <s v="Cyber security"/>
    <n v="3"/>
    <x v="0"/>
    <s v="Single"/>
    <x v="0"/>
    <s v="Bachelor"/>
    <x v="0"/>
    <n v="2.78"/>
    <s v="No"/>
    <n v="3.8"/>
    <n v="29"/>
    <n v="120000"/>
    <x v="1"/>
    <x v="0"/>
    <n v="67"/>
  </r>
  <r>
    <x v="2"/>
    <x v="0"/>
    <n v="20"/>
    <n v="2019"/>
    <x v="0"/>
    <n v="10"/>
    <x v="1"/>
    <s v="No"/>
    <x v="0"/>
    <n v="2"/>
    <x v="0"/>
    <x v="0"/>
    <s v="Yes"/>
    <x v="6"/>
    <x v="0"/>
    <x v="5"/>
    <s v="No"/>
    <s v="No"/>
    <x v="1"/>
    <s v="Cyber security"/>
    <n v="1"/>
    <x v="6"/>
    <s v="Relationship"/>
    <x v="0"/>
    <s v="Bachelor"/>
    <x v="0"/>
    <n v="2.21"/>
    <s v="No"/>
    <n v="3.3"/>
    <n v="137"/>
    <n v="122000"/>
    <x v="0"/>
    <x v="0"/>
    <n v="52"/>
  </r>
  <r>
    <x v="2"/>
    <x v="0"/>
    <n v="20"/>
    <n v="2020"/>
    <x v="0"/>
    <n v="11"/>
    <x v="1"/>
    <s v="No"/>
    <x v="0"/>
    <n v="3"/>
    <x v="0"/>
    <x v="0"/>
    <s v="Yes"/>
    <x v="1"/>
    <x v="2"/>
    <x v="5"/>
    <s v="No"/>
    <s v="No"/>
    <x v="1"/>
    <s v="Artificial Intelligence"/>
    <n v="1"/>
    <x v="0"/>
    <s v="Relationship"/>
    <x v="1"/>
    <s v="Bachelor"/>
    <x v="0"/>
    <n v="1.46"/>
    <s v="No"/>
    <n v="2.5099999999999998"/>
    <n v="143"/>
    <n v="122000"/>
    <x v="0"/>
    <x v="0"/>
    <n v="52"/>
  </r>
  <r>
    <x v="2"/>
    <x v="0"/>
    <n v="20"/>
    <n v="2020"/>
    <x v="0"/>
    <n v="10"/>
    <x v="0"/>
    <s v="No"/>
    <x v="2"/>
    <n v="2"/>
    <x v="0"/>
    <x v="0"/>
    <s v="Yes"/>
    <x v="2"/>
    <x v="0"/>
    <x v="62"/>
    <s v="Yes"/>
    <s v="No"/>
    <x v="1"/>
    <s v="Networking"/>
    <n v="4"/>
    <x v="6"/>
    <s v="Single"/>
    <x v="1"/>
    <s v="Bachelor"/>
    <x v="1"/>
    <n v="2.67"/>
    <s v="No"/>
    <n v="3.78"/>
    <n v="136"/>
    <n v="127000"/>
    <x v="1"/>
    <x v="0"/>
    <n v="43.6"/>
  </r>
  <r>
    <x v="2"/>
    <x v="0"/>
    <n v="21"/>
    <n v="2018"/>
    <x v="0"/>
    <n v="9"/>
    <x v="1"/>
    <s v="No"/>
    <x v="3"/>
    <n v="3"/>
    <x v="1"/>
    <x v="0"/>
    <s v="No"/>
    <x v="6"/>
    <x v="0"/>
    <x v="5"/>
    <s v="No"/>
    <s v="No"/>
    <x v="0"/>
    <s v="Networking"/>
    <n v="2"/>
    <x v="6"/>
    <s v="Single"/>
    <x v="1"/>
    <s v="Bachelor"/>
    <x v="0"/>
    <n v="2.3199999999999998"/>
    <s v="No"/>
    <n v="3.78"/>
    <n v="123"/>
    <n v="130000"/>
    <x v="1"/>
    <x v="0"/>
    <n v="61"/>
  </r>
  <r>
    <x v="3"/>
    <x v="1"/>
    <n v="21"/>
    <n v="2020"/>
    <x v="0"/>
    <n v="4"/>
    <x v="1"/>
    <s v="No"/>
    <x v="5"/>
    <n v="2"/>
    <x v="0"/>
    <x v="0"/>
    <s v="Yes"/>
    <x v="6"/>
    <x v="0"/>
    <x v="45"/>
    <s v="No"/>
    <s v="No"/>
    <x v="1"/>
    <s v="Artificial Intelligence"/>
    <n v="3"/>
    <x v="6"/>
    <s v="Married"/>
    <x v="0"/>
    <s v="Family"/>
    <x v="0"/>
    <n v="2.2200000000000002"/>
    <s v="No"/>
    <n v="3.41"/>
    <n v="59"/>
    <n v="133000"/>
    <x v="0"/>
    <x v="0"/>
    <n v="52.6"/>
  </r>
  <r>
    <x v="3"/>
    <x v="1"/>
    <n v="20"/>
    <n v="2020"/>
    <x v="0"/>
    <n v="3"/>
    <x v="1"/>
    <s v="No"/>
    <x v="5"/>
    <n v="2"/>
    <x v="0"/>
    <x v="0"/>
    <s v="Yes"/>
    <x v="6"/>
    <x v="0"/>
    <x v="2"/>
    <s v="No"/>
    <s v="No"/>
    <x v="0"/>
    <s v="Software Development"/>
    <n v="1"/>
    <x v="7"/>
    <s v="Single"/>
    <x v="1"/>
    <s v="Bachelor"/>
    <x v="0"/>
    <n v="1.88"/>
    <s v="No"/>
    <n v="2.97"/>
    <n v="29"/>
    <n v="140000"/>
    <x v="0"/>
    <x v="0"/>
    <n v="47"/>
  </r>
  <r>
    <x v="2"/>
    <x v="0"/>
    <n v="20"/>
    <n v="2020"/>
    <x v="0"/>
    <n v="10"/>
    <x v="1"/>
    <s v="No"/>
    <x v="2"/>
    <n v="1"/>
    <x v="1"/>
    <x v="0"/>
    <s v="Yes"/>
    <x v="1"/>
    <x v="1"/>
    <x v="15"/>
    <s v="Yes"/>
    <s v="No"/>
    <x v="1"/>
    <s v="Networking"/>
    <n v="2"/>
    <x v="6"/>
    <s v="Married"/>
    <x v="1"/>
    <s v="Bachelor"/>
    <x v="0"/>
    <n v="1.45"/>
    <s v="No"/>
    <n v="2.52"/>
    <n v="135"/>
    <n v="140000"/>
    <x v="0"/>
    <x v="0"/>
    <n v="41.2"/>
  </r>
  <r>
    <x v="2"/>
    <x v="0"/>
    <n v="25"/>
    <n v="2018"/>
    <x v="0"/>
    <n v="9"/>
    <x v="1"/>
    <s v="No"/>
    <x v="0"/>
    <n v="1"/>
    <x v="0"/>
    <x v="0"/>
    <s v="Yes"/>
    <x v="2"/>
    <x v="2"/>
    <x v="17"/>
    <s v="Yes"/>
    <s v="No"/>
    <x v="1"/>
    <s v="Networking"/>
    <n v="4"/>
    <x v="6"/>
    <s v="Single"/>
    <x v="0"/>
    <s v="Family"/>
    <x v="0"/>
    <n v="1.54"/>
    <s v="No"/>
    <n v="2.62"/>
    <n v="121"/>
    <n v="144000"/>
    <x v="0"/>
    <x v="0"/>
    <n v="55.800000000000004"/>
  </r>
  <r>
    <x v="1"/>
    <x v="0"/>
    <n v="20"/>
    <n v="2020"/>
    <x v="0"/>
    <n v="8"/>
    <x v="1"/>
    <s v="No"/>
    <x v="0"/>
    <n v="3"/>
    <x v="0"/>
    <x v="0"/>
    <s v="Yes"/>
    <x v="1"/>
    <x v="0"/>
    <x v="5"/>
    <s v="No"/>
    <s v="No"/>
    <x v="0"/>
    <s v="Networking"/>
    <n v="1"/>
    <x v="6"/>
    <s v="Single"/>
    <x v="0"/>
    <s v="Family"/>
    <x v="0"/>
    <n v="2.78"/>
    <s v="No"/>
    <n v="3.86"/>
    <n v="89"/>
    <n v="145000"/>
    <x v="1"/>
    <x v="0"/>
    <n v="52"/>
  </r>
  <r>
    <x v="4"/>
    <x v="0"/>
    <n v="21"/>
    <n v="2018"/>
    <x v="0"/>
    <n v="11"/>
    <x v="1"/>
    <s v="No"/>
    <x v="2"/>
    <n v="2"/>
    <x v="0"/>
    <x v="0"/>
    <s v="Yes"/>
    <x v="1"/>
    <x v="0"/>
    <x v="2"/>
    <s v="No"/>
    <s v="No"/>
    <x v="1"/>
    <s v="Software Development"/>
    <n v="4"/>
    <x v="7"/>
    <s v="Single"/>
    <x v="1"/>
    <s v="Bachelor"/>
    <x v="0"/>
    <n v="2.1"/>
    <s v="No"/>
    <n v="3.41"/>
    <n v="139"/>
    <n v="150000"/>
    <x v="0"/>
    <x v="0"/>
    <n v="50"/>
  </r>
  <r>
    <x v="2"/>
    <x v="0"/>
    <n v="24"/>
    <n v="2019"/>
    <x v="0"/>
    <n v="11"/>
    <x v="1"/>
    <s v="No"/>
    <x v="3"/>
    <n v="3"/>
    <x v="0"/>
    <x v="0"/>
    <s v="No"/>
    <x v="2"/>
    <x v="2"/>
    <x v="5"/>
    <s v="Yes"/>
    <s v="No"/>
    <x v="0"/>
    <s v="Networking"/>
    <n v="1"/>
    <x v="6"/>
    <s v="Single"/>
    <x v="1"/>
    <s v="Family"/>
    <x v="0"/>
    <n v="2.57"/>
    <s v="No"/>
    <n v="3.63"/>
    <n v="144"/>
    <n v="150000"/>
    <x v="1"/>
    <x v="0"/>
    <n v="58"/>
  </r>
  <r>
    <x v="3"/>
    <x v="1"/>
    <n v="19"/>
    <n v="2021"/>
    <x v="0"/>
    <n v="4"/>
    <x v="1"/>
    <s v="No"/>
    <x v="2"/>
    <n v="2"/>
    <x v="0"/>
    <x v="0"/>
    <s v="Yes"/>
    <x v="4"/>
    <x v="0"/>
    <x v="5"/>
    <s v="No"/>
    <s v="No"/>
    <x v="1"/>
    <s v="Artificial Intelligence"/>
    <n v="1"/>
    <x v="2"/>
    <s v="Relationship"/>
    <x v="0"/>
    <s v="Family"/>
    <x v="0"/>
    <n v="2.44"/>
    <s v="No"/>
    <n v="3.59"/>
    <n v="68"/>
    <n v="155000"/>
    <x v="1"/>
    <x v="0"/>
    <n v="49"/>
  </r>
  <r>
    <x v="4"/>
    <x v="0"/>
    <n v="23"/>
    <n v="2019"/>
    <x v="0"/>
    <n v="10"/>
    <x v="1"/>
    <s v="No"/>
    <x v="0"/>
    <n v="1"/>
    <x v="1"/>
    <x v="0"/>
    <s v="Yes"/>
    <x v="2"/>
    <x v="1"/>
    <x v="28"/>
    <s v="Yes"/>
    <s v="Yes"/>
    <x v="1"/>
    <s v="Networking"/>
    <n v="1"/>
    <x v="6"/>
    <s v="Married"/>
    <x v="1"/>
    <s v="Family"/>
    <x v="0"/>
    <n v="1.67"/>
    <s v="No"/>
    <n v="2.77"/>
    <n v="139"/>
    <n v="160000"/>
    <x v="0"/>
    <x v="0"/>
    <n v="43.2"/>
  </r>
  <r>
    <x v="1"/>
    <x v="1"/>
    <n v="21"/>
    <n v="2020"/>
    <x v="0"/>
    <n v="6"/>
    <x v="1"/>
    <s v="No"/>
    <x v="0"/>
    <n v="3"/>
    <x v="1"/>
    <x v="0"/>
    <s v="Yes"/>
    <x v="0"/>
    <x v="2"/>
    <x v="5"/>
    <s v="No"/>
    <s v="No"/>
    <x v="1"/>
    <s v="Artificial Intelligence"/>
    <n v="1"/>
    <x v="6"/>
    <s v="Relationship"/>
    <x v="0"/>
    <s v="Bachelor"/>
    <x v="0"/>
    <n v="1.55"/>
    <s v="No"/>
    <n v="2.61"/>
    <n v="92"/>
    <n v="165000"/>
    <x v="0"/>
    <x v="0"/>
    <n v="52"/>
  </r>
  <r>
    <x v="1"/>
    <x v="1"/>
    <n v="20"/>
    <n v="2020"/>
    <x v="0"/>
    <n v="9"/>
    <x v="1"/>
    <s v="No"/>
    <x v="2"/>
    <n v="1"/>
    <x v="0"/>
    <x v="0"/>
    <s v="Yes"/>
    <x v="2"/>
    <x v="0"/>
    <x v="5"/>
    <s v="Yes"/>
    <s v="No"/>
    <x v="1"/>
    <s v="Cyber security"/>
    <n v="1"/>
    <x v="0"/>
    <s v="Single"/>
    <x v="0"/>
    <s v="Family"/>
    <x v="1"/>
    <n v="2.34"/>
    <s v="No"/>
    <n v="3.42"/>
    <n v="103"/>
    <n v="165000"/>
    <x v="0"/>
    <x v="0"/>
    <n v="49"/>
  </r>
  <r>
    <x v="1"/>
    <x v="0"/>
    <n v="20"/>
    <n v="2020"/>
    <x v="0"/>
    <n v="7"/>
    <x v="1"/>
    <s v="No"/>
    <x v="2"/>
    <n v="1"/>
    <x v="0"/>
    <x v="0"/>
    <s v="Yes"/>
    <x v="5"/>
    <x v="1"/>
    <x v="2"/>
    <s v="Yes"/>
    <s v="No"/>
    <x v="1"/>
    <s v="Software Development"/>
    <n v="2"/>
    <x v="6"/>
    <s v="Single"/>
    <x v="0"/>
    <s v="Family"/>
    <x v="0"/>
    <n v="1.54"/>
    <s v="No"/>
    <n v="2.95"/>
    <n v="90"/>
    <n v="169000"/>
    <x v="0"/>
    <x v="0"/>
    <n v="44"/>
  </r>
  <r>
    <x v="2"/>
    <x v="0"/>
    <n v="21"/>
    <n v="2020"/>
    <x v="0"/>
    <n v="5"/>
    <x v="1"/>
    <s v="No"/>
    <x v="5"/>
    <n v="3"/>
    <x v="0"/>
    <x v="0"/>
    <s v="Yes"/>
    <x v="0"/>
    <x v="1"/>
    <x v="7"/>
    <s v="No"/>
    <s v="No"/>
    <x v="0"/>
    <s v="Software Development"/>
    <n v="2"/>
    <x v="2"/>
    <s v="Relationship"/>
    <x v="1"/>
    <s v="Family"/>
    <x v="0"/>
    <n v="2"/>
    <s v="No"/>
    <n v="3.03"/>
    <n v="71"/>
    <n v="170000"/>
    <x v="0"/>
    <x v="0"/>
    <n v="46"/>
  </r>
  <r>
    <x v="2"/>
    <x v="1"/>
    <n v="21"/>
    <n v="2018"/>
    <x v="0"/>
    <n v="9"/>
    <x v="1"/>
    <s v="No"/>
    <x v="2"/>
    <n v="1"/>
    <x v="1"/>
    <x v="0"/>
    <s v="Yes"/>
    <x v="9"/>
    <x v="0"/>
    <x v="14"/>
    <s v="Yes"/>
    <s v="No"/>
    <x v="0"/>
    <s v="Cyber security"/>
    <n v="2"/>
    <x v="6"/>
    <s v="Relationship"/>
    <x v="1"/>
    <s v="Family"/>
    <x v="0"/>
    <n v="1.35"/>
    <s v="No"/>
    <n v="2.66"/>
    <n v="105"/>
    <n v="200000"/>
    <x v="0"/>
    <x v="0"/>
    <n v="32"/>
  </r>
  <r>
    <x v="2"/>
    <x v="1"/>
    <n v="20"/>
    <n v="2019"/>
    <x v="0"/>
    <n v="7"/>
    <x v="1"/>
    <s v="No"/>
    <x v="4"/>
    <n v="5"/>
    <x v="0"/>
    <x v="0"/>
    <s v="Yes"/>
    <x v="1"/>
    <x v="1"/>
    <x v="5"/>
    <s v="No"/>
    <s v="No"/>
    <x v="0"/>
    <s v="Software Development"/>
    <n v="4"/>
    <x v="2"/>
    <s v="Single"/>
    <x v="1"/>
    <s v="Family"/>
    <x v="0"/>
    <n v="2.64"/>
    <s v="Yes"/>
    <n v="3.34"/>
    <n v="70"/>
    <n v="200000"/>
    <x v="0"/>
    <x v="0"/>
    <n v="70"/>
  </r>
  <r>
    <x v="2"/>
    <x v="1"/>
    <n v="22"/>
    <n v="2019"/>
    <x v="0"/>
    <n v="9"/>
    <x v="1"/>
    <s v="No"/>
    <x v="0"/>
    <n v="4"/>
    <x v="0"/>
    <x v="0"/>
    <s v="Yes"/>
    <x v="7"/>
    <x v="0"/>
    <x v="14"/>
    <s v="Yes"/>
    <s v="No"/>
    <x v="1"/>
    <s v="Cyber security"/>
    <n v="1"/>
    <x v="7"/>
    <s v="Relationship"/>
    <x v="1"/>
    <s v="Bachelor"/>
    <x v="0"/>
    <n v="1.7"/>
    <s v="No"/>
    <n v="3"/>
    <n v="95"/>
    <n v="200000"/>
    <x v="0"/>
    <x v="0"/>
    <n v="32"/>
  </r>
  <r>
    <x v="2"/>
    <x v="1"/>
    <n v="22"/>
    <n v="2019"/>
    <x v="0"/>
    <n v="10"/>
    <x v="1"/>
    <s v="No"/>
    <x v="0"/>
    <n v="2"/>
    <x v="1"/>
    <x v="0"/>
    <s v="Yes"/>
    <x v="6"/>
    <x v="0"/>
    <x v="3"/>
    <s v="No"/>
    <s v="No"/>
    <x v="1"/>
    <s v="Software Development"/>
    <n v="5"/>
    <x v="4"/>
    <s v="Relationship"/>
    <x v="1"/>
    <s v="Family"/>
    <x v="0"/>
    <n v="2.9"/>
    <s v="No"/>
    <n v="3.93"/>
    <n v="125"/>
    <n v="200000"/>
    <x v="1"/>
    <x v="0"/>
    <n v="59.2"/>
  </r>
  <r>
    <x v="2"/>
    <x v="1"/>
    <n v="21"/>
    <n v="2020"/>
    <x v="0"/>
    <n v="10"/>
    <x v="1"/>
    <s v="No"/>
    <x v="3"/>
    <n v="2"/>
    <x v="0"/>
    <x v="0"/>
    <s v="Yes"/>
    <x v="5"/>
    <x v="2"/>
    <x v="2"/>
    <s v="No"/>
    <s v="No"/>
    <x v="0"/>
    <s v="Software Development"/>
    <n v="3"/>
    <x v="7"/>
    <s v="Single"/>
    <x v="1"/>
    <s v="Bachelor"/>
    <x v="0"/>
    <n v="1.9"/>
    <s v="No"/>
    <n v="3.1"/>
    <n v="99"/>
    <n v="200000"/>
    <x v="0"/>
    <x v="0"/>
    <n v="56"/>
  </r>
  <r>
    <x v="2"/>
    <x v="0"/>
    <n v="22"/>
    <n v="2019"/>
    <x v="0"/>
    <n v="10"/>
    <x v="1"/>
    <s v="No"/>
    <x v="0"/>
    <n v="2"/>
    <x v="0"/>
    <x v="0"/>
    <s v="Yes"/>
    <x v="15"/>
    <x v="0"/>
    <x v="11"/>
    <s v="No"/>
    <s v="No"/>
    <x v="1"/>
    <s v="Cyber security"/>
    <n v="2"/>
    <x v="6"/>
    <s v="Single"/>
    <x v="1"/>
    <s v="Bachelor"/>
    <x v="0"/>
    <n v="2.0099999999999998"/>
    <s v="No"/>
    <n v="3.08"/>
    <n v="126"/>
    <n v="250000"/>
    <x v="0"/>
    <x v="0"/>
    <n v="45"/>
  </r>
  <r>
    <x v="1"/>
    <x v="1"/>
    <n v="20"/>
    <n v="2021"/>
    <x v="0"/>
    <n v="7"/>
    <x v="0"/>
    <s v="No"/>
    <x v="3"/>
    <n v="4"/>
    <x v="0"/>
    <x v="0"/>
    <s v="Yes"/>
    <x v="2"/>
    <x v="2"/>
    <x v="5"/>
    <s v="No"/>
    <s v="No"/>
    <x v="0"/>
    <s v="Software Development"/>
    <n v="4"/>
    <x v="7"/>
    <s v="Single"/>
    <x v="1"/>
    <s v="Family"/>
    <x v="0"/>
    <n v="2.33"/>
    <s v="No"/>
    <n v="3.89"/>
    <n v="104"/>
    <n v="277000"/>
    <x v="1"/>
    <x v="0"/>
    <n v="67"/>
  </r>
  <r>
    <x v="2"/>
    <x v="0"/>
    <n v="20"/>
    <n v="2020"/>
    <x v="0"/>
    <n v="7"/>
    <x v="0"/>
    <s v="Yes"/>
    <x v="4"/>
    <n v="2"/>
    <x v="1"/>
    <x v="0"/>
    <s v="Yes"/>
    <x v="4"/>
    <x v="2"/>
    <x v="7"/>
    <s v="No"/>
    <s v="No"/>
    <x v="1"/>
    <s v="Software Development"/>
    <n v="3"/>
    <x v="2"/>
    <s v="Single"/>
    <x v="1"/>
    <s v="Family"/>
    <x v="0"/>
    <n v="1.6"/>
    <s v="No"/>
    <n v="2.9"/>
    <n v="30"/>
    <n v="20000"/>
    <x v="0"/>
    <x v="0"/>
    <n v="55"/>
  </r>
  <r>
    <x v="2"/>
    <x v="0"/>
    <n v="23"/>
    <n v="2019"/>
    <x v="0"/>
    <n v="11"/>
    <x v="0"/>
    <s v="Yes"/>
    <x v="5"/>
    <n v="2"/>
    <x v="1"/>
    <x v="0"/>
    <s v="Yes"/>
    <x v="1"/>
    <x v="0"/>
    <x v="1"/>
    <s v="No"/>
    <s v="No"/>
    <x v="1"/>
    <s v="Networking"/>
    <n v="3"/>
    <x v="0"/>
    <s v="Single"/>
    <x v="1"/>
    <s v="Family"/>
    <x v="0"/>
    <n v="2.67"/>
    <s v="No"/>
    <n v="3.4"/>
    <n v="140"/>
    <n v="30000"/>
    <x v="0"/>
    <x v="0"/>
    <n v="59.400000000000006"/>
  </r>
  <r>
    <x v="3"/>
    <x v="0"/>
    <n v="21"/>
    <n v="2021"/>
    <x v="0"/>
    <n v="5"/>
    <x v="1"/>
    <s v="Yes"/>
    <x v="2"/>
    <n v="1"/>
    <x v="1"/>
    <x v="0"/>
    <s v="Yes"/>
    <x v="3"/>
    <x v="0"/>
    <x v="4"/>
    <s v="No"/>
    <s v="No"/>
    <x v="0"/>
    <s v="Software Development"/>
    <n v="4"/>
    <x v="2"/>
    <s v="Single"/>
    <x v="0"/>
    <s v="Bachelor"/>
    <x v="0"/>
    <n v="1.05"/>
    <s v="No"/>
    <n v="2.8"/>
    <n v="18"/>
    <n v="30000"/>
    <x v="0"/>
    <x v="0"/>
    <n v="56"/>
  </r>
  <r>
    <x v="3"/>
    <x v="1"/>
    <n v="21"/>
    <n v="2021"/>
    <x v="0"/>
    <n v="6"/>
    <x v="1"/>
    <s v="Yes"/>
    <x v="7"/>
    <n v="2"/>
    <x v="0"/>
    <x v="0"/>
    <s v="No"/>
    <x v="1"/>
    <x v="2"/>
    <x v="5"/>
    <s v="Yes"/>
    <s v="No"/>
    <x v="0"/>
    <s v="Software Development"/>
    <n v="2"/>
    <x v="7"/>
    <s v="Relationship"/>
    <x v="0"/>
    <s v="Bachelor"/>
    <x v="0"/>
    <n v="1.47"/>
    <s v="No"/>
    <n v="2.54"/>
    <n v="88"/>
    <n v="32000"/>
    <x v="0"/>
    <x v="0"/>
    <n v="67"/>
  </r>
  <r>
    <x v="3"/>
    <x v="0"/>
    <n v="23"/>
    <n v="2020"/>
    <x v="0"/>
    <n v="5"/>
    <x v="1"/>
    <s v="Yes"/>
    <x v="2"/>
    <n v="2"/>
    <x v="0"/>
    <x v="0"/>
    <s v="Yes"/>
    <x v="3"/>
    <x v="1"/>
    <x v="5"/>
    <s v="Yes"/>
    <s v="No"/>
    <x v="0"/>
    <s v="Software Development"/>
    <n v="3"/>
    <x v="2"/>
    <s v="Single"/>
    <x v="0"/>
    <s v="Bachelor"/>
    <x v="0"/>
    <n v="1.58"/>
    <s v="Yes"/>
    <n v="1.42"/>
    <n v="14"/>
    <n v="35000"/>
    <x v="2"/>
    <x v="0"/>
    <n v="55"/>
  </r>
  <r>
    <x v="1"/>
    <x v="0"/>
    <n v="23"/>
    <n v="2020"/>
    <x v="0"/>
    <n v="5"/>
    <x v="1"/>
    <s v="Yes"/>
    <x v="4"/>
    <n v="2"/>
    <x v="0"/>
    <x v="0"/>
    <s v="Yes"/>
    <x v="4"/>
    <x v="1"/>
    <x v="0"/>
    <s v="No"/>
    <s v="No"/>
    <x v="1"/>
    <s v="Software Development"/>
    <n v="5"/>
    <x v="2"/>
    <s v="Single"/>
    <x v="0"/>
    <s v="Bachelor"/>
    <x v="0"/>
    <n v="2.4500000000000002"/>
    <s v="No"/>
    <n v="2.39"/>
    <n v="40"/>
    <n v="35000"/>
    <x v="2"/>
    <x v="0"/>
    <n v="69"/>
  </r>
  <r>
    <x v="1"/>
    <x v="0"/>
    <n v="19"/>
    <n v="2021"/>
    <x v="0"/>
    <n v="8"/>
    <x v="1"/>
    <s v="Yes"/>
    <x v="0"/>
    <n v="3"/>
    <x v="1"/>
    <x v="0"/>
    <s v="Yes"/>
    <x v="2"/>
    <x v="2"/>
    <x v="44"/>
    <s v="No"/>
    <s v="No"/>
    <x v="1"/>
    <s v="Cyber security"/>
    <n v="4"/>
    <x v="0"/>
    <s v="Single"/>
    <x v="1"/>
    <s v="Family"/>
    <x v="0"/>
    <n v="1.87"/>
    <s v="No"/>
    <n v="2.8"/>
    <n v="136"/>
    <n v="35000"/>
    <x v="0"/>
    <x v="0"/>
    <n v="56.6"/>
  </r>
  <r>
    <x v="2"/>
    <x v="0"/>
    <n v="21"/>
    <n v="2019"/>
    <x v="0"/>
    <n v="9"/>
    <x v="1"/>
    <s v="Yes"/>
    <x v="0"/>
    <n v="2"/>
    <x v="1"/>
    <x v="0"/>
    <s v="Yes"/>
    <x v="7"/>
    <x v="0"/>
    <x v="7"/>
    <s v="No"/>
    <s v="No"/>
    <x v="1"/>
    <s v="Software Development"/>
    <n v="1"/>
    <x v="2"/>
    <s v="Single"/>
    <x v="1"/>
    <s v="Family"/>
    <x v="0"/>
    <n v="2.33"/>
    <s v="No"/>
    <n v="3.47"/>
    <n v="128"/>
    <n v="37000"/>
    <x v="0"/>
    <x v="0"/>
    <n v="40"/>
  </r>
  <r>
    <x v="2"/>
    <x v="0"/>
    <n v="24"/>
    <n v="2019"/>
    <x v="0"/>
    <n v="11"/>
    <x v="1"/>
    <s v="Yes"/>
    <x v="1"/>
    <n v="3"/>
    <x v="0"/>
    <x v="0"/>
    <s v="Yes"/>
    <x v="2"/>
    <x v="2"/>
    <x v="5"/>
    <s v="Yes"/>
    <s v="No"/>
    <x v="1"/>
    <s v="Cyber security"/>
    <n v="2"/>
    <x v="0"/>
    <s v="Relationship"/>
    <x v="1"/>
    <s v="Bachelor"/>
    <x v="0"/>
    <n v="2.9"/>
    <s v="No"/>
    <n v="3.92"/>
    <n v="144"/>
    <n v="37000"/>
    <x v="1"/>
    <x v="0"/>
    <n v="49"/>
  </r>
  <r>
    <x v="1"/>
    <x v="1"/>
    <n v="19"/>
    <n v="2021"/>
    <x v="0"/>
    <n v="6"/>
    <x v="1"/>
    <s v="Yes"/>
    <x v="0"/>
    <n v="1"/>
    <x v="0"/>
    <x v="0"/>
    <s v="Yes"/>
    <x v="0"/>
    <x v="2"/>
    <x v="23"/>
    <s v="Yes"/>
    <s v="No"/>
    <x v="1"/>
    <s v="Cyber security"/>
    <n v="3"/>
    <x v="0"/>
    <s v="Single"/>
    <x v="1"/>
    <s v="Bachelor"/>
    <x v="0"/>
    <n v="1.78"/>
    <s v="No"/>
    <n v="2.63"/>
    <n v="97"/>
    <n v="37000"/>
    <x v="0"/>
    <x v="0"/>
    <n v="42"/>
  </r>
  <r>
    <x v="2"/>
    <x v="1"/>
    <n v="21"/>
    <n v="2019"/>
    <x v="0"/>
    <n v="11"/>
    <x v="1"/>
    <s v="Yes"/>
    <x v="5"/>
    <n v="2"/>
    <x v="0"/>
    <x v="0"/>
    <s v="Yes"/>
    <x v="6"/>
    <x v="2"/>
    <x v="5"/>
    <s v="No"/>
    <s v="No"/>
    <x v="1"/>
    <s v="Cyber security"/>
    <n v="2"/>
    <x v="2"/>
    <s v="Single"/>
    <x v="1"/>
    <s v="Family"/>
    <x v="0"/>
    <n v="2.77"/>
    <s v="No"/>
    <n v="3.91"/>
    <n v="139"/>
    <n v="38000"/>
    <x v="1"/>
    <x v="0"/>
    <n v="58"/>
  </r>
  <r>
    <x v="1"/>
    <x v="1"/>
    <n v="22"/>
    <n v="2021"/>
    <x v="0"/>
    <n v="7"/>
    <x v="1"/>
    <s v="Yes"/>
    <x v="5"/>
    <n v="2"/>
    <x v="0"/>
    <x v="0"/>
    <s v="Yes"/>
    <x v="0"/>
    <x v="2"/>
    <x v="5"/>
    <s v="No"/>
    <s v="No"/>
    <x v="1"/>
    <s v="Cyber security"/>
    <n v="2"/>
    <x v="6"/>
    <s v="Relationship"/>
    <x v="1"/>
    <s v="Family"/>
    <x v="0"/>
    <n v="1.98"/>
    <s v="No"/>
    <n v="3.03"/>
    <n v="111"/>
    <n v="39000"/>
    <x v="0"/>
    <x v="0"/>
    <n v="58"/>
  </r>
  <r>
    <x v="2"/>
    <x v="0"/>
    <n v="23"/>
    <n v="2018"/>
    <x v="0"/>
    <n v="11"/>
    <x v="1"/>
    <s v="Yes"/>
    <x v="3"/>
    <n v="2"/>
    <x v="1"/>
    <x v="0"/>
    <s v="Yes"/>
    <x v="14"/>
    <x v="1"/>
    <x v="46"/>
    <s v="No"/>
    <s v="No"/>
    <x v="0"/>
    <s v="Software Development"/>
    <n v="2"/>
    <x v="2"/>
    <s v="Relationship"/>
    <x v="0"/>
    <s v="Bachelor"/>
    <x v="0"/>
    <n v="1.43"/>
    <s v="No"/>
    <n v="2.65"/>
    <n v="107"/>
    <n v="40000"/>
    <x v="0"/>
    <x v="0"/>
    <n v="35"/>
  </r>
  <r>
    <x v="1"/>
    <x v="0"/>
    <n v="20"/>
    <n v="2020"/>
    <x v="0"/>
    <n v="9"/>
    <x v="0"/>
    <s v="Yes"/>
    <x v="3"/>
    <n v="2"/>
    <x v="0"/>
    <x v="0"/>
    <s v="Yes"/>
    <x v="1"/>
    <x v="2"/>
    <x v="5"/>
    <s v="No"/>
    <s v="No"/>
    <x v="1"/>
    <s v="Cyber security"/>
    <n v="3"/>
    <x v="2"/>
    <s v="Single"/>
    <x v="1"/>
    <s v="Family"/>
    <x v="0"/>
    <n v="2.77"/>
    <s v="No"/>
    <n v="3.96"/>
    <n v="129"/>
    <n v="42000"/>
    <x v="1"/>
    <x v="0"/>
    <n v="64"/>
  </r>
  <r>
    <x v="2"/>
    <x v="1"/>
    <n v="20"/>
    <n v="2020"/>
    <x v="0"/>
    <n v="11"/>
    <x v="0"/>
    <s v="Yes"/>
    <x v="2"/>
    <n v="2"/>
    <x v="1"/>
    <x v="0"/>
    <s v="Yes"/>
    <x v="1"/>
    <x v="2"/>
    <x v="59"/>
    <s v="Yes"/>
    <s v="No"/>
    <x v="1"/>
    <s v="Networking"/>
    <n v="4"/>
    <x v="6"/>
    <s v="Married"/>
    <x v="1"/>
    <s v="Family"/>
    <x v="0"/>
    <n v="2.81"/>
    <s v="No"/>
    <n v="3.9"/>
    <n v="144"/>
    <n v="43000"/>
    <x v="1"/>
    <x v="0"/>
    <n v="35.200000000000003"/>
  </r>
  <r>
    <x v="2"/>
    <x v="1"/>
    <n v="21"/>
    <n v="2019"/>
    <x v="0"/>
    <n v="11"/>
    <x v="1"/>
    <s v="Yes"/>
    <x v="0"/>
    <n v="1"/>
    <x v="1"/>
    <x v="0"/>
    <s v="Yes"/>
    <x v="1"/>
    <x v="0"/>
    <x v="7"/>
    <s v="No"/>
    <s v="No"/>
    <x v="1"/>
    <s v="Software Development"/>
    <n v="2"/>
    <x v="2"/>
    <s v="Relationship"/>
    <x v="1"/>
    <s v="Bachelor"/>
    <x v="1"/>
    <n v="2.1"/>
    <s v="No"/>
    <n v="3.2"/>
    <n v="137"/>
    <n v="45000"/>
    <x v="0"/>
    <x v="0"/>
    <n v="43"/>
  </r>
  <r>
    <x v="2"/>
    <x v="1"/>
    <n v="25"/>
    <n v="2019"/>
    <x v="0"/>
    <n v="11"/>
    <x v="1"/>
    <s v="Yes"/>
    <x v="2"/>
    <n v="2"/>
    <x v="0"/>
    <x v="0"/>
    <s v="Yes"/>
    <x v="2"/>
    <x v="0"/>
    <x v="50"/>
    <s v="Yes"/>
    <s v="No"/>
    <x v="1"/>
    <s v="Machine Learning"/>
    <n v="4"/>
    <x v="0"/>
    <s v="Relationship"/>
    <x v="0"/>
    <s v="Bachelor"/>
    <x v="0"/>
    <n v="1.87"/>
    <s v="No"/>
    <n v="2.92"/>
    <n v="144"/>
    <n v="45000"/>
    <x v="0"/>
    <x v="0"/>
    <n v="44.8"/>
  </r>
  <r>
    <x v="3"/>
    <x v="1"/>
    <n v="22"/>
    <n v="2020"/>
    <x v="0"/>
    <n v="5"/>
    <x v="0"/>
    <s v="Yes"/>
    <x v="1"/>
    <n v="2"/>
    <x v="0"/>
    <x v="0"/>
    <s v="Yes"/>
    <x v="6"/>
    <x v="0"/>
    <x v="5"/>
    <s v="No"/>
    <s v="No"/>
    <x v="0"/>
    <s v="Software Development"/>
    <n v="1"/>
    <x v="2"/>
    <s v="Single"/>
    <x v="0"/>
    <s v="Family"/>
    <x v="1"/>
    <n v="2.58"/>
    <s v="No"/>
    <n v="3.74"/>
    <n v="39"/>
    <n v="45000"/>
    <x v="1"/>
    <x v="0"/>
    <n v="46"/>
  </r>
  <r>
    <x v="1"/>
    <x v="1"/>
    <n v="22"/>
    <n v="2021"/>
    <x v="0"/>
    <n v="6"/>
    <x v="1"/>
    <s v="Yes"/>
    <x v="0"/>
    <n v="1"/>
    <x v="0"/>
    <x v="0"/>
    <s v="Yes"/>
    <x v="6"/>
    <x v="0"/>
    <x v="2"/>
    <s v="Yes"/>
    <s v="No"/>
    <x v="0"/>
    <s v="Cyber security"/>
    <n v="2"/>
    <x v="6"/>
    <s v="Relationship"/>
    <x v="1"/>
    <s v="Bachelor"/>
    <x v="0"/>
    <n v="1.77"/>
    <s v="No"/>
    <n v="2.82"/>
    <n v="109"/>
    <n v="45000"/>
    <x v="0"/>
    <x v="0"/>
    <n v="47"/>
  </r>
  <r>
    <x v="0"/>
    <x v="0"/>
    <n v="24"/>
    <n v="2018"/>
    <x v="0"/>
    <n v="11"/>
    <x v="1"/>
    <s v="Yes"/>
    <x v="0"/>
    <n v="1"/>
    <x v="0"/>
    <x v="0"/>
    <s v="Yes"/>
    <x v="6"/>
    <x v="0"/>
    <x v="3"/>
    <s v="Yes"/>
    <s v="No"/>
    <x v="0"/>
    <s v="Artificial Intelligence"/>
    <n v="3"/>
    <x v="6"/>
    <s v="Single"/>
    <x v="1"/>
    <s v="Family"/>
    <x v="0"/>
    <n v="2.16"/>
    <s v="No"/>
    <n v="3.33"/>
    <n v="143"/>
    <n v="46000"/>
    <x v="0"/>
    <x v="0"/>
    <n v="53.2"/>
  </r>
  <r>
    <x v="2"/>
    <x v="1"/>
    <n v="23"/>
    <n v="2018"/>
    <x v="0"/>
    <n v="11"/>
    <x v="0"/>
    <s v="Yes"/>
    <x v="1"/>
    <n v="1"/>
    <x v="0"/>
    <x v="0"/>
    <s v="No"/>
    <x v="2"/>
    <x v="2"/>
    <x v="5"/>
    <s v="No"/>
    <s v="No"/>
    <x v="1"/>
    <s v="Software Development"/>
    <n v="3"/>
    <x v="6"/>
    <s v="Single"/>
    <x v="0"/>
    <s v="Family"/>
    <x v="1"/>
    <n v="2.5299999999999998"/>
    <s v="No"/>
    <n v="3.81"/>
    <n v="132"/>
    <n v="50000"/>
    <x v="1"/>
    <x v="0"/>
    <n v="52"/>
  </r>
  <r>
    <x v="3"/>
    <x v="0"/>
    <n v="23"/>
    <n v="2020"/>
    <x v="0"/>
    <n v="8"/>
    <x v="1"/>
    <s v="Yes"/>
    <x v="0"/>
    <n v="2"/>
    <x v="0"/>
    <x v="0"/>
    <s v="Yes"/>
    <x v="1"/>
    <x v="2"/>
    <x v="8"/>
    <s v="No"/>
    <s v="No"/>
    <x v="0"/>
    <s v="Software Development"/>
    <n v="2"/>
    <x v="2"/>
    <s v="Relationship"/>
    <x v="1"/>
    <s v="Family"/>
    <x v="0"/>
    <n v="2.75"/>
    <s v="No"/>
    <n v="3.64"/>
    <n v="18"/>
    <n v="50000"/>
    <x v="1"/>
    <x v="0"/>
    <n v="54.2"/>
  </r>
  <r>
    <x v="2"/>
    <x v="1"/>
    <n v="20"/>
    <n v="2020"/>
    <x v="0"/>
    <n v="9"/>
    <x v="1"/>
    <s v="Yes"/>
    <x v="0"/>
    <n v="2"/>
    <x v="1"/>
    <x v="0"/>
    <s v="Yes"/>
    <x v="6"/>
    <x v="2"/>
    <x v="7"/>
    <s v="No"/>
    <s v="No"/>
    <x v="0"/>
    <s v="Software Development"/>
    <n v="1"/>
    <x v="7"/>
    <s v="Single"/>
    <x v="0"/>
    <s v="Family"/>
    <x v="0"/>
    <n v="2.0099999999999998"/>
    <s v="No"/>
    <n v="3.15"/>
    <n v="131"/>
    <n v="50000"/>
    <x v="0"/>
    <x v="0"/>
    <n v="40"/>
  </r>
  <r>
    <x v="1"/>
    <x v="1"/>
    <n v="20"/>
    <n v="2020"/>
    <x v="0"/>
    <n v="9"/>
    <x v="0"/>
    <s v="Yes"/>
    <x v="0"/>
    <n v="2"/>
    <x v="1"/>
    <x v="0"/>
    <s v="Yes"/>
    <x v="1"/>
    <x v="0"/>
    <x v="42"/>
    <s v="No"/>
    <s v="No"/>
    <x v="0"/>
    <s v="Artificial Intelligence"/>
    <n v="3"/>
    <x v="6"/>
    <s v="Single"/>
    <x v="0"/>
    <s v="Family"/>
    <x v="0"/>
    <n v="2.77"/>
    <s v="No"/>
    <n v="3.8"/>
    <n v="129"/>
    <n v="50000"/>
    <x v="1"/>
    <x v="0"/>
    <n v="48.400000000000006"/>
  </r>
  <r>
    <x v="4"/>
    <x v="1"/>
    <n v="22"/>
    <n v="2018"/>
    <x v="0"/>
    <n v="11"/>
    <x v="1"/>
    <s v="Yes"/>
    <x v="3"/>
    <n v="3"/>
    <x v="1"/>
    <x v="0"/>
    <s v="Yes"/>
    <x v="14"/>
    <x v="0"/>
    <x v="2"/>
    <s v="No"/>
    <s v="No"/>
    <x v="1"/>
    <s v="Software Development"/>
    <n v="2"/>
    <x v="7"/>
    <s v="Single"/>
    <x v="1"/>
    <s v="Bachelor"/>
    <x v="0"/>
    <n v="2.04"/>
    <s v="No"/>
    <n v="3.16"/>
    <n v="143"/>
    <n v="51000"/>
    <x v="0"/>
    <x v="0"/>
    <n v="53"/>
  </r>
  <r>
    <x v="1"/>
    <x v="0"/>
    <n v="20"/>
    <n v="2020"/>
    <x v="0"/>
    <n v="7"/>
    <x v="0"/>
    <s v="Yes"/>
    <x v="3"/>
    <n v="3"/>
    <x v="1"/>
    <x v="0"/>
    <s v="Yes"/>
    <x v="4"/>
    <x v="0"/>
    <x v="55"/>
    <s v="No"/>
    <s v="No"/>
    <x v="0"/>
    <s v="Cyber security"/>
    <n v="2"/>
    <x v="0"/>
    <s v="Single"/>
    <x v="1"/>
    <s v="Family"/>
    <x v="0"/>
    <n v="2.0099999999999998"/>
    <s v="No"/>
    <n v="3.13"/>
    <n v="101"/>
    <n v="51000"/>
    <x v="0"/>
    <x v="0"/>
    <n v="43"/>
  </r>
  <r>
    <x v="1"/>
    <x v="1"/>
    <n v="20"/>
    <n v="2020"/>
    <x v="0"/>
    <n v="8"/>
    <x v="1"/>
    <s v="Yes"/>
    <x v="0"/>
    <n v="2"/>
    <x v="1"/>
    <x v="0"/>
    <s v="Yes"/>
    <x v="1"/>
    <x v="1"/>
    <x v="63"/>
    <s v="No"/>
    <s v="No"/>
    <x v="0"/>
    <s v="Software Development"/>
    <n v="4"/>
    <x v="7"/>
    <s v="Relationship"/>
    <x v="0"/>
    <s v="Bachelor"/>
    <x v="0"/>
    <n v="1.87"/>
    <s v="No"/>
    <n v="2.93"/>
    <n v="117"/>
    <n v="52000"/>
    <x v="0"/>
    <x v="0"/>
    <n v="30.6"/>
  </r>
  <r>
    <x v="2"/>
    <x v="0"/>
    <n v="24"/>
    <n v="2019"/>
    <x v="0"/>
    <n v="10"/>
    <x v="0"/>
    <s v="Yes"/>
    <x v="4"/>
    <n v="2"/>
    <x v="0"/>
    <x v="0"/>
    <s v="Yes"/>
    <x v="1"/>
    <x v="2"/>
    <x v="5"/>
    <s v="No"/>
    <s v="No"/>
    <x v="1"/>
    <s v="Cyber security"/>
    <n v="1"/>
    <x v="0"/>
    <s v="Married"/>
    <x v="0"/>
    <s v="Family"/>
    <x v="0"/>
    <n v="2.02"/>
    <s v="No"/>
    <n v="3.11"/>
    <n v="134"/>
    <n v="53000"/>
    <x v="0"/>
    <x v="0"/>
    <n v="61"/>
  </r>
  <r>
    <x v="1"/>
    <x v="0"/>
    <n v="21"/>
    <n v="2021"/>
    <x v="0"/>
    <n v="9"/>
    <x v="1"/>
    <s v="Yes"/>
    <x v="0"/>
    <n v="2"/>
    <x v="0"/>
    <x v="0"/>
    <s v="Yes"/>
    <x v="5"/>
    <x v="0"/>
    <x v="7"/>
    <s v="No"/>
    <s v="No"/>
    <x v="0"/>
    <s v="Software Development"/>
    <n v="2"/>
    <x v="7"/>
    <s v="Relationship"/>
    <x v="0"/>
    <s v="Bachelor"/>
    <x v="0"/>
    <n v="1.98"/>
    <s v="No"/>
    <n v="2.97"/>
    <n v="105"/>
    <n v="53000"/>
    <x v="0"/>
    <x v="0"/>
    <n v="43"/>
  </r>
  <r>
    <x v="2"/>
    <x v="0"/>
    <n v="21"/>
    <n v="2019"/>
    <x v="0"/>
    <n v="9"/>
    <x v="1"/>
    <s v="Yes"/>
    <x v="5"/>
    <n v="2"/>
    <x v="1"/>
    <x v="0"/>
    <s v="Yes"/>
    <x v="0"/>
    <x v="2"/>
    <x v="5"/>
    <s v="No"/>
    <s v="No"/>
    <x v="1"/>
    <s v="Cyber security"/>
    <n v="1"/>
    <x v="2"/>
    <s v="Single"/>
    <x v="0"/>
    <s v="Family"/>
    <x v="0"/>
    <n v="2.56"/>
    <s v="No"/>
    <n v="3.79"/>
    <n v="132"/>
    <n v="55000"/>
    <x v="1"/>
    <x v="0"/>
    <n v="55"/>
  </r>
  <r>
    <x v="4"/>
    <x v="0"/>
    <n v="23"/>
    <n v="2019"/>
    <x v="0"/>
    <n v="11"/>
    <x v="1"/>
    <s v="Yes"/>
    <x v="0"/>
    <n v="1"/>
    <x v="1"/>
    <x v="0"/>
    <s v="Yes"/>
    <x v="2"/>
    <x v="0"/>
    <x v="5"/>
    <s v="Yes"/>
    <s v="No"/>
    <x v="1"/>
    <s v="Networking"/>
    <n v="1"/>
    <x v="6"/>
    <s v="Married"/>
    <x v="0"/>
    <s v="Family"/>
    <x v="0"/>
    <n v="1.54"/>
    <s v="No"/>
    <n v="2.66"/>
    <n v="136"/>
    <n v="55000"/>
    <x v="0"/>
    <x v="0"/>
    <n v="52"/>
  </r>
  <r>
    <x v="2"/>
    <x v="0"/>
    <n v="23"/>
    <n v="2019"/>
    <x v="0"/>
    <n v="11"/>
    <x v="1"/>
    <s v="Yes"/>
    <x v="0"/>
    <n v="3"/>
    <x v="0"/>
    <x v="0"/>
    <s v="Yes"/>
    <x v="3"/>
    <x v="0"/>
    <x v="5"/>
    <s v="No"/>
    <s v="No"/>
    <x v="1"/>
    <s v="Software Development"/>
    <n v="1"/>
    <x v="2"/>
    <s v="Single"/>
    <x v="0"/>
    <s v="Bachelor"/>
    <x v="0"/>
    <n v="1.56"/>
    <s v="No"/>
    <n v="2.65"/>
    <n v="143"/>
    <n v="55000"/>
    <x v="0"/>
    <x v="0"/>
    <n v="52"/>
  </r>
  <r>
    <x v="3"/>
    <x v="1"/>
    <n v="20"/>
    <n v="2020"/>
    <x v="0"/>
    <n v="6"/>
    <x v="1"/>
    <s v="Yes"/>
    <x v="0"/>
    <n v="2"/>
    <x v="0"/>
    <x v="0"/>
    <s v="Yes"/>
    <x v="1"/>
    <x v="1"/>
    <x v="58"/>
    <s v="No"/>
    <s v="No"/>
    <x v="0"/>
    <s v="Networking"/>
    <n v="1"/>
    <x v="6"/>
    <s v="Relationship"/>
    <x v="0"/>
    <s v="Family"/>
    <x v="0"/>
    <n v="1.88"/>
    <s v="No"/>
    <n v="2.98"/>
    <n v="77"/>
    <n v="55000"/>
    <x v="0"/>
    <x v="0"/>
    <n v="24"/>
  </r>
  <r>
    <x v="2"/>
    <x v="0"/>
    <n v="22"/>
    <n v="2020"/>
    <x v="0"/>
    <n v="10"/>
    <x v="1"/>
    <s v="Yes"/>
    <x v="1"/>
    <n v="2"/>
    <x v="0"/>
    <x v="0"/>
    <s v="No"/>
    <x v="2"/>
    <x v="0"/>
    <x v="5"/>
    <s v="No"/>
    <s v="No"/>
    <x v="1"/>
    <s v="Software Development"/>
    <n v="2"/>
    <x v="0"/>
    <s v="Single"/>
    <x v="1"/>
    <s v="Bachelor"/>
    <x v="1"/>
    <n v="2.76"/>
    <s v="No"/>
    <n v="3.8"/>
    <n v="136"/>
    <n v="55000"/>
    <x v="1"/>
    <x v="0"/>
    <n v="49"/>
  </r>
  <r>
    <x v="3"/>
    <x v="1"/>
    <n v="20"/>
    <n v="2021"/>
    <x v="0"/>
    <n v="4"/>
    <x v="1"/>
    <s v="Yes"/>
    <x v="0"/>
    <n v="2"/>
    <x v="0"/>
    <x v="0"/>
    <s v="Yes"/>
    <x v="2"/>
    <x v="0"/>
    <x v="9"/>
    <s v="No"/>
    <s v="No"/>
    <x v="0"/>
    <s v="Software Development"/>
    <n v="2"/>
    <x v="0"/>
    <s v="Single"/>
    <x v="0"/>
    <s v="Bachelor"/>
    <x v="0"/>
    <n v="1.56"/>
    <s v="No"/>
    <n v="2.97"/>
    <n v="67"/>
    <n v="55000"/>
    <x v="0"/>
    <x v="0"/>
    <n v="49"/>
  </r>
  <r>
    <x v="4"/>
    <x v="1"/>
    <n v="21"/>
    <n v="2018"/>
    <x v="0"/>
    <n v="10"/>
    <x v="1"/>
    <s v="Yes"/>
    <x v="1"/>
    <n v="1"/>
    <x v="1"/>
    <x v="0"/>
    <s v="Yes"/>
    <x v="15"/>
    <x v="0"/>
    <x v="29"/>
    <s v="Yes"/>
    <s v="No"/>
    <x v="1"/>
    <s v="Cyber security"/>
    <n v="1"/>
    <x v="6"/>
    <s v="Relationship"/>
    <x v="0"/>
    <s v="Bachelor"/>
    <x v="1"/>
    <n v="1.24"/>
    <s v="No"/>
    <n v="2.35"/>
    <n v="137"/>
    <n v="56000"/>
    <x v="2"/>
    <x v="0"/>
    <n v="28.8"/>
  </r>
  <r>
    <x v="2"/>
    <x v="1"/>
    <n v="21"/>
    <n v="2019"/>
    <x v="0"/>
    <n v="10"/>
    <x v="1"/>
    <s v="Yes"/>
    <x v="3"/>
    <n v="2"/>
    <x v="1"/>
    <x v="0"/>
    <s v="Yes"/>
    <x v="4"/>
    <x v="2"/>
    <x v="0"/>
    <s v="No"/>
    <s v="No"/>
    <x v="0"/>
    <s v="Machine Learning"/>
    <n v="2"/>
    <x v="2"/>
    <s v="Single"/>
    <x v="0"/>
    <s v="Family"/>
    <x v="0"/>
    <n v="1.95"/>
    <s v="No"/>
    <n v="2.92"/>
    <n v="139"/>
    <n v="58000"/>
    <x v="0"/>
    <x v="0"/>
    <n v="57"/>
  </r>
  <r>
    <x v="1"/>
    <x v="1"/>
    <n v="21"/>
    <n v="2021"/>
    <x v="0"/>
    <n v="9"/>
    <x v="1"/>
    <s v="Yes"/>
    <x v="1"/>
    <n v="1"/>
    <x v="0"/>
    <x v="0"/>
    <s v="Yes"/>
    <x v="2"/>
    <x v="2"/>
    <x v="14"/>
    <s v="Yes"/>
    <s v="No"/>
    <x v="1"/>
    <s v="Cyber security"/>
    <n v="2"/>
    <x v="0"/>
    <s v="Married"/>
    <x v="0"/>
    <s v="Family"/>
    <x v="1"/>
    <n v="1.65"/>
    <s v="No"/>
    <n v="2.7"/>
    <n v="139"/>
    <n v="59000"/>
    <x v="0"/>
    <x v="0"/>
    <n v="29"/>
  </r>
  <r>
    <x v="0"/>
    <x v="1"/>
    <n v="24"/>
    <n v="2016"/>
    <x v="0"/>
    <n v="8"/>
    <x v="1"/>
    <s v="Yes"/>
    <x v="0"/>
    <n v="2"/>
    <x v="1"/>
    <x v="0"/>
    <s v="Yes"/>
    <x v="7"/>
    <x v="0"/>
    <x v="44"/>
    <s v="Yes"/>
    <s v="No"/>
    <x v="1"/>
    <s v="Networking"/>
    <n v="1"/>
    <x v="0"/>
    <s v="Married"/>
    <x v="1"/>
    <s v="Family"/>
    <x v="0"/>
    <n v="1.1100000000000001"/>
    <s v="No"/>
    <n v="2.35"/>
    <n v="95"/>
    <n v="60000"/>
    <x v="2"/>
    <x v="0"/>
    <n v="47.6"/>
  </r>
  <r>
    <x v="2"/>
    <x v="1"/>
    <n v="24"/>
    <n v="2018"/>
    <x v="0"/>
    <n v="9"/>
    <x v="1"/>
    <s v="Yes"/>
    <x v="1"/>
    <n v="2"/>
    <x v="0"/>
    <x v="0"/>
    <s v="Yes"/>
    <x v="7"/>
    <x v="0"/>
    <x v="7"/>
    <s v="No"/>
    <s v="No"/>
    <x v="1"/>
    <s v="Networking"/>
    <n v="2"/>
    <x v="6"/>
    <s v="Single"/>
    <x v="1"/>
    <s v="Bachelor"/>
    <x v="0"/>
    <n v="1.71"/>
    <s v="No"/>
    <n v="2.82"/>
    <n v="118"/>
    <n v="60000"/>
    <x v="0"/>
    <x v="0"/>
    <n v="37"/>
  </r>
  <r>
    <x v="2"/>
    <x v="0"/>
    <n v="23"/>
    <n v="2019"/>
    <x v="0"/>
    <n v="11"/>
    <x v="0"/>
    <s v="Yes"/>
    <x v="5"/>
    <n v="2"/>
    <x v="1"/>
    <x v="0"/>
    <s v="Yes"/>
    <x v="0"/>
    <x v="0"/>
    <x v="4"/>
    <s v="Yes"/>
    <s v="No"/>
    <x v="0"/>
    <s v="Networking"/>
    <n v="5"/>
    <x v="0"/>
    <s v="Relationship"/>
    <x v="0"/>
    <s v="Bachelor"/>
    <x v="0"/>
    <n v="1.33"/>
    <s v="No"/>
    <n v="2.99"/>
    <n v="104"/>
    <n v="60000"/>
    <x v="0"/>
    <x v="0"/>
    <n v="65"/>
  </r>
  <r>
    <x v="1"/>
    <x v="1"/>
    <n v="20"/>
    <n v="2020"/>
    <x v="0"/>
    <n v="9"/>
    <x v="1"/>
    <s v="Yes"/>
    <x v="2"/>
    <n v="1"/>
    <x v="0"/>
    <x v="0"/>
    <s v="No"/>
    <x v="1"/>
    <x v="0"/>
    <x v="5"/>
    <s v="Yes"/>
    <s v="No"/>
    <x v="0"/>
    <s v="Artificial Intelligence"/>
    <n v="2"/>
    <x v="0"/>
    <s v="Relationship"/>
    <x v="0"/>
    <s v="Bachelor"/>
    <x v="0"/>
    <n v="2.56"/>
    <s v="No"/>
    <n v="3.63"/>
    <n v="106"/>
    <n v="60000"/>
    <x v="1"/>
    <x v="0"/>
    <n v="52"/>
  </r>
  <r>
    <x v="3"/>
    <x v="0"/>
    <n v="22"/>
    <n v="2022"/>
    <x v="0"/>
    <n v="3"/>
    <x v="0"/>
    <s v="Yes"/>
    <x v="5"/>
    <n v="2"/>
    <x v="0"/>
    <x v="0"/>
    <s v="Yes"/>
    <x v="1"/>
    <x v="0"/>
    <x v="5"/>
    <s v="No"/>
    <s v="No"/>
    <x v="1"/>
    <s v="Software Development"/>
    <n v="2"/>
    <x v="7"/>
    <s v="Single"/>
    <x v="1"/>
    <s v="Bachelor"/>
    <x v="0"/>
    <n v="2.81"/>
    <s v="No"/>
    <n v="3.97"/>
    <n v="51"/>
    <n v="60000"/>
    <x v="1"/>
    <x v="0"/>
    <n v="58"/>
  </r>
  <r>
    <x v="2"/>
    <x v="1"/>
    <n v="21"/>
    <n v="2020"/>
    <x v="0"/>
    <n v="10"/>
    <x v="0"/>
    <s v="Yes"/>
    <x v="2"/>
    <n v="1"/>
    <x v="0"/>
    <x v="0"/>
    <s v="Yes"/>
    <x v="3"/>
    <x v="2"/>
    <x v="5"/>
    <s v="No"/>
    <s v="No"/>
    <x v="1"/>
    <s v="Artificial Intelligence"/>
    <n v="1"/>
    <x v="2"/>
    <s v="Relationship"/>
    <x v="1"/>
    <s v="Bachelor"/>
    <x v="0"/>
    <n v="2.73"/>
    <s v="No"/>
    <n v="3.81"/>
    <n v="135"/>
    <n v="61000"/>
    <x v="1"/>
    <x v="0"/>
    <n v="49"/>
  </r>
  <r>
    <x v="1"/>
    <x v="1"/>
    <n v="19"/>
    <n v="2021"/>
    <x v="0"/>
    <n v="6"/>
    <x v="1"/>
    <s v="Yes"/>
    <x v="7"/>
    <n v="3"/>
    <x v="0"/>
    <x v="0"/>
    <s v="Yes"/>
    <x v="1"/>
    <x v="0"/>
    <x v="44"/>
    <s v="No"/>
    <s v="No"/>
    <x v="1"/>
    <s v="Software Development"/>
    <n v="1"/>
    <x v="7"/>
    <s v="Relationship"/>
    <x v="1"/>
    <s v="Family"/>
    <x v="0"/>
    <n v="1.88"/>
    <s v="No"/>
    <n v="2.9"/>
    <n v="132"/>
    <n v="64000"/>
    <x v="0"/>
    <x v="0"/>
    <n v="59.6"/>
  </r>
  <r>
    <x v="3"/>
    <x v="0"/>
    <n v="23"/>
    <n v="2020"/>
    <x v="0"/>
    <n v="5"/>
    <x v="0"/>
    <s v="Yes"/>
    <x v="2"/>
    <n v="3"/>
    <x v="1"/>
    <x v="0"/>
    <s v="Yes"/>
    <x v="1"/>
    <x v="1"/>
    <x v="0"/>
    <s v="No"/>
    <s v="No"/>
    <x v="1"/>
    <s v="Networking"/>
    <n v="3"/>
    <x v="6"/>
    <s v="Single"/>
    <x v="0"/>
    <s v="Family"/>
    <x v="0"/>
    <n v="2.33"/>
    <s v="No"/>
    <n v="3.68"/>
    <n v="43"/>
    <n v="65000"/>
    <x v="1"/>
    <x v="0"/>
    <n v="51"/>
  </r>
  <r>
    <x v="4"/>
    <x v="0"/>
    <n v="24"/>
    <n v="2018"/>
    <x v="0"/>
    <n v="11"/>
    <x v="1"/>
    <s v="Yes"/>
    <x v="0"/>
    <n v="2"/>
    <x v="1"/>
    <x v="0"/>
    <s v="Yes"/>
    <x v="0"/>
    <x v="0"/>
    <x v="5"/>
    <s v="No"/>
    <s v="No"/>
    <x v="0"/>
    <s v="Software Development"/>
    <n v="2"/>
    <x v="2"/>
    <s v="Single"/>
    <x v="1"/>
    <s v="Bachelor"/>
    <x v="1"/>
    <n v="2.2200000000000002"/>
    <s v="No"/>
    <n v="3.45"/>
    <n v="132"/>
    <n v="66000"/>
    <x v="0"/>
    <x v="0"/>
    <n v="55"/>
  </r>
  <r>
    <x v="1"/>
    <x v="0"/>
    <n v="20"/>
    <n v="2020"/>
    <x v="0"/>
    <n v="9"/>
    <x v="1"/>
    <s v="Yes"/>
    <x v="2"/>
    <n v="1"/>
    <x v="0"/>
    <x v="0"/>
    <s v="Yes"/>
    <x v="1"/>
    <x v="2"/>
    <x v="37"/>
    <s v="No"/>
    <s v="No"/>
    <x v="1"/>
    <s v="Networking"/>
    <n v="2"/>
    <x v="6"/>
    <s v="Single"/>
    <x v="1"/>
    <s v="Bachelor"/>
    <x v="0"/>
    <n v="1.45"/>
    <s v="No"/>
    <n v="2.5299999999999998"/>
    <n v="117"/>
    <n v="66000"/>
    <x v="0"/>
    <x v="0"/>
    <n v="30"/>
  </r>
  <r>
    <x v="3"/>
    <x v="1"/>
    <n v="20"/>
    <n v="2021"/>
    <x v="0"/>
    <n v="5"/>
    <x v="1"/>
    <s v="Yes"/>
    <x v="5"/>
    <n v="2"/>
    <x v="1"/>
    <x v="0"/>
    <s v="Yes"/>
    <x v="1"/>
    <x v="0"/>
    <x v="5"/>
    <s v="No"/>
    <s v="No"/>
    <x v="1"/>
    <s v="Software Development"/>
    <n v="1"/>
    <x v="2"/>
    <s v="Single"/>
    <x v="0"/>
    <s v="Bachelor"/>
    <x v="1"/>
    <n v="1.76"/>
    <s v="No"/>
    <n v="2.82"/>
    <n v="62"/>
    <n v="66000"/>
    <x v="0"/>
    <x v="0"/>
    <n v="55"/>
  </r>
  <r>
    <x v="3"/>
    <x v="1"/>
    <n v="20"/>
    <n v="2021"/>
    <x v="0"/>
    <n v="5"/>
    <x v="0"/>
    <s v="Yes"/>
    <x v="3"/>
    <n v="3"/>
    <x v="0"/>
    <x v="0"/>
    <s v="Yes"/>
    <x v="1"/>
    <x v="0"/>
    <x v="5"/>
    <s v="No"/>
    <s v="No"/>
    <x v="0"/>
    <s v="Software Development"/>
    <n v="2"/>
    <x v="2"/>
    <s v="Single"/>
    <x v="0"/>
    <s v="Family"/>
    <x v="1"/>
    <n v="2.66"/>
    <s v="No"/>
    <n v="3.79"/>
    <n v="58"/>
    <n v="67000"/>
    <x v="1"/>
    <x v="0"/>
    <n v="61"/>
  </r>
  <r>
    <x v="2"/>
    <x v="1"/>
    <n v="25"/>
    <n v="2019"/>
    <x v="0"/>
    <n v="11"/>
    <x v="1"/>
    <s v="Yes"/>
    <x v="2"/>
    <n v="2"/>
    <x v="0"/>
    <x v="0"/>
    <s v="Yes"/>
    <x v="2"/>
    <x v="0"/>
    <x v="59"/>
    <s v="Yes"/>
    <s v="No"/>
    <x v="0"/>
    <s v="Networking"/>
    <n v="2"/>
    <x v="6"/>
    <s v="Relationship"/>
    <x v="0"/>
    <s v="Bachelor"/>
    <x v="0"/>
    <n v="2.5499999999999998"/>
    <s v="No"/>
    <n v="3.6"/>
    <n v="143"/>
    <n v="68000"/>
    <x v="1"/>
    <x v="0"/>
    <n v="29.2"/>
  </r>
  <r>
    <x v="2"/>
    <x v="1"/>
    <n v="21"/>
    <n v="2020"/>
    <x v="0"/>
    <n v="11"/>
    <x v="1"/>
    <s v="Yes"/>
    <x v="5"/>
    <n v="2"/>
    <x v="0"/>
    <x v="0"/>
    <s v="Yes"/>
    <x v="1"/>
    <x v="0"/>
    <x v="17"/>
    <s v="No"/>
    <s v="No"/>
    <x v="0"/>
    <s v="Networking"/>
    <n v="4"/>
    <x v="6"/>
    <s v="Married"/>
    <x v="1"/>
    <s v="Family"/>
    <x v="0"/>
    <n v="2.71"/>
    <s v="No"/>
    <n v="3.78"/>
    <n v="143"/>
    <n v="68000"/>
    <x v="1"/>
    <x v="0"/>
    <n v="58.800000000000004"/>
  </r>
  <r>
    <x v="3"/>
    <x v="1"/>
    <n v="20"/>
    <n v="2021"/>
    <x v="0"/>
    <n v="5"/>
    <x v="1"/>
    <s v="Yes"/>
    <x v="0"/>
    <n v="1"/>
    <x v="0"/>
    <x v="0"/>
    <s v="Yes"/>
    <x v="7"/>
    <x v="0"/>
    <x v="3"/>
    <s v="No"/>
    <s v="No"/>
    <x v="1"/>
    <s v="Software Development"/>
    <n v="3"/>
    <x v="7"/>
    <s v="Relationship"/>
    <x v="1"/>
    <s v="Bachelor"/>
    <x v="1"/>
    <n v="2.2200000000000002"/>
    <s v="No"/>
    <n v="3.19"/>
    <n v="87"/>
    <n v="68000"/>
    <x v="0"/>
    <x v="0"/>
    <n v="53.2"/>
  </r>
  <r>
    <x v="1"/>
    <x v="0"/>
    <n v="21"/>
    <n v="2021"/>
    <x v="0"/>
    <n v="4"/>
    <x v="1"/>
    <s v="Yes"/>
    <x v="1"/>
    <n v="1"/>
    <x v="1"/>
    <x v="0"/>
    <s v="Yes"/>
    <x v="6"/>
    <x v="0"/>
    <x v="2"/>
    <s v="Yes"/>
    <s v="Yes"/>
    <x v="1"/>
    <s v="Machine Learning"/>
    <n v="1"/>
    <x v="2"/>
    <s v="Relationship"/>
    <x v="0"/>
    <s v="Bachelor"/>
    <x v="0"/>
    <n v="1.95"/>
    <s v="No"/>
    <n v="2.88"/>
    <n v="43"/>
    <n v="68000"/>
    <x v="0"/>
    <x v="0"/>
    <n v="38"/>
  </r>
  <r>
    <x v="1"/>
    <x v="1"/>
    <n v="22"/>
    <n v="2018"/>
    <x v="0"/>
    <n v="6"/>
    <x v="0"/>
    <s v="Yes"/>
    <x v="2"/>
    <n v="2"/>
    <x v="1"/>
    <x v="0"/>
    <s v="Yes"/>
    <x v="3"/>
    <x v="0"/>
    <x v="5"/>
    <s v="No"/>
    <s v="No"/>
    <x v="0"/>
    <s v="Software Development"/>
    <n v="1"/>
    <x v="0"/>
    <s v="Single"/>
    <x v="1"/>
    <s v="Family"/>
    <x v="0"/>
    <n v="2.77"/>
    <s v="No"/>
    <n v="3.56"/>
    <n v="56"/>
    <n v="70000"/>
    <x v="1"/>
    <x v="0"/>
    <n v="49"/>
  </r>
  <r>
    <x v="4"/>
    <x v="0"/>
    <n v="21"/>
    <n v="2018"/>
    <x v="0"/>
    <n v="8"/>
    <x v="0"/>
    <s v="Yes"/>
    <x v="7"/>
    <n v="2"/>
    <x v="0"/>
    <x v="0"/>
    <s v="Yes"/>
    <x v="2"/>
    <x v="2"/>
    <x v="5"/>
    <s v="No"/>
    <s v="No"/>
    <x v="1"/>
    <s v="Machine Learning"/>
    <n v="2"/>
    <x v="6"/>
    <s v="Single"/>
    <x v="0"/>
    <s v="Bachelor"/>
    <x v="0"/>
    <n v="2.75"/>
    <s v="No"/>
    <n v="3.93"/>
    <n v="125"/>
    <n v="70000"/>
    <x v="1"/>
    <x v="0"/>
    <n v="67"/>
  </r>
  <r>
    <x v="1"/>
    <x v="1"/>
    <n v="21"/>
    <n v="2020"/>
    <x v="0"/>
    <n v="6"/>
    <x v="0"/>
    <s v="Yes"/>
    <x v="4"/>
    <n v="2"/>
    <x v="0"/>
    <x v="0"/>
    <s v="Yes"/>
    <x v="5"/>
    <x v="0"/>
    <x v="5"/>
    <s v="No"/>
    <s v="No"/>
    <x v="0"/>
    <s v="Networking"/>
    <n v="6"/>
    <x v="2"/>
    <s v="Single"/>
    <x v="1"/>
    <s v="Bachelor"/>
    <x v="0"/>
    <n v="2.61"/>
    <s v="No"/>
    <n v="3.78"/>
    <n v="35"/>
    <n v="70000"/>
    <x v="1"/>
    <x v="0"/>
    <n v="76"/>
  </r>
  <r>
    <x v="2"/>
    <x v="1"/>
    <n v="22"/>
    <n v="2020"/>
    <x v="0"/>
    <n v="7"/>
    <x v="1"/>
    <s v="Yes"/>
    <x v="4"/>
    <n v="2"/>
    <x v="1"/>
    <x v="0"/>
    <s v="Yes"/>
    <x v="4"/>
    <x v="2"/>
    <x v="58"/>
    <s v="Yes"/>
    <s v="No"/>
    <x v="0"/>
    <s v="Cyber security"/>
    <n v="1"/>
    <x v="7"/>
    <s v="Relationship"/>
    <x v="1"/>
    <s v="Family"/>
    <x v="0"/>
    <n v="1.35"/>
    <s v="No"/>
    <n v="2.65"/>
    <n v="105"/>
    <n v="70000"/>
    <x v="0"/>
    <x v="0"/>
    <n v="33"/>
  </r>
  <r>
    <x v="2"/>
    <x v="0"/>
    <n v="20"/>
    <n v="2020"/>
    <x v="0"/>
    <n v="10"/>
    <x v="1"/>
    <s v="Yes"/>
    <x v="1"/>
    <n v="3"/>
    <x v="0"/>
    <x v="0"/>
    <s v="Yes"/>
    <x v="2"/>
    <x v="2"/>
    <x v="17"/>
    <s v="Yes"/>
    <s v="No"/>
    <x v="1"/>
    <s v="Networking"/>
    <n v="1"/>
    <x v="6"/>
    <s v="Relationship"/>
    <x v="1"/>
    <s v="Bachelor"/>
    <x v="0"/>
    <n v="2.44"/>
    <s v="No"/>
    <n v="3.56"/>
    <n v="135"/>
    <n v="70000"/>
    <x v="1"/>
    <x v="0"/>
    <n v="40.800000000000004"/>
  </r>
  <r>
    <x v="3"/>
    <x v="1"/>
    <n v="20"/>
    <n v="2021"/>
    <x v="0"/>
    <n v="6"/>
    <x v="1"/>
    <s v="Yes"/>
    <x v="5"/>
    <n v="3"/>
    <x v="0"/>
    <x v="0"/>
    <s v="Yes"/>
    <x v="2"/>
    <x v="2"/>
    <x v="5"/>
    <s v="No"/>
    <s v="No"/>
    <x v="0"/>
    <s v="Software Development"/>
    <n v="1"/>
    <x v="2"/>
    <s v="Relationship"/>
    <x v="0"/>
    <s v="Bachelor"/>
    <x v="1"/>
    <n v="1.56"/>
    <s v="No"/>
    <n v="2.64"/>
    <n v="78"/>
    <n v="70000"/>
    <x v="0"/>
    <x v="0"/>
    <n v="55"/>
  </r>
  <r>
    <x v="3"/>
    <x v="1"/>
    <n v="20"/>
    <n v="2021"/>
    <x v="0"/>
    <n v="5"/>
    <x v="1"/>
    <s v="Yes"/>
    <x v="0"/>
    <n v="3"/>
    <x v="0"/>
    <x v="0"/>
    <s v="Yes"/>
    <x v="2"/>
    <x v="2"/>
    <x v="5"/>
    <s v="No"/>
    <s v="No"/>
    <x v="0"/>
    <s v="Networking"/>
    <n v="1"/>
    <x v="6"/>
    <s v="Relationship"/>
    <x v="1"/>
    <s v="Bachelor"/>
    <x v="0"/>
    <n v="1.76"/>
    <s v="No"/>
    <n v="2.84"/>
    <n v="58"/>
    <n v="70000"/>
    <x v="0"/>
    <x v="0"/>
    <n v="52"/>
  </r>
  <r>
    <x v="3"/>
    <x v="1"/>
    <n v="20"/>
    <n v="2020"/>
    <x v="0"/>
    <n v="4"/>
    <x v="1"/>
    <s v="Yes"/>
    <x v="3"/>
    <n v="4"/>
    <x v="0"/>
    <x v="0"/>
    <s v="Yes"/>
    <x v="5"/>
    <x v="0"/>
    <x v="7"/>
    <s v="No"/>
    <s v="No"/>
    <x v="0"/>
    <s v="Software Development"/>
    <n v="2"/>
    <x v="2"/>
    <s v="Relationship"/>
    <x v="0"/>
    <s v="Family"/>
    <x v="0"/>
    <n v="1.9"/>
    <s v="No"/>
    <n v="3.13"/>
    <n v="89"/>
    <n v="71000"/>
    <x v="0"/>
    <x v="0"/>
    <n v="49"/>
  </r>
  <r>
    <x v="1"/>
    <x v="0"/>
    <n v="21"/>
    <n v="2020"/>
    <x v="0"/>
    <n v="6"/>
    <x v="1"/>
    <s v="Yes"/>
    <x v="5"/>
    <n v="2"/>
    <x v="0"/>
    <x v="0"/>
    <s v="Yes"/>
    <x v="5"/>
    <x v="0"/>
    <x v="5"/>
    <s v="No"/>
    <s v="No"/>
    <x v="0"/>
    <s v="Software Development"/>
    <n v="3"/>
    <x v="7"/>
    <s v="Single"/>
    <x v="1"/>
    <s v="Family"/>
    <x v="0"/>
    <n v="1.99"/>
    <s v="No"/>
    <n v="3.05"/>
    <n v="79"/>
    <n v="71000"/>
    <x v="0"/>
    <x v="0"/>
    <n v="61"/>
  </r>
  <r>
    <x v="3"/>
    <x v="1"/>
    <n v="21"/>
    <n v="2021"/>
    <x v="0"/>
    <n v="7"/>
    <x v="1"/>
    <s v="Yes"/>
    <x v="1"/>
    <n v="2"/>
    <x v="0"/>
    <x v="0"/>
    <s v="Yes"/>
    <x v="2"/>
    <x v="0"/>
    <x v="41"/>
    <s v="Yes"/>
    <s v="No"/>
    <x v="1"/>
    <s v="Artificial Intelligence"/>
    <n v="2"/>
    <x v="0"/>
    <s v="Relationship"/>
    <x v="1"/>
    <s v="Family"/>
    <x v="0"/>
    <n v="2.4300000000000002"/>
    <s v="No"/>
    <n v="3.55"/>
    <n v="107"/>
    <n v="71000"/>
    <x v="1"/>
    <x v="0"/>
    <n v="31.400000000000002"/>
  </r>
  <r>
    <x v="4"/>
    <x v="1"/>
    <n v="23"/>
    <n v="2019"/>
    <x v="0"/>
    <n v="10"/>
    <x v="1"/>
    <s v="Yes"/>
    <x v="3"/>
    <n v="1"/>
    <x v="0"/>
    <x v="0"/>
    <s v="Yes"/>
    <x v="2"/>
    <x v="1"/>
    <x v="30"/>
    <s v="No"/>
    <s v="No"/>
    <x v="1"/>
    <s v="Software Development"/>
    <n v="2"/>
    <x v="2"/>
    <s v="Single"/>
    <x v="1"/>
    <s v="Bachelor"/>
    <x v="1"/>
    <n v="1.67"/>
    <s v="No"/>
    <n v="2.74"/>
    <n v="137"/>
    <n v="74000"/>
    <x v="0"/>
    <x v="0"/>
    <n v="57.4"/>
  </r>
  <r>
    <x v="2"/>
    <x v="1"/>
    <n v="20"/>
    <n v="2020"/>
    <x v="0"/>
    <n v="11"/>
    <x v="0"/>
    <s v="Yes"/>
    <x v="5"/>
    <n v="1"/>
    <x v="0"/>
    <x v="0"/>
    <s v="Yes"/>
    <x v="2"/>
    <x v="0"/>
    <x v="5"/>
    <s v="Yes"/>
    <s v="No"/>
    <x v="1"/>
    <s v="Networking"/>
    <n v="1"/>
    <x v="6"/>
    <s v="Married"/>
    <x v="1"/>
    <s v="Family"/>
    <x v="0"/>
    <n v="2.78"/>
    <s v="No"/>
    <n v="3.83"/>
    <n v="143"/>
    <n v="74000"/>
    <x v="1"/>
    <x v="0"/>
    <n v="55"/>
  </r>
  <r>
    <x v="2"/>
    <x v="0"/>
    <n v="22"/>
    <n v="2019"/>
    <x v="0"/>
    <n v="9"/>
    <x v="0"/>
    <s v="Yes"/>
    <x v="0"/>
    <n v="4"/>
    <x v="0"/>
    <x v="0"/>
    <s v="Yes"/>
    <x v="5"/>
    <x v="2"/>
    <x v="5"/>
    <s v="No"/>
    <s v="No"/>
    <x v="1"/>
    <s v="Software Development"/>
    <n v="3"/>
    <x v="7"/>
    <s v="Single"/>
    <x v="1"/>
    <s v="Bachelor"/>
    <x v="1"/>
    <n v="1.81"/>
    <s v="No"/>
    <n v="2.95"/>
    <n v="137"/>
    <n v="75000"/>
    <x v="0"/>
    <x v="0"/>
    <n v="58"/>
  </r>
  <r>
    <x v="2"/>
    <x v="0"/>
    <n v="20"/>
    <n v="2020"/>
    <x v="0"/>
    <n v="11"/>
    <x v="0"/>
    <s v="Yes"/>
    <x v="7"/>
    <n v="4"/>
    <x v="0"/>
    <x v="0"/>
    <s v="Yes"/>
    <x v="2"/>
    <x v="2"/>
    <x v="5"/>
    <s v="No"/>
    <s v="No"/>
    <x v="1"/>
    <s v="Cyber security"/>
    <n v="3"/>
    <x v="0"/>
    <s v="Single"/>
    <x v="0"/>
    <s v="Family"/>
    <x v="0"/>
    <n v="2.91"/>
    <s v="No"/>
    <n v="3.97"/>
    <n v="139"/>
    <n v="75000"/>
    <x v="1"/>
    <x v="0"/>
    <n v="70"/>
  </r>
  <r>
    <x v="11"/>
    <x v="0"/>
    <n v="19"/>
    <n v="2022"/>
    <x v="0"/>
    <n v="2"/>
    <x v="1"/>
    <s v="Yes"/>
    <x v="0"/>
    <n v="1"/>
    <x v="1"/>
    <x v="0"/>
    <s v="Yes"/>
    <x v="0"/>
    <x v="1"/>
    <x v="5"/>
    <s v="No"/>
    <s v="No"/>
    <x v="1"/>
    <s v="Cyber security"/>
    <n v="1"/>
    <x v="7"/>
    <s v="Single"/>
    <x v="1"/>
    <s v="Bachelor"/>
    <x v="0"/>
    <n v="2.65"/>
    <s v="No"/>
    <n v="3.57"/>
    <n v="27"/>
    <n v="75000"/>
    <x v="1"/>
    <x v="0"/>
    <n v="52"/>
  </r>
  <r>
    <x v="4"/>
    <x v="0"/>
    <n v="24"/>
    <n v="2018"/>
    <x v="0"/>
    <n v="11"/>
    <x v="1"/>
    <s v="Yes"/>
    <x v="5"/>
    <n v="2"/>
    <x v="1"/>
    <x v="0"/>
    <s v="Yes"/>
    <x v="5"/>
    <x v="0"/>
    <x v="22"/>
    <s v="No"/>
    <s v="No"/>
    <x v="0"/>
    <s v="Cyber security"/>
    <n v="2"/>
    <x v="0"/>
    <s v="Single"/>
    <x v="1"/>
    <s v="Family"/>
    <x v="1"/>
    <n v="2.23"/>
    <s v="No"/>
    <n v="3.65"/>
    <n v="145"/>
    <n v="76000"/>
    <x v="1"/>
    <x v="0"/>
    <n v="48.8"/>
  </r>
  <r>
    <x v="2"/>
    <x v="1"/>
    <n v="21"/>
    <n v="2019"/>
    <x v="0"/>
    <n v="7"/>
    <x v="1"/>
    <s v="Yes"/>
    <x v="0"/>
    <n v="1"/>
    <x v="1"/>
    <x v="0"/>
    <s v="Yes"/>
    <x v="5"/>
    <x v="1"/>
    <x v="31"/>
    <s v="No"/>
    <s v="No"/>
    <x v="1"/>
    <s v="Software Development"/>
    <n v="3"/>
    <x v="2"/>
    <s v="Single"/>
    <x v="1"/>
    <s v="Family"/>
    <x v="1"/>
    <n v="2.13"/>
    <s v="No"/>
    <n v="3.28"/>
    <n v="98"/>
    <n v="77000"/>
    <x v="0"/>
    <x v="0"/>
    <n v="52.4"/>
  </r>
  <r>
    <x v="4"/>
    <x v="0"/>
    <n v="23"/>
    <n v="2019"/>
    <x v="0"/>
    <n v="11"/>
    <x v="0"/>
    <s v="Yes"/>
    <x v="3"/>
    <n v="3"/>
    <x v="0"/>
    <x v="0"/>
    <s v="Yes"/>
    <x v="0"/>
    <x v="0"/>
    <x v="5"/>
    <s v="No"/>
    <s v="No"/>
    <x v="0"/>
    <s v="Machine Learning"/>
    <n v="2"/>
    <x v="2"/>
    <s v="Single"/>
    <x v="0"/>
    <s v="Family"/>
    <x v="0"/>
    <n v="2.66"/>
    <s v="No"/>
    <n v="3.85"/>
    <n v="145"/>
    <n v="77000"/>
    <x v="1"/>
    <x v="0"/>
    <n v="61"/>
  </r>
  <r>
    <x v="2"/>
    <x v="1"/>
    <n v="20"/>
    <n v="2020"/>
    <x v="0"/>
    <n v="11"/>
    <x v="1"/>
    <s v="Yes"/>
    <x v="0"/>
    <n v="3"/>
    <x v="1"/>
    <x v="0"/>
    <s v="No"/>
    <x v="1"/>
    <x v="0"/>
    <x v="5"/>
    <s v="No"/>
    <s v="No"/>
    <x v="0"/>
    <s v="Software Development"/>
    <n v="4"/>
    <x v="2"/>
    <s v="Single"/>
    <x v="0"/>
    <s v="Family"/>
    <x v="0"/>
    <n v="2.87"/>
    <s v="No"/>
    <n v="3.9"/>
    <n v="143"/>
    <n v="77000"/>
    <x v="1"/>
    <x v="0"/>
    <n v="61"/>
  </r>
  <r>
    <x v="3"/>
    <x v="1"/>
    <n v="20"/>
    <n v="2021"/>
    <x v="0"/>
    <n v="7"/>
    <x v="1"/>
    <s v="Yes"/>
    <x v="2"/>
    <n v="2"/>
    <x v="1"/>
    <x v="0"/>
    <s v="Yes"/>
    <x v="1"/>
    <x v="0"/>
    <x v="50"/>
    <s v="No"/>
    <s v="No"/>
    <x v="0"/>
    <s v="Networking"/>
    <n v="3"/>
    <x v="6"/>
    <s v="Relationship"/>
    <x v="0"/>
    <s v="Bachelor"/>
    <x v="1"/>
    <n v="2.65"/>
    <s v="No"/>
    <n v="3.75"/>
    <n v="95"/>
    <n v="77000"/>
    <x v="1"/>
    <x v="0"/>
    <n v="41.8"/>
  </r>
  <r>
    <x v="1"/>
    <x v="1"/>
    <n v="22"/>
    <n v="2021"/>
    <x v="0"/>
    <n v="10"/>
    <x v="1"/>
    <s v="Yes"/>
    <x v="2"/>
    <n v="3"/>
    <x v="1"/>
    <x v="0"/>
    <s v="No"/>
    <x v="3"/>
    <x v="0"/>
    <x v="5"/>
    <s v="No"/>
    <s v="No"/>
    <x v="1"/>
    <s v="Software Development"/>
    <n v="2"/>
    <x v="2"/>
    <s v="Relationship"/>
    <x v="0"/>
    <s v="Family"/>
    <x v="0"/>
    <n v="1.38"/>
    <s v="No"/>
    <n v="2.5099999999999998"/>
    <n v="134"/>
    <n v="77000"/>
    <x v="0"/>
    <x v="0"/>
    <n v="52"/>
  </r>
  <r>
    <x v="4"/>
    <x v="0"/>
    <n v="25"/>
    <n v="2018"/>
    <x v="0"/>
    <n v="11"/>
    <x v="0"/>
    <s v="Yes"/>
    <x v="3"/>
    <n v="3"/>
    <x v="1"/>
    <x v="0"/>
    <s v="No"/>
    <x v="10"/>
    <x v="0"/>
    <x v="5"/>
    <s v="No"/>
    <s v="No"/>
    <x v="0"/>
    <s v="Machine Learning"/>
    <n v="2"/>
    <x v="7"/>
    <s v="Married"/>
    <x v="1"/>
    <s v="Family"/>
    <x v="0"/>
    <n v="2.19"/>
    <s v="No"/>
    <n v="3.45"/>
    <n v="103"/>
    <n v="78000"/>
    <x v="0"/>
    <x v="0"/>
    <n v="61"/>
  </r>
  <r>
    <x v="2"/>
    <x v="1"/>
    <n v="20"/>
    <n v="2019"/>
    <x v="0"/>
    <n v="8"/>
    <x v="1"/>
    <s v="Yes"/>
    <x v="0"/>
    <n v="1"/>
    <x v="0"/>
    <x v="0"/>
    <s v="No"/>
    <x v="5"/>
    <x v="0"/>
    <x v="2"/>
    <s v="No"/>
    <s v="No"/>
    <x v="1"/>
    <s v="Software Development"/>
    <n v="3"/>
    <x v="0"/>
    <s v="Single"/>
    <x v="1"/>
    <s v="Family"/>
    <x v="0"/>
    <n v="2.11"/>
    <s v="No"/>
    <n v="3.46"/>
    <n v="101"/>
    <n v="78000"/>
    <x v="0"/>
    <x v="0"/>
    <n v="50"/>
  </r>
  <r>
    <x v="2"/>
    <x v="1"/>
    <n v="25"/>
    <n v="2019"/>
    <x v="0"/>
    <n v="11"/>
    <x v="1"/>
    <s v="Yes"/>
    <x v="1"/>
    <n v="2"/>
    <x v="0"/>
    <x v="0"/>
    <s v="Yes"/>
    <x v="2"/>
    <x v="1"/>
    <x v="50"/>
    <s v="Yes"/>
    <s v="No"/>
    <x v="1"/>
    <s v="Machine Learning"/>
    <n v="4"/>
    <x v="0"/>
    <s v="Married"/>
    <x v="0"/>
    <s v="Family"/>
    <x v="0"/>
    <n v="1.78"/>
    <s v="No"/>
    <n v="2.8"/>
    <n v="143"/>
    <n v="78000"/>
    <x v="0"/>
    <x v="0"/>
    <n v="41.8"/>
  </r>
  <r>
    <x v="1"/>
    <x v="1"/>
    <n v="19"/>
    <n v="2021"/>
    <x v="0"/>
    <n v="7"/>
    <x v="1"/>
    <s v="Yes"/>
    <x v="0"/>
    <n v="2"/>
    <x v="0"/>
    <x v="0"/>
    <s v="Yes"/>
    <x v="0"/>
    <x v="0"/>
    <x v="5"/>
    <s v="No"/>
    <s v="No"/>
    <x v="1"/>
    <s v="Artificial Intelligence"/>
    <n v="2"/>
    <x v="6"/>
    <s v="Single"/>
    <x v="1"/>
    <s v="Bachelor"/>
    <x v="0"/>
    <n v="2.4500000000000002"/>
    <s v="No"/>
    <n v="3.76"/>
    <n v="100"/>
    <n v="78000"/>
    <x v="1"/>
    <x v="0"/>
    <n v="55"/>
  </r>
  <r>
    <x v="1"/>
    <x v="0"/>
    <n v="20"/>
    <n v="2020"/>
    <x v="0"/>
    <n v="10"/>
    <x v="1"/>
    <s v="Yes"/>
    <x v="2"/>
    <n v="3"/>
    <x v="0"/>
    <x v="0"/>
    <s v="Yes"/>
    <x v="2"/>
    <x v="0"/>
    <x v="5"/>
    <s v="Yes"/>
    <s v="No"/>
    <x v="1"/>
    <s v="Networking"/>
    <n v="4"/>
    <x v="6"/>
    <s v="Single"/>
    <x v="0"/>
    <s v="Family"/>
    <x v="0"/>
    <n v="2.67"/>
    <s v="No"/>
    <n v="3.7"/>
    <n v="132"/>
    <n v="79000"/>
    <x v="1"/>
    <x v="0"/>
    <n v="58"/>
  </r>
  <r>
    <x v="1"/>
    <x v="0"/>
    <n v="21"/>
    <n v="2021"/>
    <x v="0"/>
    <n v="9"/>
    <x v="0"/>
    <s v="Yes"/>
    <x v="0"/>
    <n v="3"/>
    <x v="1"/>
    <x v="0"/>
    <s v="Yes"/>
    <x v="2"/>
    <x v="1"/>
    <x v="5"/>
    <s v="Yes"/>
    <s v="No"/>
    <x v="0"/>
    <s v="Software Development"/>
    <n v="2"/>
    <x v="0"/>
    <s v="Relationship"/>
    <x v="0"/>
    <s v="Family"/>
    <x v="0"/>
    <n v="2.61"/>
    <s v="No"/>
    <n v="3.77"/>
    <n v="123"/>
    <n v="79000"/>
    <x v="1"/>
    <x v="0"/>
    <n v="55"/>
  </r>
  <r>
    <x v="2"/>
    <x v="1"/>
    <n v="25"/>
    <n v="2018"/>
    <x v="0"/>
    <n v="12"/>
    <x v="0"/>
    <s v="Yes"/>
    <x v="4"/>
    <n v="2"/>
    <x v="1"/>
    <x v="0"/>
    <s v="Yes"/>
    <x v="5"/>
    <x v="0"/>
    <x v="2"/>
    <s v="No"/>
    <s v="No"/>
    <x v="0"/>
    <s v="Software Development"/>
    <n v="3"/>
    <x v="2"/>
    <s v="Married"/>
    <x v="1"/>
    <s v="Family"/>
    <x v="0"/>
    <n v="1.61"/>
    <s v="No"/>
    <n v="2.81"/>
    <n v="133"/>
    <n v="80000"/>
    <x v="0"/>
    <x v="0"/>
    <n v="59"/>
  </r>
  <r>
    <x v="2"/>
    <x v="0"/>
    <n v="23"/>
    <n v="2019"/>
    <x v="0"/>
    <n v="9"/>
    <x v="1"/>
    <s v="Yes"/>
    <x v="1"/>
    <n v="1"/>
    <x v="0"/>
    <x v="0"/>
    <s v="Yes"/>
    <x v="0"/>
    <x v="1"/>
    <x v="5"/>
    <s v="No"/>
    <s v="No"/>
    <x v="0"/>
    <s v="Networking"/>
    <n v="1"/>
    <x v="6"/>
    <s v="Married"/>
    <x v="1"/>
    <s v="Bachelor"/>
    <x v="0"/>
    <n v="2.89"/>
    <s v="No"/>
    <n v="3.89"/>
    <n v="102"/>
    <n v="80000"/>
    <x v="1"/>
    <x v="0"/>
    <n v="46"/>
  </r>
  <r>
    <x v="1"/>
    <x v="1"/>
    <n v="20"/>
    <n v="2020"/>
    <x v="0"/>
    <n v="9"/>
    <x v="1"/>
    <s v="Yes"/>
    <x v="2"/>
    <n v="2"/>
    <x v="0"/>
    <x v="0"/>
    <s v="Yes"/>
    <x v="1"/>
    <x v="1"/>
    <x v="5"/>
    <s v="Yes"/>
    <s v="No"/>
    <x v="1"/>
    <s v="Cyber security"/>
    <n v="4"/>
    <x v="0"/>
    <s v="Married"/>
    <x v="0"/>
    <s v="Family"/>
    <x v="0"/>
    <n v="1.68"/>
    <s v="No"/>
    <n v="2.71"/>
    <n v="101"/>
    <n v="80000"/>
    <x v="0"/>
    <x v="0"/>
    <n v="58"/>
  </r>
  <r>
    <x v="2"/>
    <x v="0"/>
    <n v="20"/>
    <n v="2020"/>
    <x v="0"/>
    <n v="11"/>
    <x v="1"/>
    <s v="Yes"/>
    <x v="1"/>
    <n v="1"/>
    <x v="0"/>
    <x v="0"/>
    <s v="Yes"/>
    <x v="1"/>
    <x v="2"/>
    <x v="5"/>
    <s v="No"/>
    <s v="No"/>
    <x v="0"/>
    <s v="Cyber security"/>
    <n v="2"/>
    <x v="0"/>
    <s v="Relationship"/>
    <x v="0"/>
    <s v="Bachelor"/>
    <x v="0"/>
    <n v="1.63"/>
    <s v="No"/>
    <n v="2.7"/>
    <n v="143"/>
    <n v="80000"/>
    <x v="0"/>
    <x v="0"/>
    <n v="49"/>
  </r>
  <r>
    <x v="1"/>
    <x v="0"/>
    <n v="20"/>
    <n v="2021"/>
    <x v="0"/>
    <n v="7"/>
    <x v="1"/>
    <s v="Yes"/>
    <x v="2"/>
    <n v="1"/>
    <x v="0"/>
    <x v="0"/>
    <s v="Yes"/>
    <x v="2"/>
    <x v="2"/>
    <x v="4"/>
    <s v="No"/>
    <s v="No"/>
    <x v="0"/>
    <s v="Machine Learning"/>
    <n v="3"/>
    <x v="2"/>
    <s v="Relationship"/>
    <x v="1"/>
    <s v="Family"/>
    <x v="0"/>
    <n v="1.56"/>
    <s v="No"/>
    <n v="2.64"/>
    <n v="97"/>
    <n v="80000"/>
    <x v="0"/>
    <x v="0"/>
    <n v="53"/>
  </r>
  <r>
    <x v="2"/>
    <x v="0"/>
    <n v="20"/>
    <n v="2020"/>
    <x v="0"/>
    <n v="11"/>
    <x v="1"/>
    <s v="Yes"/>
    <x v="5"/>
    <n v="1"/>
    <x v="0"/>
    <x v="0"/>
    <s v="Yes"/>
    <x v="2"/>
    <x v="0"/>
    <x v="5"/>
    <s v="Yes"/>
    <s v="No"/>
    <x v="0"/>
    <s v="Artificial Intelligence"/>
    <n v="4"/>
    <x v="0"/>
    <s v="Relationship"/>
    <x v="0"/>
    <s v="Bachelor"/>
    <x v="0"/>
    <n v="2.75"/>
    <s v="No"/>
    <n v="3.8"/>
    <n v="143"/>
    <n v="81000"/>
    <x v="1"/>
    <x v="0"/>
    <n v="64"/>
  </r>
  <r>
    <x v="2"/>
    <x v="0"/>
    <n v="22"/>
    <n v="2018"/>
    <x v="0"/>
    <n v="7"/>
    <x v="0"/>
    <s v="Yes"/>
    <x v="4"/>
    <n v="3"/>
    <x v="0"/>
    <x v="0"/>
    <s v="No"/>
    <x v="1"/>
    <x v="2"/>
    <x v="5"/>
    <s v="No"/>
    <s v="No"/>
    <x v="1"/>
    <s v="Software Development"/>
    <n v="3"/>
    <x v="2"/>
    <s v="Single"/>
    <x v="1"/>
    <s v="Family"/>
    <x v="0"/>
    <n v="2.56"/>
    <s v="No"/>
    <n v="3.95"/>
    <n v="115"/>
    <n v="85000"/>
    <x v="1"/>
    <x v="0"/>
    <n v="67"/>
  </r>
  <r>
    <x v="2"/>
    <x v="1"/>
    <n v="22"/>
    <n v="2020"/>
    <x v="0"/>
    <n v="11"/>
    <x v="1"/>
    <s v="Yes"/>
    <x v="2"/>
    <n v="3"/>
    <x v="0"/>
    <x v="0"/>
    <s v="Yes"/>
    <x v="3"/>
    <x v="0"/>
    <x v="5"/>
    <s v="Yes"/>
    <s v="No"/>
    <x v="1"/>
    <s v="Software Development"/>
    <n v="4"/>
    <x v="2"/>
    <s v="Married"/>
    <x v="1"/>
    <s v="Family"/>
    <x v="0"/>
    <n v="2.56"/>
    <s v="No"/>
    <n v="3.66"/>
    <n v="143"/>
    <n v="86000"/>
    <x v="1"/>
    <x v="0"/>
    <n v="58"/>
  </r>
  <r>
    <x v="4"/>
    <x v="0"/>
    <n v="24"/>
    <n v="2018"/>
    <x v="0"/>
    <n v="11"/>
    <x v="1"/>
    <s v="Yes"/>
    <x v="3"/>
    <n v="2"/>
    <x v="0"/>
    <x v="0"/>
    <s v="Yes"/>
    <x v="1"/>
    <x v="0"/>
    <x v="44"/>
    <s v="Yes"/>
    <s v="No"/>
    <x v="1"/>
    <s v="Networking"/>
    <n v="4"/>
    <x v="6"/>
    <s v="Single"/>
    <x v="0"/>
    <s v="Bachelor"/>
    <x v="0"/>
    <n v="1.76"/>
    <s v="No"/>
    <n v="2.89"/>
    <n v="143"/>
    <n v="87000"/>
    <x v="0"/>
    <x v="0"/>
    <n v="62.6"/>
  </r>
  <r>
    <x v="2"/>
    <x v="0"/>
    <n v="23"/>
    <n v="2019"/>
    <x v="0"/>
    <n v="10"/>
    <x v="1"/>
    <s v="Yes"/>
    <x v="2"/>
    <n v="2"/>
    <x v="0"/>
    <x v="0"/>
    <s v="Yes"/>
    <x v="1"/>
    <x v="0"/>
    <x v="45"/>
    <s v="Yes"/>
    <s v="No"/>
    <x v="1"/>
    <s v="Networking"/>
    <n v="1"/>
    <x v="6"/>
    <s v="Single"/>
    <x v="0"/>
    <s v="Bachelor"/>
    <x v="0"/>
    <n v="2.87"/>
    <s v="No"/>
    <n v="3.91"/>
    <n v="139"/>
    <n v="88000"/>
    <x v="1"/>
    <x v="0"/>
    <n v="40.6"/>
  </r>
  <r>
    <x v="3"/>
    <x v="0"/>
    <n v="20"/>
    <n v="2021"/>
    <x v="0"/>
    <n v="7"/>
    <x v="1"/>
    <s v="Yes"/>
    <x v="0"/>
    <n v="1"/>
    <x v="0"/>
    <x v="0"/>
    <s v="Yes"/>
    <x v="2"/>
    <x v="1"/>
    <x v="14"/>
    <s v="No"/>
    <s v="No"/>
    <x v="1"/>
    <s v="Artificial Intelligence"/>
    <n v="4"/>
    <x v="0"/>
    <s v="Relationship"/>
    <x v="0"/>
    <s v="Bachelor"/>
    <x v="0"/>
    <n v="1.56"/>
    <s v="No"/>
    <n v="2.63"/>
    <n v="88"/>
    <n v="88000"/>
    <x v="0"/>
    <x v="0"/>
    <n v="41"/>
  </r>
  <r>
    <x v="4"/>
    <x v="0"/>
    <n v="21"/>
    <n v="2018"/>
    <x v="0"/>
    <n v="11"/>
    <x v="0"/>
    <s v="Yes"/>
    <x v="2"/>
    <n v="1"/>
    <x v="0"/>
    <x v="0"/>
    <s v="Yes"/>
    <x v="4"/>
    <x v="0"/>
    <x v="5"/>
    <s v="No"/>
    <s v="No"/>
    <x v="0"/>
    <s v="Machine Learning"/>
    <n v="2"/>
    <x v="0"/>
    <s v="Relationship"/>
    <x v="0"/>
    <s v="Bachelor"/>
    <x v="1"/>
    <n v="2.57"/>
    <s v="No"/>
    <n v="3.88"/>
    <n v="145"/>
    <n v="89000"/>
    <x v="1"/>
    <x v="0"/>
    <n v="52"/>
  </r>
  <r>
    <x v="4"/>
    <x v="0"/>
    <n v="25"/>
    <n v="2018"/>
    <x v="0"/>
    <n v="11"/>
    <x v="1"/>
    <s v="Yes"/>
    <x v="5"/>
    <n v="2"/>
    <x v="1"/>
    <x v="0"/>
    <s v="Yes"/>
    <x v="1"/>
    <x v="2"/>
    <x v="64"/>
    <s v="No"/>
    <s v="No"/>
    <x v="1"/>
    <s v="Artificial Intelligence"/>
    <n v="2"/>
    <x v="0"/>
    <s v="Single"/>
    <x v="0"/>
    <s v="Family"/>
    <x v="0"/>
    <n v="1.5"/>
    <s v="No"/>
    <n v="2.63"/>
    <n v="143"/>
    <n v="89000"/>
    <x v="0"/>
    <x v="0"/>
    <n v="50.4"/>
  </r>
  <r>
    <x v="1"/>
    <x v="1"/>
    <n v="20"/>
    <n v="2020"/>
    <x v="0"/>
    <n v="10"/>
    <x v="1"/>
    <s v="Yes"/>
    <x v="0"/>
    <n v="3"/>
    <x v="0"/>
    <x v="0"/>
    <s v="Yes"/>
    <x v="3"/>
    <x v="0"/>
    <x v="5"/>
    <s v="No"/>
    <s v="No"/>
    <x v="1"/>
    <s v="Machine Learning"/>
    <n v="2"/>
    <x v="0"/>
    <s v="Single"/>
    <x v="1"/>
    <s v="Bachelor"/>
    <x v="0"/>
    <n v="2.5499999999999998"/>
    <s v="No"/>
    <n v="3.6"/>
    <n v="135"/>
    <n v="89000"/>
    <x v="1"/>
    <x v="0"/>
    <n v="55"/>
  </r>
  <r>
    <x v="3"/>
    <x v="1"/>
    <n v="19"/>
    <n v="2021"/>
    <x v="0"/>
    <n v="4"/>
    <x v="0"/>
    <s v="Yes"/>
    <x v="3"/>
    <n v="2"/>
    <x v="0"/>
    <x v="0"/>
    <s v="Yes"/>
    <x v="4"/>
    <x v="2"/>
    <x v="5"/>
    <s v="No"/>
    <s v="No"/>
    <x v="0"/>
    <s v="Machine Learning"/>
    <n v="2"/>
    <x v="6"/>
    <s v="Single"/>
    <x v="0"/>
    <s v="Family"/>
    <x v="0"/>
    <n v="2.56"/>
    <s v="No"/>
    <n v="3.89"/>
    <n v="29"/>
    <n v="89000"/>
    <x v="1"/>
    <x v="0"/>
    <n v="61"/>
  </r>
  <r>
    <x v="4"/>
    <x v="0"/>
    <n v="24"/>
    <n v="2019"/>
    <x v="0"/>
    <n v="11"/>
    <x v="0"/>
    <s v="Yes"/>
    <x v="4"/>
    <n v="3"/>
    <x v="1"/>
    <x v="0"/>
    <s v="No"/>
    <x v="2"/>
    <x v="2"/>
    <x v="5"/>
    <s v="No"/>
    <s v="No"/>
    <x v="0"/>
    <s v="Artificial Intelligence"/>
    <n v="1"/>
    <x v="6"/>
    <s v="Single"/>
    <x v="0"/>
    <s v="Family"/>
    <x v="0"/>
    <n v="2.87"/>
    <s v="No"/>
    <n v="3.94"/>
    <n v="143"/>
    <n v="90000"/>
    <x v="1"/>
    <x v="0"/>
    <n v="61"/>
  </r>
  <r>
    <x v="4"/>
    <x v="1"/>
    <n v="24"/>
    <n v="2019"/>
    <x v="0"/>
    <n v="11"/>
    <x v="1"/>
    <s v="No"/>
    <x v="1"/>
    <n v="2"/>
    <x v="0"/>
    <x v="0"/>
    <s v="No"/>
    <x v="0"/>
    <x v="2"/>
    <x v="5"/>
    <s v="No"/>
    <s v="No"/>
    <x v="0"/>
    <s v="Networking"/>
    <n v="2"/>
    <x v="6"/>
    <s v="Single"/>
    <x v="0"/>
    <s v="Bachelor"/>
    <x v="0"/>
    <n v="2.48"/>
    <s v="No"/>
    <n v="3.78"/>
    <n v="144"/>
    <n v="90000"/>
    <x v="1"/>
    <x v="0"/>
    <n v="49"/>
  </r>
  <r>
    <x v="1"/>
    <x v="0"/>
    <n v="24"/>
    <n v="2019"/>
    <x v="0"/>
    <n v="6"/>
    <x v="1"/>
    <s v="Yes"/>
    <x v="1"/>
    <n v="1"/>
    <x v="0"/>
    <x v="0"/>
    <s v="Yes"/>
    <x v="9"/>
    <x v="2"/>
    <x v="0"/>
    <s v="No"/>
    <s v="No"/>
    <x v="1"/>
    <s v="Networking"/>
    <n v="1"/>
    <x v="6"/>
    <s v="Single"/>
    <x v="1"/>
    <s v="Bachelor"/>
    <x v="0"/>
    <n v="1.35"/>
    <s v="No"/>
    <n v="2.65"/>
    <n v="98"/>
    <n v="90000"/>
    <x v="0"/>
    <x v="0"/>
    <n v="42"/>
  </r>
  <r>
    <x v="2"/>
    <x v="0"/>
    <n v="22"/>
    <n v="2020"/>
    <x v="0"/>
    <n v="7"/>
    <x v="1"/>
    <s v="Yes"/>
    <x v="3"/>
    <n v="2"/>
    <x v="1"/>
    <x v="0"/>
    <s v="Yes"/>
    <x v="7"/>
    <x v="2"/>
    <x v="5"/>
    <s v="No"/>
    <s v="No"/>
    <x v="1"/>
    <s v="Software Development skill"/>
    <n v="2"/>
    <x v="7"/>
    <s v="Single"/>
    <x v="1"/>
    <s v="Family"/>
    <x v="0"/>
    <n v="1.56"/>
    <s v="No"/>
    <n v="2.98"/>
    <n v="99"/>
    <n v="90000"/>
    <x v="0"/>
    <x v="0"/>
    <n v="61"/>
  </r>
  <r>
    <x v="1"/>
    <x v="1"/>
    <n v="20"/>
    <n v="2020"/>
    <x v="0"/>
    <n v="8"/>
    <x v="1"/>
    <s v="Yes"/>
    <x v="5"/>
    <n v="3"/>
    <x v="0"/>
    <x v="0"/>
    <s v="Yes"/>
    <x v="4"/>
    <x v="0"/>
    <x v="21"/>
    <s v="Yes"/>
    <s v="No"/>
    <x v="0"/>
    <s v="Artificial Intelligence"/>
    <n v="2"/>
    <x v="2"/>
    <s v="Single"/>
    <x v="0"/>
    <s v="Family"/>
    <x v="0"/>
    <n v="1.66"/>
    <s v="No"/>
    <n v="2.4500000000000002"/>
    <n v="105"/>
    <n v="90000"/>
    <x v="2"/>
    <x v="0"/>
    <n v="44"/>
  </r>
  <r>
    <x v="3"/>
    <x v="0"/>
    <n v="20"/>
    <n v="2021"/>
    <x v="0"/>
    <n v="5"/>
    <x v="1"/>
    <s v="Yes"/>
    <x v="2"/>
    <n v="2"/>
    <x v="0"/>
    <x v="0"/>
    <s v="No"/>
    <x v="1"/>
    <x v="2"/>
    <x v="5"/>
    <s v="No"/>
    <s v="No"/>
    <x v="0"/>
    <s v="Software Development skill"/>
    <n v="2"/>
    <x v="2"/>
    <s v="Relationship"/>
    <x v="1"/>
    <s v="Family"/>
    <x v="1"/>
    <n v="1.86"/>
    <s v="No"/>
    <n v="2.91"/>
    <n v="60"/>
    <n v="93000"/>
    <x v="0"/>
    <x v="0"/>
    <n v="52"/>
  </r>
  <r>
    <x v="11"/>
    <x v="1"/>
    <n v="19"/>
    <n v="2021"/>
    <x v="0"/>
    <n v="2"/>
    <x v="1"/>
    <s v="Yes"/>
    <x v="5"/>
    <n v="3"/>
    <x v="0"/>
    <x v="0"/>
    <s v="Yes"/>
    <x v="1"/>
    <x v="0"/>
    <x v="5"/>
    <s v="No"/>
    <s v="No"/>
    <x v="1"/>
    <s v="Artificial Intelligence"/>
    <n v="2"/>
    <x v="2"/>
    <s v="Single"/>
    <x v="1"/>
    <s v="Bachelor"/>
    <x v="0"/>
    <n v="2.77"/>
    <s v="No"/>
    <n v="3.83"/>
    <n v="30"/>
    <n v="95000"/>
    <x v="1"/>
    <x v="0"/>
    <n v="58"/>
  </r>
  <r>
    <x v="3"/>
    <x v="1"/>
    <n v="21"/>
    <n v="2021"/>
    <x v="0"/>
    <n v="6"/>
    <x v="1"/>
    <s v="Yes"/>
    <x v="1"/>
    <n v="2"/>
    <x v="0"/>
    <x v="0"/>
    <s v="Yes"/>
    <x v="1"/>
    <x v="0"/>
    <x v="65"/>
    <s v="Yes"/>
    <s v="No"/>
    <x v="1"/>
    <s v="Networking"/>
    <n v="1"/>
    <x v="6"/>
    <s v="Relationship"/>
    <x v="1"/>
    <s v="Bachelor"/>
    <x v="0"/>
    <n v="2.81"/>
    <s v="No"/>
    <n v="3.9"/>
    <n v="83"/>
    <n v="95000"/>
    <x v="1"/>
    <x v="0"/>
    <n v="27.200000000000003"/>
  </r>
  <r>
    <x v="1"/>
    <x v="1"/>
    <n v="21"/>
    <n v="2020"/>
    <x v="0"/>
    <n v="9"/>
    <x v="0"/>
    <s v="Yes"/>
    <x v="2"/>
    <n v="1"/>
    <x v="0"/>
    <x v="0"/>
    <s v="Yes"/>
    <x v="1"/>
    <x v="2"/>
    <x v="5"/>
    <s v="Yes"/>
    <s v="No"/>
    <x v="1"/>
    <s v="Artificial Intelligence"/>
    <n v="2"/>
    <x v="0"/>
    <s v="Single"/>
    <x v="0"/>
    <s v="Family"/>
    <x v="0"/>
    <n v="2.75"/>
    <s v="No"/>
    <n v="3.81"/>
    <n v="120"/>
    <n v="96000"/>
    <x v="1"/>
    <x v="0"/>
    <n v="52"/>
  </r>
  <r>
    <x v="4"/>
    <x v="0"/>
    <n v="25"/>
    <n v="2018"/>
    <x v="0"/>
    <n v="11"/>
    <x v="1"/>
    <s v="Yes"/>
    <x v="3"/>
    <n v="1"/>
    <x v="0"/>
    <x v="0"/>
    <s v="Yes"/>
    <x v="1"/>
    <x v="2"/>
    <x v="50"/>
    <s v="No"/>
    <s v="No"/>
    <x v="0"/>
    <s v="Software Development"/>
    <n v="4"/>
    <x v="2"/>
    <s v="Single"/>
    <x v="0"/>
    <s v="Bachelor"/>
    <x v="0"/>
    <n v="1.56"/>
    <s v="No"/>
    <n v="2.63"/>
    <n v="143"/>
    <n v="97000"/>
    <x v="0"/>
    <x v="0"/>
    <n v="53.8"/>
  </r>
  <r>
    <x v="2"/>
    <x v="0"/>
    <n v="23"/>
    <n v="2019"/>
    <x v="0"/>
    <n v="10"/>
    <x v="0"/>
    <s v="Yes"/>
    <x v="2"/>
    <n v="2"/>
    <x v="0"/>
    <x v="0"/>
    <s v="Yes"/>
    <x v="5"/>
    <x v="0"/>
    <x v="5"/>
    <s v="No"/>
    <s v="No"/>
    <x v="1"/>
    <s v="Networking"/>
    <n v="1"/>
    <x v="6"/>
    <s v="Single"/>
    <x v="1"/>
    <s v="Family"/>
    <x v="0"/>
    <n v="2.91"/>
    <s v="No"/>
    <n v="3.98"/>
    <n v="91"/>
    <n v="97000"/>
    <x v="1"/>
    <x v="0"/>
    <n v="49"/>
  </r>
  <r>
    <x v="3"/>
    <x v="0"/>
    <n v="21"/>
    <n v="2021"/>
    <x v="0"/>
    <n v="5"/>
    <x v="1"/>
    <s v="Yes"/>
    <x v="2"/>
    <n v="2"/>
    <x v="0"/>
    <x v="0"/>
    <s v="No"/>
    <x v="2"/>
    <x v="2"/>
    <x v="35"/>
    <s v="No"/>
    <s v="No"/>
    <x v="1"/>
    <s v="Networking"/>
    <n v="2"/>
    <x v="6"/>
    <s v="Married"/>
    <x v="1"/>
    <s v="Family"/>
    <x v="0"/>
    <n v="1.54"/>
    <s v="No"/>
    <n v="2.63"/>
    <n v="68"/>
    <n v="97000"/>
    <x v="0"/>
    <x v="0"/>
    <n v="33.6"/>
  </r>
  <r>
    <x v="4"/>
    <x v="1"/>
    <n v="25"/>
    <n v="2018"/>
    <x v="0"/>
    <n v="11"/>
    <x v="1"/>
    <s v="Yes"/>
    <x v="0"/>
    <n v="3"/>
    <x v="0"/>
    <x v="0"/>
    <s v="Yes"/>
    <x v="1"/>
    <x v="0"/>
    <x v="17"/>
    <s v="Yes"/>
    <s v="Yes"/>
    <x v="1"/>
    <s v="Networking"/>
    <n v="4"/>
    <x v="6"/>
    <s v="Relationship"/>
    <x v="1"/>
    <s v="Bachelor"/>
    <x v="0"/>
    <n v="1.78"/>
    <s v="No"/>
    <n v="2.83"/>
    <n v="143"/>
    <n v="98000"/>
    <x v="0"/>
    <x v="0"/>
    <n v="55.800000000000004"/>
  </r>
  <r>
    <x v="3"/>
    <x v="1"/>
    <n v="22"/>
    <n v="2019"/>
    <x v="0"/>
    <n v="4"/>
    <x v="0"/>
    <s v="No"/>
    <x v="6"/>
    <n v="1"/>
    <x v="1"/>
    <x v="0"/>
    <s v="Yes"/>
    <x v="9"/>
    <x v="2"/>
    <x v="7"/>
    <s v="Yes"/>
    <s v="No"/>
    <x v="0"/>
    <s v="Software Development"/>
    <n v="1"/>
    <x v="7"/>
    <s v="Relationship"/>
    <x v="0"/>
    <s v="Family"/>
    <x v="0"/>
    <n v="2.9"/>
    <s v="No"/>
    <n v="3.88"/>
    <n v="60"/>
    <n v="100000"/>
    <x v="1"/>
    <x v="0"/>
    <n v="55"/>
  </r>
  <r>
    <x v="2"/>
    <x v="0"/>
    <n v="21"/>
    <n v="2019"/>
    <x v="0"/>
    <n v="9"/>
    <x v="1"/>
    <s v="Yes"/>
    <x v="0"/>
    <n v="1"/>
    <x v="0"/>
    <x v="0"/>
    <s v="Yes"/>
    <x v="1"/>
    <x v="1"/>
    <x v="41"/>
    <s v="Yes"/>
    <s v="No"/>
    <x v="1"/>
    <s v="Cyber security"/>
    <n v="4"/>
    <x v="0"/>
    <s v="Relationship"/>
    <x v="0"/>
    <s v="Family"/>
    <x v="1"/>
    <n v="2.67"/>
    <s v="No"/>
    <n v="3.75"/>
    <n v="116"/>
    <n v="100000"/>
    <x v="1"/>
    <x v="0"/>
    <n v="43.400000000000006"/>
  </r>
  <r>
    <x v="1"/>
    <x v="0"/>
    <n v="20"/>
    <n v="2021"/>
    <x v="0"/>
    <n v="8"/>
    <x v="1"/>
    <s v="Yes"/>
    <x v="5"/>
    <n v="2"/>
    <x v="1"/>
    <x v="0"/>
    <s v="No"/>
    <x v="0"/>
    <x v="0"/>
    <x v="5"/>
    <s v="No"/>
    <s v="No"/>
    <x v="1"/>
    <s v="Cyber security"/>
    <n v="1"/>
    <x v="0"/>
    <s v="Single"/>
    <x v="1"/>
    <s v="Family"/>
    <x v="0"/>
    <n v="2.33"/>
    <s v="No"/>
    <n v="3.45"/>
    <n v="102"/>
    <n v="100000"/>
    <x v="0"/>
    <x v="0"/>
    <n v="55"/>
  </r>
  <r>
    <x v="2"/>
    <x v="1"/>
    <n v="24"/>
    <n v="2018"/>
    <x v="0"/>
    <n v="9"/>
    <x v="1"/>
    <s v="Yes"/>
    <x v="0"/>
    <n v="3"/>
    <x v="0"/>
    <x v="0"/>
    <s v="Yes"/>
    <x v="1"/>
    <x v="0"/>
    <x v="36"/>
    <s v="No"/>
    <s v="No"/>
    <x v="1"/>
    <s v="Networking"/>
    <n v="4"/>
    <x v="6"/>
    <s v="Relationship"/>
    <x v="0"/>
    <s v="Bachelor"/>
    <x v="0"/>
    <n v="2.76"/>
    <s v="No"/>
    <n v="3.56"/>
    <n v="123"/>
    <n v="110000"/>
    <x v="1"/>
    <x v="0"/>
    <n v="48.2"/>
  </r>
  <r>
    <x v="1"/>
    <x v="0"/>
    <n v="21"/>
    <n v="2020"/>
    <x v="0"/>
    <n v="6"/>
    <x v="1"/>
    <s v="Yes"/>
    <x v="3"/>
    <n v="2"/>
    <x v="1"/>
    <x v="0"/>
    <s v="Yes"/>
    <x v="15"/>
    <x v="0"/>
    <x v="23"/>
    <s v="Yes"/>
    <s v="No"/>
    <x v="1"/>
    <s v="Software Development"/>
    <n v="2"/>
    <x v="5"/>
    <s v="Relationship"/>
    <x v="1"/>
    <s v="Bachelor"/>
    <x v="0"/>
    <n v="1.23"/>
    <s v="No"/>
    <n v="2.76"/>
    <n v="89"/>
    <n v="110000"/>
    <x v="0"/>
    <x v="0"/>
    <n v="45"/>
  </r>
  <r>
    <x v="2"/>
    <x v="1"/>
    <n v="22"/>
    <n v="2020"/>
    <x v="0"/>
    <n v="10"/>
    <x v="1"/>
    <s v="Yes"/>
    <x v="2"/>
    <n v="3"/>
    <x v="1"/>
    <x v="0"/>
    <s v="Yes"/>
    <x v="1"/>
    <x v="0"/>
    <x v="55"/>
    <s v="Yes"/>
    <s v="No"/>
    <x v="1"/>
    <s v="Software Development"/>
    <n v="4"/>
    <x v="7"/>
    <s v="Married"/>
    <x v="1"/>
    <s v="Family"/>
    <x v="0"/>
    <n v="2.35"/>
    <s v="No"/>
    <n v="3.48"/>
    <n v="135"/>
    <n v="116000"/>
    <x v="0"/>
    <x v="0"/>
    <n v="40"/>
  </r>
  <r>
    <x v="2"/>
    <x v="0"/>
    <n v="22"/>
    <n v="2019"/>
    <x v="0"/>
    <n v="9"/>
    <x v="1"/>
    <s v="Yes"/>
    <x v="5"/>
    <n v="3"/>
    <x v="0"/>
    <x v="0"/>
    <s v="Yes"/>
    <x v="1"/>
    <x v="0"/>
    <x v="42"/>
    <s v="Yes"/>
    <s v="No"/>
    <x v="0"/>
    <s v="Networking"/>
    <n v="2"/>
    <x v="6"/>
    <s v="Married"/>
    <x v="1"/>
    <s v="Family"/>
    <x v="0"/>
    <n v="1.34"/>
    <s v="No"/>
    <n v="2.48"/>
    <n v="103"/>
    <n v="117000"/>
    <x v="2"/>
    <x v="0"/>
    <n v="48.400000000000006"/>
  </r>
  <r>
    <x v="4"/>
    <x v="1"/>
    <n v="25"/>
    <n v="2018"/>
    <x v="0"/>
    <n v="11"/>
    <x v="0"/>
    <s v="Yes"/>
    <x v="4"/>
    <n v="3"/>
    <x v="0"/>
    <x v="0"/>
    <s v="Yes"/>
    <x v="1"/>
    <x v="0"/>
    <x v="0"/>
    <s v="No"/>
    <s v="No"/>
    <x v="0"/>
    <s v="Artificial Intelligence"/>
    <n v="2"/>
    <x v="6"/>
    <s v="Single"/>
    <x v="1"/>
    <s v="Family"/>
    <x v="0"/>
    <n v="2.0699999999999998"/>
    <s v="No"/>
    <n v="3.12"/>
    <n v="144"/>
    <n v="119000"/>
    <x v="0"/>
    <x v="0"/>
    <n v="60"/>
  </r>
  <r>
    <x v="2"/>
    <x v="0"/>
    <n v="20"/>
    <n v="2020"/>
    <x v="0"/>
    <n v="11"/>
    <x v="1"/>
    <s v="Yes"/>
    <x v="5"/>
    <n v="1"/>
    <x v="1"/>
    <x v="0"/>
    <s v="Yes"/>
    <x v="2"/>
    <x v="2"/>
    <x v="5"/>
    <s v="Yes"/>
    <s v="No"/>
    <x v="1"/>
    <s v="Cyber security"/>
    <n v="1"/>
    <x v="0"/>
    <s v="Single"/>
    <x v="0"/>
    <s v="Bachelor"/>
    <x v="0"/>
    <n v="2.56"/>
    <s v="No"/>
    <n v="3.6"/>
    <n v="143"/>
    <n v="120000"/>
    <x v="1"/>
    <x v="0"/>
    <n v="55"/>
  </r>
  <r>
    <x v="3"/>
    <x v="1"/>
    <n v="21"/>
    <n v="2021"/>
    <x v="0"/>
    <n v="6"/>
    <x v="1"/>
    <s v="Yes"/>
    <x v="0"/>
    <n v="1"/>
    <x v="0"/>
    <x v="0"/>
    <s v="Yes"/>
    <x v="2"/>
    <x v="1"/>
    <x v="43"/>
    <s v="No"/>
    <s v="No"/>
    <x v="0"/>
    <s v="Networking"/>
    <n v="2"/>
    <x v="6"/>
    <s v="Single"/>
    <x v="1"/>
    <s v="Family"/>
    <x v="0"/>
    <n v="1.77"/>
    <s v="No"/>
    <n v="2.8"/>
    <n v="78"/>
    <n v="120000"/>
    <x v="0"/>
    <x v="0"/>
    <n v="40.200000000000003"/>
  </r>
  <r>
    <x v="3"/>
    <x v="1"/>
    <n v="20"/>
    <n v="2021"/>
    <x v="0"/>
    <n v="6"/>
    <x v="1"/>
    <s v="Yes"/>
    <x v="0"/>
    <n v="2"/>
    <x v="0"/>
    <x v="0"/>
    <s v="Yes"/>
    <x v="1"/>
    <x v="1"/>
    <x v="57"/>
    <s v="Yes"/>
    <s v="Yes"/>
    <x v="1"/>
    <s v="Networking"/>
    <n v="4"/>
    <x v="6"/>
    <s v="Relationship"/>
    <x v="1"/>
    <s v="Bachelor"/>
    <x v="0"/>
    <n v="2.67"/>
    <s v="No"/>
    <n v="3.77"/>
    <n v="78"/>
    <n v="120000"/>
    <x v="1"/>
    <x v="0"/>
    <n v="47.400000000000006"/>
  </r>
  <r>
    <x v="4"/>
    <x v="1"/>
    <n v="22"/>
    <n v="2019"/>
    <x v="0"/>
    <n v="11"/>
    <x v="1"/>
    <s v="Yes"/>
    <x v="2"/>
    <n v="1"/>
    <x v="0"/>
    <x v="0"/>
    <s v="Yes"/>
    <x v="1"/>
    <x v="1"/>
    <x v="5"/>
    <s v="No"/>
    <s v="No"/>
    <x v="0"/>
    <s v="Software Development"/>
    <n v="4"/>
    <x v="2"/>
    <s v="Single"/>
    <x v="0"/>
    <s v="Bachelor"/>
    <x v="0"/>
    <n v="1.86"/>
    <s v="No"/>
    <n v="2.93"/>
    <n v="143"/>
    <n v="121000"/>
    <x v="0"/>
    <x v="0"/>
    <n v="58"/>
  </r>
  <r>
    <x v="3"/>
    <x v="0"/>
    <n v="20"/>
    <n v="2020"/>
    <x v="0"/>
    <n v="5"/>
    <x v="1"/>
    <s v="Yes"/>
    <x v="1"/>
    <n v="2"/>
    <x v="0"/>
    <x v="0"/>
    <s v="Yes"/>
    <x v="1"/>
    <x v="0"/>
    <x v="5"/>
    <s v="Yes"/>
    <s v="No"/>
    <x v="0"/>
    <s v="Software Development"/>
    <n v="4"/>
    <x v="2"/>
    <s v="Single"/>
    <x v="0"/>
    <s v="Bachelor"/>
    <x v="0"/>
    <n v="1.87"/>
    <s v="No"/>
    <n v="2.94"/>
    <n v="68"/>
    <n v="121000"/>
    <x v="0"/>
    <x v="0"/>
    <n v="55"/>
  </r>
  <r>
    <x v="1"/>
    <x v="0"/>
    <n v="20"/>
    <n v="2019"/>
    <x v="0"/>
    <n v="7"/>
    <x v="1"/>
    <s v="Yes"/>
    <x v="2"/>
    <n v="1"/>
    <x v="1"/>
    <x v="0"/>
    <s v="Yes"/>
    <x v="15"/>
    <x v="0"/>
    <x v="2"/>
    <s v="Yes"/>
    <s v="No"/>
    <x v="0"/>
    <s v="Software Development"/>
    <n v="2"/>
    <x v="2"/>
    <s v="Single"/>
    <x v="1"/>
    <s v="Family"/>
    <x v="1"/>
    <n v="1.22"/>
    <s v="No"/>
    <n v="2.78"/>
    <n v="107"/>
    <n v="130000"/>
    <x v="0"/>
    <x v="0"/>
    <n v="44"/>
  </r>
  <r>
    <x v="3"/>
    <x v="1"/>
    <n v="21"/>
    <n v="2021"/>
    <x v="0"/>
    <n v="6"/>
    <x v="1"/>
    <s v="Yes"/>
    <x v="0"/>
    <n v="3"/>
    <x v="0"/>
    <x v="0"/>
    <s v="Yes"/>
    <x v="2"/>
    <x v="0"/>
    <x v="5"/>
    <s v="Yes"/>
    <s v="No"/>
    <x v="0"/>
    <s v="Artificial Intelligence"/>
    <n v="4"/>
    <x v="0"/>
    <s v="Relationship"/>
    <x v="0"/>
    <s v="Bachelor"/>
    <x v="0"/>
    <n v="1.4"/>
    <s v="No"/>
    <n v="2.54"/>
    <n v="77"/>
    <n v="130000"/>
    <x v="0"/>
    <x v="0"/>
    <n v="61"/>
  </r>
  <r>
    <x v="3"/>
    <x v="1"/>
    <n v="20"/>
    <n v="2021"/>
    <x v="0"/>
    <n v="5"/>
    <x v="1"/>
    <s v="Yes"/>
    <x v="0"/>
    <n v="3"/>
    <x v="1"/>
    <x v="0"/>
    <s v="Yes"/>
    <x v="3"/>
    <x v="0"/>
    <x v="5"/>
    <s v="No"/>
    <s v="No"/>
    <x v="0"/>
    <s v="Cyber security"/>
    <n v="2"/>
    <x v="0"/>
    <s v="Single"/>
    <x v="0"/>
    <s v="Family"/>
    <x v="0"/>
    <n v="1.78"/>
    <s v="No"/>
    <n v="2.83"/>
    <n v="59"/>
    <n v="135000"/>
    <x v="0"/>
    <x v="0"/>
    <n v="55"/>
  </r>
  <r>
    <x v="3"/>
    <x v="0"/>
    <n v="20"/>
    <n v="2021"/>
    <x v="0"/>
    <n v="5"/>
    <x v="1"/>
    <s v="Yes"/>
    <x v="5"/>
    <n v="3"/>
    <x v="0"/>
    <x v="0"/>
    <s v="Yes"/>
    <x v="1"/>
    <x v="0"/>
    <x v="28"/>
    <s v="No"/>
    <s v="No"/>
    <x v="0"/>
    <s v="Software Development"/>
    <n v="4"/>
    <x v="2"/>
    <s v="Married"/>
    <x v="1"/>
    <s v="Family"/>
    <x v="0"/>
    <n v="1.77"/>
    <s v="No"/>
    <n v="2.85"/>
    <n v="63"/>
    <n v="136000"/>
    <x v="0"/>
    <x v="0"/>
    <n v="55.2"/>
  </r>
  <r>
    <x v="4"/>
    <x v="0"/>
    <n v="22"/>
    <n v="2018"/>
    <x v="0"/>
    <n v="11"/>
    <x v="1"/>
    <s v="Yes"/>
    <x v="3"/>
    <n v="3"/>
    <x v="0"/>
    <x v="0"/>
    <s v="No"/>
    <x v="0"/>
    <x v="2"/>
    <x v="5"/>
    <s v="No"/>
    <s v="No"/>
    <x v="1"/>
    <s v="Software Development"/>
    <n v="1"/>
    <x v="7"/>
    <s v="Single"/>
    <x v="1"/>
    <s v="Family"/>
    <x v="1"/>
    <n v="2.5499999999999998"/>
    <s v="No"/>
    <n v="3.66"/>
    <n v="143"/>
    <n v="137000"/>
    <x v="1"/>
    <x v="0"/>
    <n v="58"/>
  </r>
  <r>
    <x v="1"/>
    <x v="0"/>
    <n v="20"/>
    <n v="2021"/>
    <x v="0"/>
    <n v="9"/>
    <x v="1"/>
    <s v="Yes"/>
    <x v="1"/>
    <n v="2"/>
    <x v="0"/>
    <x v="0"/>
    <s v="Yes"/>
    <x v="2"/>
    <x v="2"/>
    <x v="5"/>
    <s v="No"/>
    <s v="No"/>
    <x v="1"/>
    <s v="Artificial Intelligence"/>
    <n v="1"/>
    <x v="2"/>
    <s v="Single"/>
    <x v="1"/>
    <s v="Bachelor"/>
    <x v="1"/>
    <n v="2.65"/>
    <s v="No"/>
    <n v="3.88"/>
    <n v="125"/>
    <n v="140000"/>
    <x v="1"/>
    <x v="0"/>
    <n v="46"/>
  </r>
  <r>
    <x v="4"/>
    <x v="1"/>
    <n v="25"/>
    <n v="2018"/>
    <x v="0"/>
    <n v="11"/>
    <x v="0"/>
    <s v="Yes"/>
    <x v="3"/>
    <n v="3"/>
    <x v="0"/>
    <x v="0"/>
    <s v="Yes"/>
    <x v="1"/>
    <x v="0"/>
    <x v="46"/>
    <s v="Yes"/>
    <s v="No"/>
    <x v="0"/>
    <s v="Networking"/>
    <n v="2"/>
    <x v="6"/>
    <s v="Relationship"/>
    <x v="0"/>
    <s v="Bachelor"/>
    <x v="0"/>
    <n v="2.81"/>
    <s v="No"/>
    <n v="3.9"/>
    <n v="143"/>
    <n v="144000"/>
    <x v="1"/>
    <x v="0"/>
    <n v="35"/>
  </r>
  <r>
    <x v="1"/>
    <x v="1"/>
    <n v="20"/>
    <n v="2020"/>
    <x v="0"/>
    <n v="9"/>
    <x v="1"/>
    <s v="Yes"/>
    <x v="2"/>
    <n v="2"/>
    <x v="0"/>
    <x v="0"/>
    <s v="Yes"/>
    <x v="1"/>
    <x v="0"/>
    <x v="5"/>
    <s v="No"/>
    <s v="No"/>
    <x v="0"/>
    <s v="Software Development"/>
    <n v="2"/>
    <x v="0"/>
    <s v="Relationship"/>
    <x v="0"/>
    <s v="Family"/>
    <x v="0"/>
    <n v="2.34"/>
    <s v="No"/>
    <n v="3.44"/>
    <n v="113"/>
    <n v="167000"/>
    <x v="0"/>
    <x v="0"/>
    <n v="52"/>
  </r>
  <r>
    <x v="2"/>
    <x v="0"/>
    <n v="20"/>
    <n v="2020"/>
    <x v="0"/>
    <n v="11"/>
    <x v="1"/>
    <s v="Yes"/>
    <x v="2"/>
    <n v="1"/>
    <x v="0"/>
    <x v="0"/>
    <s v="Yes"/>
    <x v="1"/>
    <x v="2"/>
    <x v="17"/>
    <s v="Yes"/>
    <s v="No"/>
    <x v="1"/>
    <s v="Cyber security"/>
    <n v="4"/>
    <x v="0"/>
    <s v="Single"/>
    <x v="0"/>
    <s v="Family"/>
    <x v="0"/>
    <n v="2.35"/>
    <s v="No"/>
    <n v="3.43"/>
    <n v="143"/>
    <n v="170000"/>
    <x v="0"/>
    <x v="0"/>
    <n v="52.800000000000004"/>
  </r>
  <r>
    <x v="1"/>
    <x v="1"/>
    <n v="20"/>
    <n v="2020"/>
    <x v="0"/>
    <n v="8"/>
    <x v="1"/>
    <s v="Yes"/>
    <x v="1"/>
    <n v="2"/>
    <x v="1"/>
    <x v="0"/>
    <s v="Yes"/>
    <x v="2"/>
    <x v="1"/>
    <x v="38"/>
    <s v="Yes"/>
    <s v="No"/>
    <x v="1"/>
    <s v="Cyber security"/>
    <n v="2"/>
    <x v="0"/>
    <s v="Relationship"/>
    <x v="0"/>
    <s v="Bachelor"/>
    <x v="0"/>
    <n v="2.65"/>
    <s v="No"/>
    <n v="3.77"/>
    <n v="100"/>
    <n v="180000"/>
    <x v="1"/>
    <x v="0"/>
    <n v="27.400000000000002"/>
  </r>
  <r>
    <x v="3"/>
    <x v="0"/>
    <n v="23"/>
    <n v="2020"/>
    <x v="0"/>
    <n v="8"/>
    <x v="0"/>
    <s v="Yes"/>
    <x v="5"/>
    <n v="2"/>
    <x v="0"/>
    <x v="0"/>
    <s v="Yes"/>
    <x v="4"/>
    <x v="1"/>
    <x v="5"/>
    <s v="Yes"/>
    <s v="No"/>
    <x v="0"/>
    <s v="Software Development"/>
    <n v="2"/>
    <x v="2"/>
    <s v="Single"/>
    <x v="0"/>
    <s v="Bachelor"/>
    <x v="0"/>
    <n v="2.5"/>
    <s v="No"/>
    <n v="2.2200000000000002"/>
    <n v="18"/>
    <n v="200000"/>
    <x v="2"/>
    <x v="0"/>
    <n v="58"/>
  </r>
  <r>
    <x v="1"/>
    <x v="0"/>
    <n v="22"/>
    <n v="2020"/>
    <x v="0"/>
    <n v="9"/>
    <x v="1"/>
    <s v="Yes"/>
    <x v="0"/>
    <n v="2"/>
    <x v="0"/>
    <x v="0"/>
    <s v="No"/>
    <x v="2"/>
    <x v="1"/>
    <x v="5"/>
    <s v="Yes"/>
    <s v="No"/>
    <x v="1"/>
    <s v="Networking"/>
    <n v="2"/>
    <x v="6"/>
    <s v="Married"/>
    <x v="0"/>
    <s v="Family"/>
    <x v="0"/>
    <n v="1.56"/>
    <s v="No"/>
    <n v="2.78"/>
    <n v="100"/>
    <n v="200000"/>
    <x v="0"/>
    <x v="0"/>
    <n v="55"/>
  </r>
  <r>
    <x v="4"/>
    <x v="1"/>
    <n v="25"/>
    <n v="2018"/>
    <x v="0"/>
    <n v="11"/>
    <x v="1"/>
    <s v="Yes"/>
    <x v="3"/>
    <n v="3"/>
    <x v="0"/>
    <x v="0"/>
    <s v="Yes"/>
    <x v="1"/>
    <x v="0"/>
    <x v="5"/>
    <s v="No"/>
    <s v="No"/>
    <x v="0"/>
    <s v="Software Development"/>
    <n v="4"/>
    <x v="2"/>
    <s v="Single"/>
    <x v="1"/>
    <s v="Bachelor"/>
    <x v="0"/>
    <n v="1.4"/>
    <s v="No"/>
    <n v="2.52"/>
    <n v="136"/>
    <n v="210000"/>
    <x v="0"/>
    <x v="0"/>
    <n v="67"/>
  </r>
  <r>
    <x v="0"/>
    <x v="1"/>
    <n v="23"/>
    <n v="2017"/>
    <x v="0"/>
    <n v="11"/>
    <x v="1"/>
    <s v="Yes"/>
    <x v="0"/>
    <n v="2"/>
    <x v="1"/>
    <x v="0"/>
    <s v="Yes"/>
    <x v="0"/>
    <x v="0"/>
    <x v="5"/>
    <s v="No"/>
    <s v="No"/>
    <x v="1"/>
    <s v="Networking"/>
    <n v="1"/>
    <x v="6"/>
    <s v="Relationship"/>
    <x v="0"/>
    <s v="Bachelor"/>
    <x v="0"/>
    <n v="1.34"/>
    <s v="No"/>
    <n v="2.88"/>
    <n v="88"/>
    <n v="250000"/>
    <x v="0"/>
    <x v="0"/>
    <n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2045D5-9448-4B8F-8D95-5121EC839BBB}" name="PivotTable1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05:B208"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3">
    <i>
      <x/>
    </i>
    <i>
      <x v="1"/>
    </i>
    <i t="grand">
      <x/>
    </i>
  </rowItems>
  <colItems count="1">
    <i/>
  </colItems>
  <dataFields count="1">
    <dataField name="Count of Do you play mobile games?" fld="11"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E5B9DF-270B-4F36-947C-FFC6FBD87AA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40:B144"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
        <item x="1"/>
        <item x="2"/>
        <item x="0"/>
        <item t="default"/>
      </items>
    </pivotField>
    <pivotField compact="0" outline="0" showAll="0"/>
    <pivotField compact="0" outline="0" showAll="0"/>
  </pivotFields>
  <rowFields count="1">
    <field x="31"/>
  </rowFields>
  <rowItems count="4">
    <i>
      <x/>
    </i>
    <i>
      <x v="1"/>
    </i>
    <i>
      <x v="2"/>
    </i>
    <i t="grand">
      <x/>
    </i>
  </rowItems>
  <colItems count="1">
    <i/>
  </colItems>
  <dataFields count="1">
    <dataField name="Count of Performance" fld="31" subtotal="count" baseField="0" baseItem="0"/>
  </dataFields>
  <chartFormats count="44">
    <chartFormat chart="0" format="0"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31" count="1" selected="0">
            <x v="0"/>
          </reference>
        </references>
      </pivotArea>
    </chartFormat>
    <chartFormat chart="1" format="8">
      <pivotArea type="data" outline="0" fieldPosition="0">
        <references count="2">
          <reference field="4294967294" count="1" selected="0">
            <x v="0"/>
          </reference>
          <reference field="31" count="1" selected="0">
            <x v="1"/>
          </reference>
        </references>
      </pivotArea>
    </chartFormat>
    <chartFormat chart="1" format="9">
      <pivotArea type="data" outline="0" fieldPosition="0">
        <references count="2">
          <reference field="4294967294" count="1" selected="0">
            <x v="0"/>
          </reference>
          <reference field="31"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1" count="1" selected="0">
            <x v="0"/>
          </reference>
        </references>
      </pivotArea>
    </chartFormat>
    <chartFormat chart="2" format="12">
      <pivotArea type="data" outline="0" fieldPosition="0">
        <references count="2">
          <reference field="4294967294" count="1" selected="0">
            <x v="0"/>
          </reference>
          <reference field="31" count="1" selected="0">
            <x v="1"/>
          </reference>
        </references>
      </pivotArea>
    </chartFormat>
    <chartFormat chart="2" format="13">
      <pivotArea type="data" outline="0" fieldPosition="0">
        <references count="2">
          <reference field="4294967294" count="1" selected="0">
            <x v="0"/>
          </reference>
          <reference field="31" count="1" selected="0">
            <x v="2"/>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31" count="1" selected="0">
            <x v="0"/>
          </reference>
        </references>
      </pivotArea>
    </chartFormat>
    <chartFormat chart="3" format="16">
      <pivotArea type="data" outline="0" fieldPosition="0">
        <references count="2">
          <reference field="4294967294" count="1" selected="0">
            <x v="0"/>
          </reference>
          <reference field="31" count="1" selected="0">
            <x v="1"/>
          </reference>
        </references>
      </pivotArea>
    </chartFormat>
    <chartFormat chart="3" format="17">
      <pivotArea type="data" outline="0" fieldPosition="0">
        <references count="2">
          <reference field="4294967294" count="1" selected="0">
            <x v="0"/>
          </reference>
          <reference field="31" count="1" selected="0">
            <x v="2"/>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31" count="1" selected="0">
            <x v="0"/>
          </reference>
        </references>
      </pivotArea>
    </chartFormat>
    <chartFormat chart="4" format="20">
      <pivotArea type="data" outline="0" fieldPosition="0">
        <references count="2">
          <reference field="4294967294" count="1" selected="0">
            <x v="0"/>
          </reference>
          <reference field="31" count="1" selected="0">
            <x v="1"/>
          </reference>
        </references>
      </pivotArea>
    </chartFormat>
    <chartFormat chart="4" format="21">
      <pivotArea type="data" outline="0" fieldPosition="0">
        <references count="2">
          <reference field="4294967294" count="1" selected="0">
            <x v="0"/>
          </reference>
          <reference field="31" count="1" selected="0">
            <x v="2"/>
          </reference>
        </references>
      </pivotArea>
    </chartFormat>
    <chartFormat chart="0" format="6">
      <pivotArea type="data" outline="0" fieldPosition="0">
        <references count="2">
          <reference field="4294967294" count="1" selected="0">
            <x v="0"/>
          </reference>
          <reference field="31" count="1" selected="0">
            <x v="0"/>
          </reference>
        </references>
      </pivotArea>
    </chartFormat>
    <chartFormat chart="0" format="7">
      <pivotArea type="data" outline="0" fieldPosition="0">
        <references count="2">
          <reference field="4294967294" count="1" selected="0">
            <x v="0"/>
          </reference>
          <reference field="31" count="1" selected="0">
            <x v="1"/>
          </reference>
        </references>
      </pivotArea>
    </chartFormat>
    <chartFormat chart="0" format="8">
      <pivotArea type="data" outline="0" fieldPosition="0">
        <references count="2">
          <reference field="4294967294" count="1" selected="0">
            <x v="0"/>
          </reference>
          <reference field="31" count="1" selected="0">
            <x v="2"/>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1" count="1" selected="0">
            <x v="0"/>
          </reference>
        </references>
      </pivotArea>
    </chartFormat>
    <chartFormat chart="5" format="24">
      <pivotArea type="data" outline="0" fieldPosition="0">
        <references count="2">
          <reference field="4294967294" count="1" selected="0">
            <x v="0"/>
          </reference>
          <reference field="31" count="1" selected="0">
            <x v="1"/>
          </reference>
        </references>
      </pivotArea>
    </chartFormat>
    <chartFormat chart="5" format="25">
      <pivotArea type="data" outline="0" fieldPosition="0">
        <references count="2">
          <reference field="4294967294" count="1" selected="0">
            <x v="0"/>
          </reference>
          <reference field="31" count="1" selected="0">
            <x v="2"/>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31" count="1" selected="0">
            <x v="0"/>
          </reference>
        </references>
      </pivotArea>
    </chartFormat>
    <chartFormat chart="6" format="28">
      <pivotArea type="data" outline="0" fieldPosition="0">
        <references count="2">
          <reference field="4294967294" count="1" selected="0">
            <x v="0"/>
          </reference>
          <reference field="31" count="1" selected="0">
            <x v="1"/>
          </reference>
        </references>
      </pivotArea>
    </chartFormat>
    <chartFormat chart="6" format="29">
      <pivotArea type="data" outline="0" fieldPosition="0">
        <references count="2">
          <reference field="4294967294" count="1" selected="0">
            <x v="0"/>
          </reference>
          <reference field="31" count="1" selected="0">
            <x v="2"/>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31" count="1" selected="0">
            <x v="0"/>
          </reference>
        </references>
      </pivotArea>
    </chartFormat>
    <chartFormat chart="7" format="24">
      <pivotArea type="data" outline="0" fieldPosition="0">
        <references count="2">
          <reference field="4294967294" count="1" selected="0">
            <x v="0"/>
          </reference>
          <reference field="31" count="1" selected="0">
            <x v="1"/>
          </reference>
        </references>
      </pivotArea>
    </chartFormat>
    <chartFormat chart="7" format="25">
      <pivotArea type="data" outline="0" fieldPosition="0">
        <references count="2">
          <reference field="4294967294" count="1" selected="0">
            <x v="0"/>
          </reference>
          <reference field="31" count="1" selected="0">
            <x v="2"/>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31" count="1" selected="0">
            <x v="0"/>
          </reference>
        </references>
      </pivotArea>
    </chartFormat>
    <chartFormat chart="8" format="28">
      <pivotArea type="data" outline="0" fieldPosition="0">
        <references count="2">
          <reference field="4294967294" count="1" selected="0">
            <x v="0"/>
          </reference>
          <reference field="31" count="1" selected="0">
            <x v="1"/>
          </reference>
        </references>
      </pivotArea>
    </chartFormat>
    <chartFormat chart="8" format="29">
      <pivotArea type="data" outline="0" fieldPosition="0">
        <references count="2">
          <reference field="4294967294" count="1" selected="0">
            <x v="0"/>
          </reference>
          <reference field="31" count="1" selected="0">
            <x v="2"/>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31" count="1" selected="0">
            <x v="0"/>
          </reference>
        </references>
      </pivotArea>
    </chartFormat>
    <chartFormat chart="9" format="24">
      <pivotArea type="data" outline="0" fieldPosition="0">
        <references count="2">
          <reference field="4294967294" count="1" selected="0">
            <x v="0"/>
          </reference>
          <reference field="31" count="1" selected="0">
            <x v="1"/>
          </reference>
        </references>
      </pivotArea>
    </chartFormat>
    <chartFormat chart="9" format="25">
      <pivotArea type="data" outline="0" fieldPosition="0">
        <references count="2">
          <reference field="4294967294" count="1" selected="0">
            <x v="0"/>
          </reference>
          <reference field="31" count="1" selected="0">
            <x v="2"/>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31" count="1" selected="0">
            <x v="0"/>
          </reference>
        </references>
      </pivotArea>
    </chartFormat>
    <chartFormat chart="11" format="24">
      <pivotArea type="data" outline="0" fieldPosition="0">
        <references count="2">
          <reference field="4294967294" count="1" selected="0">
            <x v="0"/>
          </reference>
          <reference field="31" count="1" selected="0">
            <x v="1"/>
          </reference>
        </references>
      </pivotArea>
    </chartFormat>
    <chartFormat chart="11" format="25">
      <pivotArea type="data" outline="0" fieldPosition="0">
        <references count="2">
          <reference field="4294967294" count="1" selected="0">
            <x v="0"/>
          </reference>
          <reference field="3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2C91E0-0FF5-4038-9D20-BFC9EA6691DB}"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7:B20" firstHeaderRow="1" firstDataRow="1" firstDataCol="1"/>
  <pivotFields count="34">
    <pivotField compact="0" outline="0" showAll="0">
      <items count="12">
        <item x="9"/>
        <item x="8"/>
        <item x="6"/>
        <item x="7"/>
        <item x="5"/>
        <item x="0"/>
        <item x="4"/>
        <item x="2"/>
        <item x="1"/>
        <item x="3"/>
        <item x="10"/>
        <item t="default"/>
      </items>
    </pivotField>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Items count="1">
    <i/>
  </colItems>
  <dataFields count="1">
    <dataField name="Average of What is your current CGPA?" fld="2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2B729C-9B19-4F04-BB42-431CF17B315C}"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2:B35"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9"/>
        <item x="1"/>
        <item x="2"/>
        <item x="0"/>
        <item x="5"/>
        <item x="3"/>
        <item x="4"/>
        <item x="7"/>
        <item x="6"/>
        <item x="8"/>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3">
    <i>
      <x/>
    </i>
    <i>
      <x v="1"/>
    </i>
    <i>
      <x v="2"/>
    </i>
    <i>
      <x v="3"/>
    </i>
    <i>
      <x v="4"/>
    </i>
    <i>
      <x v="5"/>
    </i>
    <i>
      <x v="6"/>
    </i>
    <i>
      <x v="7"/>
    </i>
    <i>
      <x v="8"/>
    </i>
    <i>
      <x v="9"/>
    </i>
    <i>
      <x v="10"/>
    </i>
    <i>
      <x v="11"/>
    </i>
    <i t="grand">
      <x/>
    </i>
  </rowItems>
  <colItems count="1">
    <i/>
  </colItems>
  <dataFields count="1">
    <dataField name="Average of What is your current CGPA?" fld="2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AD600B-44A7-4130-B118-F25DA36EA01C}"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146:B149"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3">
    <i>
      <x/>
    </i>
    <i>
      <x v="1"/>
    </i>
    <i t="grand">
      <x/>
    </i>
  </rowItems>
  <colItems count="1">
    <i/>
  </colItems>
  <dataFields count="1">
    <dataField name="Count of Do you have meritorious scholarship ?" fld="6" subtotal="count" baseField="0" baseItem="0"/>
  </dataFields>
  <chartFormats count="3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4" format="14"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4" format="15">
      <pivotArea type="data" outline="0" fieldPosition="0">
        <references count="2">
          <reference field="4294967294" count="1" selected="0">
            <x v="0"/>
          </reference>
          <reference field="6" count="1" selected="0">
            <x v="0"/>
          </reference>
        </references>
      </pivotArea>
    </chartFormat>
    <chartFormat chart="4" format="16">
      <pivotArea type="data" outline="0" fieldPosition="0">
        <references count="2">
          <reference field="4294967294" count="1" selected="0">
            <x v="0"/>
          </reference>
          <reference field="6" count="1" selected="0">
            <x v="1"/>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6" count="1" selected="0">
            <x v="0"/>
          </reference>
        </references>
      </pivotArea>
    </chartFormat>
    <chartFormat chart="7" format="19">
      <pivotArea type="data" outline="0" fieldPosition="0">
        <references count="2">
          <reference field="4294967294" count="1" selected="0">
            <x v="0"/>
          </reference>
          <reference field="6" count="1" selected="0">
            <x v="1"/>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6" count="1" selected="0">
            <x v="0"/>
          </reference>
        </references>
      </pivotArea>
    </chartFormat>
    <chartFormat chart="8" format="22">
      <pivotArea type="data" outline="0" fieldPosition="0">
        <references count="2">
          <reference field="4294967294" count="1" selected="0">
            <x v="0"/>
          </reference>
          <reference field="6" count="1" selected="0">
            <x v="1"/>
          </reference>
        </references>
      </pivotArea>
    </chartFormat>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6" count="1" selected="0">
            <x v="0"/>
          </reference>
        </references>
      </pivotArea>
    </chartFormat>
    <chartFormat chart="9" format="19">
      <pivotArea type="data" outline="0" fieldPosition="0">
        <references count="2">
          <reference field="4294967294" count="1" selected="0">
            <x v="0"/>
          </reference>
          <reference field="6" count="1" selected="0">
            <x v="1"/>
          </reference>
        </references>
      </pivotArea>
    </chartFormat>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6" count="1" selected="0">
            <x v="0"/>
          </reference>
        </references>
      </pivotArea>
    </chartFormat>
    <chartFormat chart="10" format="22">
      <pivotArea type="data" outline="0" fieldPosition="0">
        <references count="2">
          <reference field="4294967294" count="1" selected="0">
            <x v="0"/>
          </reference>
          <reference field="6" count="1" selected="0">
            <x v="1"/>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6" count="1" selected="0">
            <x v="0"/>
          </reference>
        </references>
      </pivotArea>
    </chartFormat>
    <chartFormat chart="11" format="19">
      <pivotArea type="data" outline="0" fieldPosition="0">
        <references count="2">
          <reference field="4294967294" count="1" selected="0">
            <x v="0"/>
          </reference>
          <reference field="6" count="1" selected="0">
            <x v="1"/>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6" count="1" selected="0">
            <x v="0"/>
          </reference>
        </references>
      </pivotArea>
    </chartFormat>
    <chartFormat chart="13" format="1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0943A6-AAA4-4768-8543-339B6B42277C}"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56:B123"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7">
        <item x="33"/>
        <item x="16"/>
        <item x="19"/>
        <item x="25"/>
        <item x="54"/>
        <item x="63"/>
        <item x="58"/>
        <item x="61"/>
        <item x="56"/>
        <item x="40"/>
        <item x="46"/>
        <item x="26"/>
        <item x="18"/>
        <item x="47"/>
        <item x="52"/>
        <item x="59"/>
        <item x="37"/>
        <item x="38"/>
        <item x="53"/>
        <item x="14"/>
        <item x="39"/>
        <item x="20"/>
        <item x="65"/>
        <item x="35"/>
        <item x="55"/>
        <item x="41"/>
        <item x="29"/>
        <item x="23"/>
        <item x="32"/>
        <item x="43"/>
        <item x="62"/>
        <item x="21"/>
        <item x="57"/>
        <item x="50"/>
        <item x="36"/>
        <item x="7"/>
        <item x="60"/>
        <item x="51"/>
        <item x="15"/>
        <item x="11"/>
        <item x="42"/>
        <item x="22"/>
        <item x="28"/>
        <item x="45"/>
        <item x="2"/>
        <item x="64"/>
        <item x="12"/>
        <item x="48"/>
        <item x="49"/>
        <item x="9"/>
        <item x="31"/>
        <item x="17"/>
        <item x="3"/>
        <item x="44"/>
        <item x="0"/>
        <item x="30"/>
        <item x="13"/>
        <item x="27"/>
        <item x="34"/>
        <item x="4"/>
        <item x="1"/>
        <item x="6"/>
        <item x="8"/>
        <item x="10"/>
        <item x="5"/>
        <item x="2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Average of What is your current CGPA?" fld="28" subtotal="average" baseField="0" baseItem="0"/>
  </dataFields>
  <chartFormats count="7">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D07E60-EADA-4ED7-AFAF-B233187A6EA1}"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187:B190"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3"/>
  </rowFields>
  <rowItems count="3">
    <i>
      <x/>
    </i>
    <i>
      <x v="1"/>
    </i>
    <i t="grand">
      <x/>
    </i>
  </rowItems>
  <colItems count="1">
    <i/>
  </colItems>
  <dataFields count="1">
    <dataField name="Count of Are you engaged with any co-curriculum activities?" fld="23" subtotal="count" baseField="0" baseItem="0"/>
  </dataFields>
  <chartFormats count="3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3" count="1" selected="0">
            <x v="0"/>
          </reference>
        </references>
      </pivotArea>
    </chartFormat>
    <chartFormat chart="1" format="3">
      <pivotArea type="data" outline="0" fieldPosition="0">
        <references count="2">
          <reference field="4294967294" count="1" selected="0">
            <x v="0"/>
          </reference>
          <reference field="2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3" count="1" selected="0">
            <x v="0"/>
          </reference>
        </references>
      </pivotArea>
    </chartFormat>
    <chartFormat chart="2" format="6">
      <pivotArea type="data" outline="0" fieldPosition="0">
        <references count="2">
          <reference field="4294967294" count="1" selected="0">
            <x v="0"/>
          </reference>
          <reference field="23" count="1" selected="0">
            <x v="1"/>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3" count="1" selected="0">
            <x v="0"/>
          </reference>
        </references>
      </pivotArea>
    </chartFormat>
    <chartFormat chart="3" format="3">
      <pivotArea type="data" outline="0" fieldPosition="0">
        <references count="2">
          <reference field="4294967294" count="1" selected="0">
            <x v="0"/>
          </reference>
          <reference field="23"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3" count="1" selected="0">
            <x v="0"/>
          </reference>
        </references>
      </pivotArea>
    </chartFormat>
    <chartFormat chart="4" format="6">
      <pivotArea type="data" outline="0" fieldPosition="0">
        <references count="2">
          <reference field="4294967294" count="1" selected="0">
            <x v="0"/>
          </reference>
          <reference field="23" count="1" selected="0">
            <x v="1"/>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3" count="1" selected="0">
            <x v="0"/>
          </reference>
        </references>
      </pivotArea>
    </chartFormat>
    <chartFormat chart="5" format="3">
      <pivotArea type="data" outline="0" fieldPosition="0">
        <references count="2">
          <reference field="4294967294" count="1" selected="0">
            <x v="0"/>
          </reference>
          <reference field="23"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3" count="1" selected="0">
            <x v="0"/>
          </reference>
        </references>
      </pivotArea>
    </chartFormat>
    <chartFormat chart="6" format="6">
      <pivotArea type="data" outline="0" fieldPosition="0">
        <references count="2">
          <reference field="4294967294" count="1" selected="0">
            <x v="0"/>
          </reference>
          <reference field="23" count="1" selected="0">
            <x v="1"/>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3" count="1" selected="0">
            <x v="0"/>
          </reference>
        </references>
      </pivotArea>
    </chartFormat>
    <chartFormat chart="7" format="3">
      <pivotArea type="data" outline="0" fieldPosition="0">
        <references count="2">
          <reference field="4294967294" count="1" selected="0">
            <x v="0"/>
          </reference>
          <reference field="23"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3" count="1" selected="0">
            <x v="0"/>
          </reference>
        </references>
      </pivotArea>
    </chartFormat>
    <chartFormat chart="8" format="6">
      <pivotArea type="data" outline="0" fieldPosition="0">
        <references count="2">
          <reference field="4294967294" count="1" selected="0">
            <x v="0"/>
          </reference>
          <reference field="23"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3" count="1" selected="0">
            <x v="0"/>
          </reference>
        </references>
      </pivotArea>
    </chartFormat>
    <chartFormat chart="9" format="9">
      <pivotArea type="data" outline="0" fieldPosition="0">
        <references count="2">
          <reference field="4294967294" count="1" selected="0">
            <x v="0"/>
          </reference>
          <reference field="23"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23" count="1" selected="0">
            <x v="0"/>
          </reference>
        </references>
      </pivotArea>
    </chartFormat>
    <chartFormat chart="10" format="12">
      <pivotArea type="data" outline="0" fieldPosition="0">
        <references count="2">
          <reference field="4294967294" count="1" selected="0">
            <x v="0"/>
          </reference>
          <reference field="23" count="1" selected="0">
            <x v="1"/>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5F72EE-2BDF-4D33-9C04-B953C422E680}"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B13" firstHeaderRow="1" firstDataRow="1" firstDataCol="1"/>
  <pivotFields count="34">
    <pivotField axis="axisRow" compact="0" outline="0" showAll="0">
      <items count="12">
        <item x="9"/>
        <item x="8"/>
        <item x="6"/>
        <item x="7"/>
        <item x="5"/>
        <item x="0"/>
        <item x="4"/>
        <item x="2"/>
        <item x="1"/>
        <item x="3"/>
        <item x="10"/>
        <item t="default"/>
      </items>
    </pivotField>
    <pivotField dataField="1" compact="0" outline="0" showAll="0"/>
    <pivotField compact="0" outline="0" showAll="0"/>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12">
    <i>
      <x/>
    </i>
    <i>
      <x v="1"/>
    </i>
    <i>
      <x v="2"/>
    </i>
    <i>
      <x v="3"/>
    </i>
    <i>
      <x v="4"/>
    </i>
    <i>
      <x v="5"/>
    </i>
    <i>
      <x v="6"/>
    </i>
    <i>
      <x v="7"/>
    </i>
    <i>
      <x v="8"/>
    </i>
    <i>
      <x v="9"/>
    </i>
    <i>
      <x v="10"/>
    </i>
    <i t="grand">
      <x/>
    </i>
  </rowItems>
  <colItems count="1">
    <i/>
  </colItems>
  <dataFields count="1">
    <dataField name="Count of Gender" fld="1" subtotal="count"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F90316-8221-4EEE-8C90-F00DBF8AAC2F}"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152:B166"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28">
        <item x="3"/>
        <item x="8"/>
        <item m="1" x="26"/>
        <item m="1" x="13"/>
        <item m="1" x="24"/>
        <item x="10"/>
        <item m="1" x="18"/>
        <item m="1" x="17"/>
        <item x="0"/>
        <item x="9"/>
        <item x="1"/>
        <item m="1" x="23"/>
        <item x="6"/>
        <item x="5"/>
        <item x="4"/>
        <item m="1" x="20"/>
        <item m="1" x="19"/>
        <item m="1" x="22"/>
        <item x="12"/>
        <item m="1" x="21"/>
        <item m="1" x="25"/>
        <item x="7"/>
        <item x="2"/>
        <item m="1" x="15"/>
        <item m="1" x="16"/>
        <item m="1" x="14"/>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1"/>
  </rowFields>
  <rowItems count="14">
    <i>
      <x/>
    </i>
    <i>
      <x v="1"/>
    </i>
    <i>
      <x v="5"/>
    </i>
    <i>
      <x v="8"/>
    </i>
    <i>
      <x v="9"/>
    </i>
    <i>
      <x v="10"/>
    </i>
    <i>
      <x v="12"/>
    </i>
    <i>
      <x v="13"/>
    </i>
    <i>
      <x v="14"/>
    </i>
    <i>
      <x v="18"/>
    </i>
    <i>
      <x v="21"/>
    </i>
    <i>
      <x v="22"/>
    </i>
    <i>
      <x v="26"/>
    </i>
    <i t="grand">
      <x/>
    </i>
  </rowItems>
  <colItems count="1">
    <i/>
  </colItems>
  <dataFields count="1">
    <dataField name="Count of What is you interested area?" fld="21" subtotal="count" baseField="0" baseItem="0"/>
  </dataFields>
  <chartFormats count="5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1" count="1" selected="0">
            <x v="0"/>
          </reference>
        </references>
      </pivotArea>
    </chartFormat>
    <chartFormat chart="2" format="3">
      <pivotArea type="data" outline="0" fieldPosition="0">
        <references count="2">
          <reference field="4294967294" count="1" selected="0">
            <x v="0"/>
          </reference>
          <reference field="21" count="1" selected="0">
            <x v="1"/>
          </reference>
        </references>
      </pivotArea>
    </chartFormat>
    <chartFormat chart="2" format="4">
      <pivotArea type="data" outline="0" fieldPosition="0">
        <references count="2">
          <reference field="4294967294" count="1" selected="0">
            <x v="0"/>
          </reference>
          <reference field="21" count="1" selected="0">
            <x v="5"/>
          </reference>
        </references>
      </pivotArea>
    </chartFormat>
    <chartFormat chart="2" format="5">
      <pivotArea type="data" outline="0" fieldPosition="0">
        <references count="2">
          <reference field="4294967294" count="1" selected="0">
            <x v="0"/>
          </reference>
          <reference field="21" count="1" selected="0">
            <x v="8"/>
          </reference>
        </references>
      </pivotArea>
    </chartFormat>
    <chartFormat chart="2" format="6">
      <pivotArea type="data" outline="0" fieldPosition="0">
        <references count="2">
          <reference field="4294967294" count="1" selected="0">
            <x v="0"/>
          </reference>
          <reference field="21" count="1" selected="0">
            <x v="9"/>
          </reference>
        </references>
      </pivotArea>
    </chartFormat>
    <chartFormat chart="2" format="7">
      <pivotArea type="data" outline="0" fieldPosition="0">
        <references count="2">
          <reference field="4294967294" count="1" selected="0">
            <x v="0"/>
          </reference>
          <reference field="21" count="1" selected="0">
            <x v="10"/>
          </reference>
        </references>
      </pivotArea>
    </chartFormat>
    <chartFormat chart="2" format="8">
      <pivotArea type="data" outline="0" fieldPosition="0">
        <references count="2">
          <reference field="4294967294" count="1" selected="0">
            <x v="0"/>
          </reference>
          <reference field="21" count="1" selected="0">
            <x v="12"/>
          </reference>
        </references>
      </pivotArea>
    </chartFormat>
    <chartFormat chart="2" format="9">
      <pivotArea type="data" outline="0" fieldPosition="0">
        <references count="2">
          <reference field="4294967294" count="1" selected="0">
            <x v="0"/>
          </reference>
          <reference field="21" count="1" selected="0">
            <x v="13"/>
          </reference>
        </references>
      </pivotArea>
    </chartFormat>
    <chartFormat chart="2" format="10">
      <pivotArea type="data" outline="0" fieldPosition="0">
        <references count="2">
          <reference field="4294967294" count="1" selected="0">
            <x v="0"/>
          </reference>
          <reference field="21" count="1" selected="0">
            <x v="14"/>
          </reference>
        </references>
      </pivotArea>
    </chartFormat>
    <chartFormat chart="2" format="11">
      <pivotArea type="data" outline="0" fieldPosition="0">
        <references count="2">
          <reference field="4294967294" count="1" selected="0">
            <x v="0"/>
          </reference>
          <reference field="21" count="1" selected="0">
            <x v="18"/>
          </reference>
        </references>
      </pivotArea>
    </chartFormat>
    <chartFormat chart="2" format="12">
      <pivotArea type="data" outline="0" fieldPosition="0">
        <references count="2">
          <reference field="4294967294" count="1" selected="0">
            <x v="0"/>
          </reference>
          <reference field="21" count="1" selected="0">
            <x v="21"/>
          </reference>
        </references>
      </pivotArea>
    </chartFormat>
    <chartFormat chart="2" format="13">
      <pivotArea type="data" outline="0" fieldPosition="0">
        <references count="2">
          <reference field="4294967294" count="1" selected="0">
            <x v="0"/>
          </reference>
          <reference field="21" count="1" selected="0">
            <x v="22"/>
          </reference>
        </references>
      </pivotArea>
    </chartFormat>
    <chartFormat chart="2" format="14">
      <pivotArea type="data" outline="0" fieldPosition="0">
        <references count="2">
          <reference field="4294967294" count="1" selected="0">
            <x v="0"/>
          </reference>
          <reference field="21" count="1" selected="0">
            <x v="26"/>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21" count="1" selected="0">
            <x v="0"/>
          </reference>
        </references>
      </pivotArea>
    </chartFormat>
    <chartFormat chart="3" format="17">
      <pivotArea type="data" outline="0" fieldPosition="0">
        <references count="2">
          <reference field="4294967294" count="1" selected="0">
            <x v="0"/>
          </reference>
          <reference field="21" count="1" selected="0">
            <x v="1"/>
          </reference>
        </references>
      </pivotArea>
    </chartFormat>
    <chartFormat chart="3" format="18">
      <pivotArea type="data" outline="0" fieldPosition="0">
        <references count="2">
          <reference field="4294967294" count="1" selected="0">
            <x v="0"/>
          </reference>
          <reference field="21" count="1" selected="0">
            <x v="5"/>
          </reference>
        </references>
      </pivotArea>
    </chartFormat>
    <chartFormat chart="3" format="19">
      <pivotArea type="data" outline="0" fieldPosition="0">
        <references count="2">
          <reference field="4294967294" count="1" selected="0">
            <x v="0"/>
          </reference>
          <reference field="21" count="1" selected="0">
            <x v="8"/>
          </reference>
        </references>
      </pivotArea>
    </chartFormat>
    <chartFormat chart="3" format="20">
      <pivotArea type="data" outline="0" fieldPosition="0">
        <references count="2">
          <reference field="4294967294" count="1" selected="0">
            <x v="0"/>
          </reference>
          <reference field="21" count="1" selected="0">
            <x v="9"/>
          </reference>
        </references>
      </pivotArea>
    </chartFormat>
    <chartFormat chart="3" format="21">
      <pivotArea type="data" outline="0" fieldPosition="0">
        <references count="2">
          <reference field="4294967294" count="1" selected="0">
            <x v="0"/>
          </reference>
          <reference field="21" count="1" selected="0">
            <x v="10"/>
          </reference>
        </references>
      </pivotArea>
    </chartFormat>
    <chartFormat chart="3" format="22">
      <pivotArea type="data" outline="0" fieldPosition="0">
        <references count="2">
          <reference field="4294967294" count="1" selected="0">
            <x v="0"/>
          </reference>
          <reference field="21" count="1" selected="0">
            <x v="12"/>
          </reference>
        </references>
      </pivotArea>
    </chartFormat>
    <chartFormat chart="3" format="23">
      <pivotArea type="data" outline="0" fieldPosition="0">
        <references count="2">
          <reference field="4294967294" count="1" selected="0">
            <x v="0"/>
          </reference>
          <reference field="21" count="1" selected="0">
            <x v="13"/>
          </reference>
        </references>
      </pivotArea>
    </chartFormat>
    <chartFormat chart="3" format="24">
      <pivotArea type="data" outline="0" fieldPosition="0">
        <references count="2">
          <reference field="4294967294" count="1" selected="0">
            <x v="0"/>
          </reference>
          <reference field="21" count="1" selected="0">
            <x v="14"/>
          </reference>
        </references>
      </pivotArea>
    </chartFormat>
    <chartFormat chart="3" format="25">
      <pivotArea type="data" outline="0" fieldPosition="0">
        <references count="2">
          <reference field="4294967294" count="1" selected="0">
            <x v="0"/>
          </reference>
          <reference field="21" count="1" selected="0">
            <x v="18"/>
          </reference>
        </references>
      </pivotArea>
    </chartFormat>
    <chartFormat chart="3" format="26">
      <pivotArea type="data" outline="0" fieldPosition="0">
        <references count="2">
          <reference field="4294967294" count="1" selected="0">
            <x v="0"/>
          </reference>
          <reference field="21" count="1" selected="0">
            <x v="21"/>
          </reference>
        </references>
      </pivotArea>
    </chartFormat>
    <chartFormat chart="3" format="27">
      <pivotArea type="data" outline="0" fieldPosition="0">
        <references count="2">
          <reference field="4294967294" count="1" selected="0">
            <x v="0"/>
          </reference>
          <reference field="21" count="1" selected="0">
            <x v="22"/>
          </reference>
        </references>
      </pivotArea>
    </chartFormat>
    <chartFormat chart="3" format="28">
      <pivotArea type="data" outline="0" fieldPosition="0">
        <references count="2">
          <reference field="4294967294" count="1" selected="0">
            <x v="0"/>
          </reference>
          <reference field="21" count="1" selected="0">
            <x v="26"/>
          </reference>
        </references>
      </pivotArea>
    </chartFormat>
    <chartFormat chart="4" format="29" series="1">
      <pivotArea type="data" outline="0" fieldPosition="0">
        <references count="1">
          <reference field="4294967294" count="1" selected="0">
            <x v="0"/>
          </reference>
        </references>
      </pivotArea>
    </chartFormat>
    <chartFormat chart="4" format="30">
      <pivotArea type="data" outline="0" fieldPosition="0">
        <references count="2">
          <reference field="4294967294" count="1" selected="0">
            <x v="0"/>
          </reference>
          <reference field="21" count="1" selected="0">
            <x v="0"/>
          </reference>
        </references>
      </pivotArea>
    </chartFormat>
    <chartFormat chart="4" format="31">
      <pivotArea type="data" outline="0" fieldPosition="0">
        <references count="2">
          <reference field="4294967294" count="1" selected="0">
            <x v="0"/>
          </reference>
          <reference field="21" count="1" selected="0">
            <x v="1"/>
          </reference>
        </references>
      </pivotArea>
    </chartFormat>
    <chartFormat chart="4" format="32">
      <pivotArea type="data" outline="0" fieldPosition="0">
        <references count="2">
          <reference field="4294967294" count="1" selected="0">
            <x v="0"/>
          </reference>
          <reference field="21" count="1" selected="0">
            <x v="5"/>
          </reference>
        </references>
      </pivotArea>
    </chartFormat>
    <chartFormat chart="4" format="33">
      <pivotArea type="data" outline="0" fieldPosition="0">
        <references count="2">
          <reference field="4294967294" count="1" selected="0">
            <x v="0"/>
          </reference>
          <reference field="21" count="1" selected="0">
            <x v="8"/>
          </reference>
        </references>
      </pivotArea>
    </chartFormat>
    <chartFormat chart="4" format="34">
      <pivotArea type="data" outline="0" fieldPosition="0">
        <references count="2">
          <reference field="4294967294" count="1" selected="0">
            <x v="0"/>
          </reference>
          <reference field="21" count="1" selected="0">
            <x v="9"/>
          </reference>
        </references>
      </pivotArea>
    </chartFormat>
    <chartFormat chart="4" format="35">
      <pivotArea type="data" outline="0" fieldPosition="0">
        <references count="2">
          <reference field="4294967294" count="1" selected="0">
            <x v="0"/>
          </reference>
          <reference field="21" count="1" selected="0">
            <x v="10"/>
          </reference>
        </references>
      </pivotArea>
    </chartFormat>
    <chartFormat chart="4" format="36">
      <pivotArea type="data" outline="0" fieldPosition="0">
        <references count="2">
          <reference field="4294967294" count="1" selected="0">
            <x v="0"/>
          </reference>
          <reference field="21" count="1" selected="0">
            <x v="12"/>
          </reference>
        </references>
      </pivotArea>
    </chartFormat>
    <chartFormat chart="4" format="37">
      <pivotArea type="data" outline="0" fieldPosition="0">
        <references count="2">
          <reference field="4294967294" count="1" selected="0">
            <x v="0"/>
          </reference>
          <reference field="21" count="1" selected="0">
            <x v="13"/>
          </reference>
        </references>
      </pivotArea>
    </chartFormat>
    <chartFormat chart="4" format="38">
      <pivotArea type="data" outline="0" fieldPosition="0">
        <references count="2">
          <reference field="4294967294" count="1" selected="0">
            <x v="0"/>
          </reference>
          <reference field="21" count="1" selected="0">
            <x v="14"/>
          </reference>
        </references>
      </pivotArea>
    </chartFormat>
    <chartFormat chart="4" format="39">
      <pivotArea type="data" outline="0" fieldPosition="0">
        <references count="2">
          <reference field="4294967294" count="1" selected="0">
            <x v="0"/>
          </reference>
          <reference field="21" count="1" selected="0">
            <x v="18"/>
          </reference>
        </references>
      </pivotArea>
    </chartFormat>
    <chartFormat chart="4" format="40">
      <pivotArea type="data" outline="0" fieldPosition="0">
        <references count="2">
          <reference field="4294967294" count="1" selected="0">
            <x v="0"/>
          </reference>
          <reference field="21" count="1" selected="0">
            <x v="21"/>
          </reference>
        </references>
      </pivotArea>
    </chartFormat>
    <chartFormat chart="4" format="41">
      <pivotArea type="data" outline="0" fieldPosition="0">
        <references count="2">
          <reference field="4294967294" count="1" selected="0">
            <x v="0"/>
          </reference>
          <reference field="21" count="1" selected="0">
            <x v="22"/>
          </reference>
        </references>
      </pivotArea>
    </chartFormat>
    <chartFormat chart="4" format="42">
      <pivotArea type="data" outline="0" fieldPosition="0">
        <references count="2">
          <reference field="4294967294" count="1" selected="0">
            <x v="0"/>
          </reference>
          <reference field="21" count="1" selected="0">
            <x v="26"/>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17DA5F-1F67-4688-820B-282362CB44C9}"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2:B185"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8"/>
  </rowFields>
  <rowItems count="3">
    <i>
      <x/>
    </i>
    <i>
      <x v="1"/>
    </i>
    <i t="grand">
      <x/>
    </i>
  </rowItems>
  <colItems count="1">
    <i/>
  </colItems>
  <dataFields count="1">
    <dataField name="Percent of Do you attend in teacher consultancy for any kind of academical problems?" fld="18"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6F64A7-95C1-4FE7-9289-53CD475C8D1C}"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74:B178"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4">
    <i>
      <x/>
    </i>
    <i>
      <x v="1"/>
    </i>
    <i>
      <x v="2"/>
    </i>
    <i t="grand">
      <x/>
    </i>
  </rowItems>
  <colItems count="1">
    <i/>
  </colItems>
  <dataFields count="1">
    <dataField name="Count of Status of your English language proficiency" fld="14" subtotal="count" baseField="0" baseItem="0"/>
  </dataFields>
  <chartFormats count="3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1"/>
          </reference>
        </references>
      </pivotArea>
    </chartFormat>
    <chartFormat chart="1" format="4">
      <pivotArea type="data" outline="0" fieldPosition="0">
        <references count="2">
          <reference field="4294967294" count="1" selected="0">
            <x v="0"/>
          </reference>
          <reference field="14"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4" count="1" selected="0">
            <x v="0"/>
          </reference>
        </references>
      </pivotArea>
    </chartFormat>
    <chartFormat chart="3" format="11">
      <pivotArea type="data" outline="0" fieldPosition="0">
        <references count="2">
          <reference field="4294967294" count="1" selected="0">
            <x v="0"/>
          </reference>
          <reference field="14" count="1" selected="0">
            <x v="1"/>
          </reference>
        </references>
      </pivotArea>
    </chartFormat>
    <chartFormat chart="3" format="12">
      <pivotArea type="data" outline="0" fieldPosition="0">
        <references count="2">
          <reference field="4294967294" count="1" selected="0">
            <x v="0"/>
          </reference>
          <reference field="14" count="1" selected="0">
            <x v="2"/>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4" count="1" selected="0">
            <x v="0"/>
          </reference>
        </references>
      </pivotArea>
    </chartFormat>
    <chartFormat chart="5" format="3">
      <pivotArea type="data" outline="0" fieldPosition="0">
        <references count="2">
          <reference field="4294967294" count="1" selected="0">
            <x v="0"/>
          </reference>
          <reference field="14" count="1" selected="0">
            <x v="1"/>
          </reference>
        </references>
      </pivotArea>
    </chartFormat>
    <chartFormat chart="5" format="4">
      <pivotArea type="data" outline="0" fieldPosition="0">
        <references count="2">
          <reference field="4294967294" count="1" selected="0">
            <x v="0"/>
          </reference>
          <reference field="14"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4" count="1" selected="0">
            <x v="0"/>
          </reference>
        </references>
      </pivotArea>
    </chartFormat>
    <chartFormat chart="7" format="11">
      <pivotArea type="data" outline="0" fieldPosition="0">
        <references count="2">
          <reference field="4294967294" count="1" selected="0">
            <x v="0"/>
          </reference>
          <reference field="14" count="1" selected="0">
            <x v="1"/>
          </reference>
        </references>
      </pivotArea>
    </chartFormat>
    <chartFormat chart="7" format="12">
      <pivotArea type="data" outline="0" fieldPosition="0">
        <references count="2">
          <reference field="4294967294" count="1" selected="0">
            <x v="0"/>
          </reference>
          <reference field="14"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4" count="1" selected="0">
            <x v="0"/>
          </reference>
        </references>
      </pivotArea>
    </chartFormat>
    <chartFormat chart="8" format="15">
      <pivotArea type="data" outline="0" fieldPosition="0">
        <references count="2">
          <reference field="4294967294" count="1" selected="0">
            <x v="0"/>
          </reference>
          <reference field="14" count="1" selected="0">
            <x v="1"/>
          </reference>
        </references>
      </pivotArea>
    </chartFormat>
    <chartFormat chart="8" format="16">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41FD6A-49F5-4896-AE23-8104C725D3A9}" name="PivotTable1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97:B200"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0"/>
  </rowFields>
  <rowItems count="3">
    <i>
      <x/>
    </i>
    <i>
      <x v="1"/>
    </i>
    <i t="grand">
      <x/>
    </i>
  </rowItems>
  <colItems count="1">
    <i/>
  </colItems>
  <dataFields count="1">
    <dataField name="Percent of What is your preferable learning mode?" fld="1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459F9F-BA3F-432A-8395-ED8816548115}"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7:B54"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1"/>
        <item x="3"/>
        <item x="2"/>
        <item x="1"/>
        <item x="4"/>
        <item x="0"/>
        <item x="5"/>
        <item x="6"/>
        <item x="7"/>
        <item x="15"/>
        <item x="9"/>
        <item x="14"/>
        <item x="10"/>
        <item x="8"/>
        <item x="13"/>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13"/>
  </rowFields>
  <rowItems count="17">
    <i>
      <x/>
    </i>
    <i>
      <x v="1"/>
    </i>
    <i>
      <x v="2"/>
    </i>
    <i>
      <x v="3"/>
    </i>
    <i>
      <x v="4"/>
    </i>
    <i>
      <x v="5"/>
    </i>
    <i>
      <x v="6"/>
    </i>
    <i>
      <x v="7"/>
    </i>
    <i>
      <x v="8"/>
    </i>
    <i>
      <x v="9"/>
    </i>
    <i>
      <x v="10"/>
    </i>
    <i>
      <x v="11"/>
    </i>
    <i>
      <x v="12"/>
    </i>
    <i>
      <x v="13"/>
    </i>
    <i>
      <x v="14"/>
    </i>
    <i>
      <x v="15"/>
    </i>
    <i t="grand">
      <x/>
    </i>
  </rowItems>
  <colItems count="1">
    <i/>
  </colItems>
  <dataFields count="1">
    <dataField name="Average of What is your current CGPA?" fld="2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034D40-0C8C-45EF-8241-10E7E27E2062}"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92:B195" firstHeaderRow="1" firstDataRow="1" firstDataCol="1"/>
  <pivotFields count="34">
    <pivotField compact="0" outline="0" showAll="0">
      <items count="12">
        <item x="9"/>
        <item x="8"/>
        <item x="6"/>
        <item x="7"/>
        <item x="5"/>
        <item x="0"/>
        <item x="4"/>
        <item x="2"/>
        <item x="1"/>
        <item x="3"/>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
        <item m="1"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5"/>
  </rowFields>
  <rowItems count="3">
    <i>
      <x v="1"/>
    </i>
    <i>
      <x v="2"/>
    </i>
    <i t="grand">
      <x/>
    </i>
  </rowItems>
  <colItems count="1">
    <i/>
  </colItems>
  <dataFields count="1">
    <dataField name="Percentage of Do you have any health issues?" fld="2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324B061-774F-4236-B065-EFC22F2B743F}"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B123:AD130" firstHeaderRow="1" firstDataRow="1" firstDataCol="2"/>
  <pivotFields count="34">
    <pivotField compact="0" outline="0" showAll="0">
      <items count="12">
        <item x="9"/>
        <item x="8"/>
        <item x="6"/>
        <item x="7"/>
        <item x="5"/>
        <item x="0"/>
        <item x="4"/>
        <item x="2"/>
        <item x="1"/>
        <item x="3"/>
        <item x="1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axis="axisRow" compact="0" outline="0" showAll="0">
      <items count="4">
        <item x="1"/>
        <item x="0"/>
        <item m="1" x="2"/>
        <item t="default"/>
      </items>
    </pivotField>
    <pivotField compact="0" outline="0" showAll="0"/>
  </pivotFields>
  <rowFields count="2">
    <field x="32"/>
    <field x="31"/>
  </rowFields>
  <rowItems count="7">
    <i>
      <x/>
      <x/>
    </i>
    <i t="default">
      <x/>
    </i>
    <i>
      <x v="1"/>
      <x/>
    </i>
    <i r="1">
      <x v="1"/>
    </i>
    <i r="1">
      <x v="2"/>
    </i>
    <i t="default">
      <x v="1"/>
    </i>
    <i t="grand">
      <x/>
    </i>
  </rowItems>
  <colItems count="1">
    <i/>
  </colItems>
  <dataFields count="1">
    <dataField name="Count of Gender" fld="1" subtotal="count"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13">
    <v t="e">#NULL!</v>
    <v t="e">#NULL!</v>
    <v t="e">#NULL!</v>
    <v t="e">#NULL!</v>
    <v t="e">#NULL!</v>
    <v t="e">#NULL!</v>
    <v t="e">#NULL!</v>
    <v t="e">#NULL!</v>
    <v t="e">#NULL!</v>
    <v t="r">1</v>
    <v t="e">#NULL!</v>
    <v t="e">#NULL!</v>
    <v t="i">1</v>
  </a>
</arrayData>
</file>

<file path=xl/richData/rdrichvalue.xml><?xml version="1.0" encoding="utf-8"?>
<rvData xmlns="http://schemas.microsoft.com/office/spreadsheetml/2017/richdata" count="4">
  <rv s="0">
    <v>13</v>
    <v>24</v>
  </rv>
  <rv s="1">
    <v>13</v>
    <v>1</v>
  </rv>
  <rv s="2">
    <v>0</v>
  </rv>
  <rv s="3">
    <v>{0DB0E0AD-8EBF-4629-AB28-F6F92AFA7EAE}</v>
    <v>0</v>
    <v>0</v>
    <v>2</v>
  </rv>
</rvData>
</file>

<file path=xl/richData/rdrichvaluestructure.xml><?xml version="1.0" encoding="utf-8"?>
<rvStructures xmlns="http://schemas.microsoft.com/office/spreadsheetml/2017/richdata" count="4">
  <s t="_error">
    <k n="errorType" t="i"/>
    <k n="subType" t="i"/>
  </s>
  <s t="_error">
    <k n="errorType" t="i"/>
    <k n="propagated" t="b"/>
  </s>
  <s t="_array">
    <k n="array" t="a"/>
  </s>
  <s t="_datasourcecontainer">
    <k n="%XLUID" t="s"/>
    <k n="_CRID" t="i"/>
    <k n="_Display" t="spb"/>
    <k n="University Admission year" t="r"/>
  </s>
</rvStructures>
</file>

<file path=xl/richData/rdsupportingpropertybag.xml><?xml version="1.0" encoding="utf-8"?>
<supportingPropertyBags xmlns="http://schemas.microsoft.com/office/spreadsheetml/2017/richdata2">
  <spbArrays count="1">
    <a count="4">
      <v t="s">University Admission year</v>
      <v t="s">_CRID</v>
      <v t="s">%XLUID</v>
      <v t="s">_Display</v>
    </a>
  </spbArrays>
  <spbData count="1">
    <spb s="0">
      <v>0</v>
    </spb>
  </spbData>
</supportingPropertyBags>
</file>

<file path=xl/richData/rdsupportingpropertybagstructure.xml><?xml version="1.0" encoding="utf-8"?>
<spbStructures xmlns="http://schemas.microsoft.com/office/spreadsheetml/2017/richdata2" count="1">
  <s>
    <k n="^Order" t="spba"/>
  </s>
</spb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_Admission_year" xr10:uid="{4A6DAC24-AD50-47F2-8165-E9858847F4C3}" sourceName="University Admission year">
  <pivotTables>
    <pivotTable tabId="2" name="PivotTable2"/>
    <pivotTable tabId="2" name="PivotTable10"/>
    <pivotTable tabId="2" name="PivotTable1"/>
    <pivotTable tabId="2" name="PivotTable11"/>
    <pivotTable tabId="2" name="PivotTable12"/>
    <pivotTable tabId="2" name="PivotTable13"/>
    <pivotTable tabId="2" name="PivotTable14"/>
    <pivotTable tabId="2" name="PivotTable15"/>
    <pivotTable tabId="2" name="PivotTable17"/>
    <pivotTable tabId="2" name="PivotTable18"/>
    <pivotTable tabId="2" name="PivotTable3"/>
    <pivotTable tabId="2" name="PivotTable4"/>
    <pivotTable tabId="2" name="PivotTable5"/>
    <pivotTable tabId="2" name="PivotTable6"/>
    <pivotTable tabId="2" name="PivotTable8"/>
  </pivotTables>
  <data>
    <tabular pivotCacheId="970667180">
      <items count="11">
        <i x="9" s="1"/>
        <i x="8" s="1"/>
        <i x="6" s="1"/>
        <i x="7" s="1"/>
        <i x="5" s="1"/>
        <i x="0" s="1"/>
        <i x="4" s="1"/>
        <i x="2" s="1"/>
        <i x="1" s="1"/>
        <i x="3"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 xr10:uid="{FED819EA-F89C-452E-B9CE-58C84E6E6CE9}" sourceName="Program">
  <pivotTables>
    <pivotTable tabId="2" name="PivotTable2"/>
  </pivotTables>
  <data>
    <tabular pivotCacheId="97066718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versity Admission year" xr10:uid="{D8FC0CBD-6816-4398-B07A-9D0A5057F3BB}" cache="Slicer_University_Admission_year" caption="University Admission year" columnCount="4" rowHeight="540000"/>
  <slicer name="Program" xr10:uid="{45ED50DC-7B67-48CE-80FC-5EED9CD4709E}" cache="Slicer_Program" caption="Program"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versity Admission year 1" xr10:uid="{01BDDAC6-2369-4C32-9F9E-84AA01874051}" cache="Slicer_University_Admission_year" caption="University Admission year" columnCount="4" rowHeight="540000"/>
  <slicer name="Program 1" xr10:uid="{F060AE2E-F9A4-4605-B599-3713ED400763}" cache="Slicer_Program" caption="Program"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088730-3094-4015-8338-5B9EEB8C057A}" name="Table1" displayName="Table1" ref="A1:AH1195" totalsRowShown="0">
  <autoFilter ref="A1:AH1195" xr:uid="{80088730-3094-4015-8338-5B9EEB8C057A}"/>
  <tableColumns count="34">
    <tableColumn id="1" xr3:uid="{5BBC1B7D-368A-42E3-BF8D-3A68AD1712CF}" name="University Admission year"/>
    <tableColumn id="2" xr3:uid="{D6634BD3-D73C-4D4C-A6B9-0520D40CE0C0}" name="Gender"/>
    <tableColumn id="3" xr3:uid="{03C3F6D7-BBE8-42CD-B6C1-43A4CEF95EA1}" name="Age"/>
    <tableColumn id="4" xr3:uid="{8B86A1FA-8911-4D43-A001-8F7DAB0C850C}" name="H.S.C passing year"/>
    <tableColumn id="5" xr3:uid="{5EB2831F-B2A7-407C-B858-AFB664ED0F6F}" name="Program"/>
    <tableColumn id="6" xr3:uid="{C29F5E97-136F-49A4-8A1B-75F4D29623A9}" name="Current Semester"/>
    <tableColumn id="7" xr3:uid="{F3BF84BB-9762-47C1-9022-1A175077FB12}" name="Do you have meritorious scholarship ?"/>
    <tableColumn id="8" xr3:uid="{493C6508-9805-4489-9B0C-3271D278061D}" name="Do you use University transportation?"/>
    <tableColumn id="9" xr3:uid="{94F6D1A3-F021-4EB4-9F9E-C5DC9A178EF8}" name="How many hour do you study daily?"/>
    <tableColumn id="10" xr3:uid="{C4444E1B-48AA-47A2-B925-C9744C32BD12}" name="How many times do you seat for study in a day?"/>
    <tableColumn id="11" xr3:uid="{26D785B6-07E2-4C1A-B48E-6A2E2F85759A}" name="What is your preferable learning mode?"/>
    <tableColumn id="12" xr3:uid="{40B8ECA3-31A0-43D1-ACF6-BC5F527FA602}" name="Do you play mobile games?"/>
    <tableColumn id="13" xr3:uid="{3C68ADF2-AE72-45E9-B7D2-09137446CEF6}" name="Do you have personal Computer?"/>
    <tableColumn id="14" xr3:uid="{6B516D66-CAA4-4191-BA22-53E4BDDE9815}" name="How many hour do you spent daily in social media?"/>
    <tableColumn id="15" xr3:uid="{5F0FCE67-A4E6-4E50-A243-571296BB9894}" name="Status of your English language proficiency"/>
    <tableColumn id="16" xr3:uid="{F71ACCC4-977D-4864-86CE-637C9F13F752}" name="Average attendance on class"/>
    <tableColumn id="17" xr3:uid="{FC5C481B-5A7F-42B3-A2DE-5CDE00C83808}" name="Did you ever fall in probation?"/>
    <tableColumn id="18" xr3:uid="{9204FD16-5AA7-4E9C-8CBA-B074CACF4811}" name="Did you ever got suspension?"/>
    <tableColumn id="19" xr3:uid="{6CD5A2BB-09D9-4FFC-84F6-8854EA31E3C5}" name="Do you attend in teacher consultancy for any kind of academical problems?"/>
    <tableColumn id="20" xr3:uid="{C19D2634-53C1-4F1E-8125-81F30CDF2A14}" name="What are the skills do you have ?"/>
    <tableColumn id="21" xr3:uid="{F94983BB-C343-4EFB-83ED-CD9C854FBC88}" name="How many hour do you spent daily on your skill development?"/>
    <tableColumn id="22" xr3:uid="{715D7157-8E95-4F8F-A253-AD843627B63E}" name="What is you interested area?"/>
    <tableColumn id="23" xr3:uid="{C594986C-23EB-405E-9AF0-B0583454B86A}" name="What is your relationship status?"/>
    <tableColumn id="24" xr3:uid="{541626A9-5D31-4D66-A0C8-26F65BE41F1E}" name="Are you engaged with any co-curriculum activities?"/>
    <tableColumn id="25" xr3:uid="{A17E294C-E0F4-4EBD-BB19-C8D0FEB4939D}" name="With whom you are living with?"/>
    <tableColumn id="26" xr3:uid="{3142B6E1-FC7F-46F1-9631-E950D5469451}" name="Do you have any health issues?"/>
    <tableColumn id="27" xr3:uid="{B0CD5DBD-F875-42A5-8E8A-684122CF201C}" name="What was your previous SGPA?"/>
    <tableColumn id="28" xr3:uid="{D881AED5-A492-44CF-A8F0-88F352F8F9EA}" name="Do you have any physical disabilities?"/>
    <tableColumn id="29" xr3:uid="{71CEA056-AE4C-4800-9165-D19DC8C12417}" name="What is your current CGPA?"/>
    <tableColumn id="30" xr3:uid="{5428EFF2-DDA5-43F6-8C8E-65D3DAAED9F0}" name="How many Credit did you have completed?"/>
    <tableColumn id="31" xr3:uid="{B7CA7590-90BF-49AE-8D15-96F35A662D5A}" name="What is your monthly family income?"/>
    <tableColumn id="32" xr3:uid="{955D260B-CEEF-41C2-A5CD-924BBEB0492E}" name="Performance" dataDxfId="2">
      <calculatedColumnFormula>IF(Table1[[#This Row],[What is your current CGPA?]]&gt;=3.5,"High",IF(Table1[[#This Row],[What is your current CGPA?]]&gt;=2.5,"Medium","Low"))</calculatedColumnFormula>
    </tableColumn>
    <tableColumn id="33" xr3:uid="{8C42C898-101A-4762-8160-4EE481A52AC9}" name="Risk Flag" dataDxfId="1">
      <calculatedColumnFormula>IF(AND(Table1[[#This Row],[Average attendance on class]]&lt;75,Table1[[#This Row],[How many hour do you study daily?]]&lt;1),"At Risk","Normal")</calculatedColumnFormula>
    </tableColumn>
    <tableColumn id="34" xr3:uid="{3DB1CC28-5773-45B6-85AC-2282B9111686}" name="Engagement Score" dataDxfId="0">
      <calculatedColumnFormula>(Table1[[#This Row],[Average attendance on class]]*0.4)+(Table1[[#This Row],[How many hour do you study daily?]]*10*0.3)+(Table1[[#This Row],[How many hour do you spent daily on your skill development?]]*10*0.3)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6BFA-A29D-41A1-B201-29A483559412}">
  <dimension ref="A1:AH1195"/>
  <sheetViews>
    <sheetView topLeftCell="A193" workbookViewId="0">
      <selection activeCell="A203" sqref="A203"/>
    </sheetView>
  </sheetViews>
  <sheetFormatPr defaultRowHeight="15" x14ac:dyDescent="0.25"/>
  <cols>
    <col min="1" max="1" width="26.28515625" bestFit="1" customWidth="1"/>
    <col min="2" max="2" width="9.7109375" bestFit="1" customWidth="1"/>
    <col min="4" max="4" width="19.28515625" bestFit="1" customWidth="1"/>
    <col min="5" max="5" width="10.7109375" bestFit="1" customWidth="1"/>
    <col min="6" max="6" width="18.7109375" bestFit="1" customWidth="1"/>
    <col min="7" max="11" width="30.7109375" bestFit="1" customWidth="1"/>
    <col min="12" max="12" width="27.5703125" bestFit="1" customWidth="1"/>
    <col min="13" max="15" width="30.7109375" bestFit="1" customWidth="1"/>
    <col min="16" max="16" width="28.42578125" bestFit="1" customWidth="1"/>
    <col min="17" max="17" width="30.140625" bestFit="1" customWidth="1"/>
    <col min="18" max="18" width="29.140625" bestFit="1" customWidth="1"/>
    <col min="19" max="28" width="30.7109375" bestFit="1" customWidth="1"/>
    <col min="29" max="29" width="27.85546875" bestFit="1" customWidth="1"/>
    <col min="30" max="31" width="30.7109375" bestFit="1" customWidth="1"/>
    <col min="32" max="32" width="17.7109375" customWidth="1"/>
    <col min="33" max="33" width="25.85546875" customWidth="1"/>
    <col min="34" max="34" width="36.5703125" bestFit="1"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s="2" t="s">
        <v>31</v>
      </c>
      <c r="AG1" t="s">
        <v>32</v>
      </c>
      <c r="AH1" t="s">
        <v>33</v>
      </c>
    </row>
    <row r="2" spans="1:34" x14ac:dyDescent="0.25">
      <c r="A2">
        <v>2018</v>
      </c>
      <c r="B2" t="s">
        <v>34</v>
      </c>
      <c r="C2">
        <v>24</v>
      </c>
      <c r="D2">
        <v>2016</v>
      </c>
      <c r="E2" t="s">
        <v>35</v>
      </c>
      <c r="F2">
        <v>12</v>
      </c>
      <c r="G2" t="s">
        <v>36</v>
      </c>
      <c r="H2" t="s">
        <v>37</v>
      </c>
      <c r="I2">
        <v>3</v>
      </c>
      <c r="J2">
        <v>2</v>
      </c>
      <c r="K2" t="s">
        <v>38</v>
      </c>
      <c r="L2" t="s">
        <v>36</v>
      </c>
      <c r="M2" t="s">
        <v>36</v>
      </c>
      <c r="N2">
        <v>5</v>
      </c>
      <c r="O2" t="s">
        <v>39</v>
      </c>
      <c r="P2">
        <v>90</v>
      </c>
      <c r="Q2" t="s">
        <v>37</v>
      </c>
      <c r="R2" t="s">
        <v>37</v>
      </c>
      <c r="S2" t="s">
        <v>36</v>
      </c>
      <c r="T2" t="s">
        <v>40</v>
      </c>
      <c r="U2">
        <v>2</v>
      </c>
      <c r="V2" t="s">
        <v>41</v>
      </c>
      <c r="W2" t="s">
        <v>42</v>
      </c>
      <c r="X2" t="s">
        <v>36</v>
      </c>
      <c r="Y2" t="s">
        <v>43</v>
      </c>
      <c r="Z2" t="s">
        <v>37</v>
      </c>
      <c r="AA2">
        <v>2.68</v>
      </c>
      <c r="AB2" t="s">
        <v>37</v>
      </c>
      <c r="AC2">
        <v>3.15</v>
      </c>
      <c r="AD2">
        <v>75</v>
      </c>
      <c r="AE2">
        <v>25000</v>
      </c>
      <c r="AF2" t="str">
        <f>IF(Table1[[#This Row],[What is your current CGPA?]]&gt;=3.5,"High",IF(Table1[[#This Row],[What is your current CGPA?]]&gt;=2.5,"Medium","Low"))</f>
        <v>Medium</v>
      </c>
      <c r="AG2" t="str">
        <f>IF(AND(Table1[[#This Row],[Average attendance on class]]&lt;75,Table1[[#This Row],[How many hour do you study daily?]]&lt;1),"At Risk","Normal")</f>
        <v>Normal</v>
      </c>
      <c r="AH2">
        <f>(Table1[[#This Row],[Average attendance on class]]*0.4)+(Table1[[#This Row],[How many hour do you study daily?]]*10*0.3)+(Table1[[#This Row],[How many hour do you spent daily on your skill development?]]*10*0.3)</f>
        <v>51</v>
      </c>
    </row>
    <row r="3" spans="1:34" x14ac:dyDescent="0.25">
      <c r="A3">
        <v>2021</v>
      </c>
      <c r="B3" t="s">
        <v>34</v>
      </c>
      <c r="C3">
        <v>22</v>
      </c>
      <c r="D3">
        <v>2020</v>
      </c>
      <c r="E3" t="s">
        <v>35</v>
      </c>
      <c r="F3">
        <v>4</v>
      </c>
      <c r="G3" t="s">
        <v>36</v>
      </c>
      <c r="H3" t="s">
        <v>36</v>
      </c>
      <c r="I3">
        <v>3</v>
      </c>
      <c r="J3">
        <v>2</v>
      </c>
      <c r="K3" t="s">
        <v>44</v>
      </c>
      <c r="L3" t="s">
        <v>36</v>
      </c>
      <c r="M3" t="s">
        <v>36</v>
      </c>
      <c r="N3">
        <v>3</v>
      </c>
      <c r="O3" t="s">
        <v>45</v>
      </c>
      <c r="P3">
        <v>96</v>
      </c>
      <c r="Q3" t="s">
        <v>36</v>
      </c>
      <c r="R3" t="s">
        <v>37</v>
      </c>
      <c r="S3" t="s">
        <v>37</v>
      </c>
      <c r="T3" t="s">
        <v>40</v>
      </c>
      <c r="U3">
        <v>2</v>
      </c>
      <c r="V3" t="s">
        <v>46</v>
      </c>
      <c r="W3" t="s">
        <v>42</v>
      </c>
      <c r="X3" t="s">
        <v>36</v>
      </c>
      <c r="Y3" t="s">
        <v>47</v>
      </c>
      <c r="Z3" t="s">
        <v>37</v>
      </c>
      <c r="AA3">
        <v>2.68</v>
      </c>
      <c r="AB3" t="s">
        <v>37</v>
      </c>
      <c r="AC3">
        <v>3.15</v>
      </c>
      <c r="AD3">
        <v>36</v>
      </c>
      <c r="AE3">
        <v>100000</v>
      </c>
      <c r="AF3" t="str">
        <f>IF(Table1[[#This Row],[What is your current CGPA?]]&gt;=3.5,"High",IF(Table1[[#This Row],[What is your current CGPA?]]&gt;=2.5,"Medium","Low"))</f>
        <v>Medium</v>
      </c>
      <c r="AG3" t="str">
        <f>IF(AND(Table1[[#This Row],[Average attendance on class]]&lt;75,Table1[[#This Row],[How many hour do you study daily?]]&lt;1),"At Risk","Normal")</f>
        <v>Normal</v>
      </c>
      <c r="AH3">
        <f>(Table1[[#This Row],[Average attendance on class]]*0.4)+(Table1[[#This Row],[How many hour do you study daily?]]*10*0.3)+(Table1[[#This Row],[How many hour do you spent daily on your skill development?]]*10*0.3)</f>
        <v>53.400000000000006</v>
      </c>
    </row>
    <row r="4" spans="1:34" x14ac:dyDescent="0.25">
      <c r="A4">
        <v>2020</v>
      </c>
      <c r="B4" t="s">
        <v>48</v>
      </c>
      <c r="C4">
        <v>21</v>
      </c>
      <c r="D4">
        <v>2019</v>
      </c>
      <c r="E4" t="s">
        <v>35</v>
      </c>
      <c r="F4">
        <v>5</v>
      </c>
      <c r="G4" t="s">
        <v>37</v>
      </c>
      <c r="H4" t="s">
        <v>37</v>
      </c>
      <c r="I4">
        <v>3</v>
      </c>
      <c r="J4">
        <v>3</v>
      </c>
      <c r="K4" t="s">
        <v>38</v>
      </c>
      <c r="L4" t="s">
        <v>36</v>
      </c>
      <c r="M4" t="s">
        <v>36</v>
      </c>
      <c r="N4">
        <v>3</v>
      </c>
      <c r="O4" t="s">
        <v>39</v>
      </c>
      <c r="P4">
        <v>80</v>
      </c>
      <c r="Q4" t="s">
        <v>37</v>
      </c>
      <c r="R4" t="s">
        <v>37</v>
      </c>
      <c r="S4" t="s">
        <v>36</v>
      </c>
      <c r="T4" t="s">
        <v>40</v>
      </c>
      <c r="U4">
        <v>1</v>
      </c>
      <c r="V4" t="s">
        <v>40</v>
      </c>
      <c r="W4" t="s">
        <v>42</v>
      </c>
      <c r="X4" t="s">
        <v>37</v>
      </c>
      <c r="Y4" t="s">
        <v>43</v>
      </c>
      <c r="Z4" t="s">
        <v>37</v>
      </c>
      <c r="AA4">
        <v>2.68</v>
      </c>
      <c r="AB4" t="s">
        <v>37</v>
      </c>
      <c r="AC4">
        <v>3.15</v>
      </c>
      <c r="AD4">
        <v>50</v>
      </c>
      <c r="AE4">
        <v>50000</v>
      </c>
      <c r="AF4" t="str">
        <f>IF(Table1[[#This Row],[What is your current CGPA?]]&gt;=3.5,"High",IF(Table1[[#This Row],[What is your current CGPA?]]&gt;=2.5,"Medium","Low"))</f>
        <v>Medium</v>
      </c>
      <c r="AG4" t="str">
        <f>IF(AND(Table1[[#This Row],[Average attendance on class]]&lt;75,Table1[[#This Row],[How many hour do you study daily?]]&lt;1),"At Risk","Normal")</f>
        <v>Normal</v>
      </c>
      <c r="AH4">
        <f>(Table1[[#This Row],[Average attendance on class]]*0.4)+(Table1[[#This Row],[How many hour do you study daily?]]*10*0.3)+(Table1[[#This Row],[How many hour do you spent daily on your skill development?]]*10*0.3)</f>
        <v>44</v>
      </c>
    </row>
    <row r="5" spans="1:34" x14ac:dyDescent="0.25">
      <c r="A5">
        <v>2021</v>
      </c>
      <c r="B5" t="s">
        <v>34</v>
      </c>
      <c r="C5">
        <v>20</v>
      </c>
      <c r="D5">
        <v>2020</v>
      </c>
      <c r="E5" t="s">
        <v>35</v>
      </c>
      <c r="F5">
        <v>4</v>
      </c>
      <c r="G5" t="s">
        <v>36</v>
      </c>
      <c r="H5" t="s">
        <v>37</v>
      </c>
      <c r="I5">
        <v>1</v>
      </c>
      <c r="J5">
        <v>3</v>
      </c>
      <c r="K5" t="s">
        <v>38</v>
      </c>
      <c r="L5" t="s">
        <v>36</v>
      </c>
      <c r="M5" t="s">
        <v>36</v>
      </c>
      <c r="N5">
        <v>2</v>
      </c>
      <c r="O5" t="s">
        <v>39</v>
      </c>
      <c r="P5">
        <v>88</v>
      </c>
      <c r="Q5" t="s">
        <v>37</v>
      </c>
      <c r="R5" t="s">
        <v>37</v>
      </c>
      <c r="S5" t="s">
        <v>36</v>
      </c>
      <c r="T5" t="s">
        <v>40</v>
      </c>
      <c r="U5">
        <v>1</v>
      </c>
      <c r="V5" t="s">
        <v>49</v>
      </c>
      <c r="W5" t="s">
        <v>42</v>
      </c>
      <c r="X5" t="s">
        <v>37</v>
      </c>
      <c r="Y5" t="s">
        <v>43</v>
      </c>
      <c r="Z5" t="s">
        <v>36</v>
      </c>
      <c r="AA5">
        <v>2.68</v>
      </c>
      <c r="AB5" t="s">
        <v>37</v>
      </c>
      <c r="AC5">
        <v>3.15</v>
      </c>
      <c r="AD5">
        <v>36</v>
      </c>
      <c r="AE5">
        <v>62488</v>
      </c>
      <c r="AF5" t="str">
        <f>IF(Table1[[#This Row],[What is your current CGPA?]]&gt;=3.5,"High",IF(Table1[[#This Row],[What is your current CGPA?]]&gt;=2.5,"Medium","Low"))</f>
        <v>Medium</v>
      </c>
      <c r="AG5" t="str">
        <f>IF(AND(Table1[[#This Row],[Average attendance on class]]&lt;75,Table1[[#This Row],[How many hour do you study daily?]]&lt;1),"At Risk","Normal")</f>
        <v>Normal</v>
      </c>
      <c r="AH5">
        <f>(Table1[[#This Row],[Average attendance on class]]*0.4)+(Table1[[#This Row],[How many hour do you study daily?]]*10*0.3)+(Table1[[#This Row],[How many hour do you spent daily on your skill development?]]*10*0.3)</f>
        <v>41.2</v>
      </c>
    </row>
    <row r="6" spans="1:34" x14ac:dyDescent="0.25">
      <c r="A6">
        <v>2021</v>
      </c>
      <c r="B6" t="s">
        <v>34</v>
      </c>
      <c r="C6">
        <v>22</v>
      </c>
      <c r="D6">
        <v>2019</v>
      </c>
      <c r="E6" t="s">
        <v>35</v>
      </c>
      <c r="F6">
        <v>4</v>
      </c>
      <c r="G6" t="s">
        <v>36</v>
      </c>
      <c r="H6" t="s">
        <v>37</v>
      </c>
      <c r="I6">
        <v>3</v>
      </c>
      <c r="J6">
        <v>1</v>
      </c>
      <c r="K6" t="s">
        <v>44</v>
      </c>
      <c r="L6" t="s">
        <v>36</v>
      </c>
      <c r="M6" t="s">
        <v>36</v>
      </c>
      <c r="N6">
        <v>2</v>
      </c>
      <c r="O6" t="s">
        <v>39</v>
      </c>
      <c r="P6">
        <v>80</v>
      </c>
      <c r="Q6" t="s">
        <v>37</v>
      </c>
      <c r="R6" t="s">
        <v>37</v>
      </c>
      <c r="S6" t="s">
        <v>36</v>
      </c>
      <c r="T6" t="s">
        <v>40</v>
      </c>
      <c r="U6">
        <v>1</v>
      </c>
      <c r="V6" t="s">
        <v>40</v>
      </c>
      <c r="W6" t="s">
        <v>50</v>
      </c>
      <c r="X6" t="s">
        <v>37</v>
      </c>
      <c r="Y6" t="s">
        <v>43</v>
      </c>
      <c r="Z6" t="s">
        <v>36</v>
      </c>
      <c r="AA6">
        <v>2.68</v>
      </c>
      <c r="AB6" t="s">
        <v>37</v>
      </c>
      <c r="AC6">
        <v>3.15</v>
      </c>
      <c r="AD6">
        <v>36</v>
      </c>
      <c r="AE6">
        <v>50000</v>
      </c>
      <c r="AF6" t="str">
        <f>IF(Table1[[#This Row],[What is your current CGPA?]]&gt;=3.5,"High",IF(Table1[[#This Row],[What is your current CGPA?]]&gt;=2.5,"Medium","Low"))</f>
        <v>Medium</v>
      </c>
      <c r="AG6" t="str">
        <f>IF(AND(Table1[[#This Row],[Average attendance on class]]&lt;75,Table1[[#This Row],[How many hour do you study daily?]]&lt;1),"At Risk","Normal")</f>
        <v>Normal</v>
      </c>
      <c r="AH6">
        <f>(Table1[[#This Row],[Average attendance on class]]*0.4)+(Table1[[#This Row],[How many hour do you study daily?]]*10*0.3)+(Table1[[#This Row],[How many hour do you spent daily on your skill development?]]*10*0.3)</f>
        <v>44</v>
      </c>
    </row>
    <row r="7" spans="1:34" x14ac:dyDescent="0.25">
      <c r="A7">
        <v>2021</v>
      </c>
      <c r="B7" t="s">
        <v>34</v>
      </c>
      <c r="C7">
        <v>20</v>
      </c>
      <c r="D7">
        <v>2020</v>
      </c>
      <c r="E7" t="s">
        <v>35</v>
      </c>
      <c r="F7">
        <v>4</v>
      </c>
      <c r="G7" t="s">
        <v>36</v>
      </c>
      <c r="H7" t="s">
        <v>36</v>
      </c>
      <c r="I7">
        <v>2</v>
      </c>
      <c r="J7">
        <v>2</v>
      </c>
      <c r="K7" t="s">
        <v>38</v>
      </c>
      <c r="L7" t="s">
        <v>36</v>
      </c>
      <c r="M7" t="s">
        <v>36</v>
      </c>
      <c r="N7">
        <v>1</v>
      </c>
      <c r="O7" t="s">
        <v>39</v>
      </c>
      <c r="P7">
        <v>95</v>
      </c>
      <c r="Q7" t="s">
        <v>37</v>
      </c>
      <c r="R7" t="s">
        <v>37</v>
      </c>
      <c r="S7" t="s">
        <v>36</v>
      </c>
      <c r="T7" t="s">
        <v>40</v>
      </c>
      <c r="U7">
        <v>2</v>
      </c>
      <c r="V7" t="s">
        <v>40</v>
      </c>
      <c r="W7" t="s">
        <v>42</v>
      </c>
      <c r="X7" t="s">
        <v>36</v>
      </c>
      <c r="Y7" t="s">
        <v>47</v>
      </c>
      <c r="Z7" t="s">
        <v>37</v>
      </c>
      <c r="AA7">
        <v>2.68</v>
      </c>
      <c r="AB7" t="s">
        <v>37</v>
      </c>
      <c r="AC7">
        <v>3.15</v>
      </c>
      <c r="AD7">
        <v>36</v>
      </c>
      <c r="AE7">
        <v>30000</v>
      </c>
      <c r="AF7" t="str">
        <f>IF(Table1[[#This Row],[What is your current CGPA?]]&gt;=3.5,"High",IF(Table1[[#This Row],[What is your current CGPA?]]&gt;=2.5,"Medium","Low"))</f>
        <v>Medium</v>
      </c>
      <c r="AG7" t="str">
        <f>IF(AND(Table1[[#This Row],[Average attendance on class]]&lt;75,Table1[[#This Row],[How many hour do you study daily?]]&lt;1),"At Risk","Normal")</f>
        <v>Normal</v>
      </c>
      <c r="AH7">
        <f>(Table1[[#This Row],[Average attendance on class]]*0.4)+(Table1[[#This Row],[How many hour do you study daily?]]*10*0.3)+(Table1[[#This Row],[How many hour do you spent daily on your skill development?]]*10*0.3)</f>
        <v>50</v>
      </c>
    </row>
    <row r="8" spans="1:34" x14ac:dyDescent="0.25">
      <c r="A8">
        <v>2021</v>
      </c>
      <c r="B8" t="s">
        <v>34</v>
      </c>
      <c r="C8">
        <v>22</v>
      </c>
      <c r="D8">
        <v>2018</v>
      </c>
      <c r="E8" t="s">
        <v>35</v>
      </c>
      <c r="F8">
        <v>4</v>
      </c>
      <c r="G8" t="s">
        <v>36</v>
      </c>
      <c r="H8" t="s">
        <v>37</v>
      </c>
      <c r="I8">
        <v>2</v>
      </c>
      <c r="J8">
        <v>4</v>
      </c>
      <c r="K8" t="s">
        <v>44</v>
      </c>
      <c r="L8" t="s">
        <v>36</v>
      </c>
      <c r="M8" t="s">
        <v>36</v>
      </c>
      <c r="N8">
        <v>2</v>
      </c>
      <c r="O8" t="s">
        <v>39</v>
      </c>
      <c r="P8">
        <v>80</v>
      </c>
      <c r="Q8" t="s">
        <v>37</v>
      </c>
      <c r="R8" t="s">
        <v>37</v>
      </c>
      <c r="S8" t="s">
        <v>37</v>
      </c>
      <c r="T8" t="s">
        <v>40</v>
      </c>
      <c r="U8">
        <v>6</v>
      </c>
      <c r="V8" t="s">
        <v>40</v>
      </c>
      <c r="W8" t="s">
        <v>42</v>
      </c>
      <c r="X8" t="s">
        <v>37</v>
      </c>
      <c r="Y8" t="s">
        <v>43</v>
      </c>
      <c r="Z8" t="s">
        <v>36</v>
      </c>
      <c r="AA8">
        <v>2.68</v>
      </c>
      <c r="AB8" t="s">
        <v>37</v>
      </c>
      <c r="AC8">
        <v>3.15</v>
      </c>
      <c r="AD8">
        <v>36</v>
      </c>
      <c r="AE8">
        <v>20000</v>
      </c>
      <c r="AF8" t="str">
        <f>IF(Table1[[#This Row],[What is your current CGPA?]]&gt;=3.5,"High",IF(Table1[[#This Row],[What is your current CGPA?]]&gt;=2.5,"Medium","Low"))</f>
        <v>Medium</v>
      </c>
      <c r="AG8" t="str">
        <f>IF(AND(Table1[[#This Row],[Average attendance on class]]&lt;75,Table1[[#This Row],[How many hour do you study daily?]]&lt;1),"At Risk","Normal")</f>
        <v>Normal</v>
      </c>
      <c r="AH8">
        <f>(Table1[[#This Row],[Average attendance on class]]*0.4)+(Table1[[#This Row],[How many hour do you study daily?]]*10*0.3)+(Table1[[#This Row],[How many hour do you spent daily on your skill development?]]*10*0.3)</f>
        <v>56</v>
      </c>
    </row>
    <row r="9" spans="1:34" x14ac:dyDescent="0.25">
      <c r="A9">
        <v>2021</v>
      </c>
      <c r="B9" t="s">
        <v>48</v>
      </c>
      <c r="C9">
        <v>22</v>
      </c>
      <c r="D9">
        <v>2019</v>
      </c>
      <c r="E9" t="s">
        <v>35</v>
      </c>
      <c r="F9">
        <v>4</v>
      </c>
      <c r="G9" t="s">
        <v>36</v>
      </c>
      <c r="H9" t="s">
        <v>37</v>
      </c>
      <c r="I9">
        <v>2</v>
      </c>
      <c r="J9">
        <v>2</v>
      </c>
      <c r="K9" t="s">
        <v>38</v>
      </c>
      <c r="L9" t="s">
        <v>36</v>
      </c>
      <c r="M9" t="s">
        <v>36</v>
      </c>
      <c r="N9">
        <v>2</v>
      </c>
      <c r="O9" t="s">
        <v>45</v>
      </c>
      <c r="P9">
        <v>100</v>
      </c>
      <c r="Q9" t="s">
        <v>36</v>
      </c>
      <c r="R9" t="s">
        <v>37</v>
      </c>
      <c r="S9" t="s">
        <v>36</v>
      </c>
      <c r="T9" t="s">
        <v>40</v>
      </c>
      <c r="U9">
        <v>1</v>
      </c>
      <c r="V9" t="s">
        <v>51</v>
      </c>
      <c r="W9" t="s">
        <v>42</v>
      </c>
      <c r="X9" t="s">
        <v>37</v>
      </c>
      <c r="Y9" t="s">
        <v>43</v>
      </c>
      <c r="Z9" t="s">
        <v>37</v>
      </c>
      <c r="AA9">
        <v>3.8</v>
      </c>
      <c r="AB9" t="s">
        <v>37</v>
      </c>
      <c r="AC9">
        <v>3.64</v>
      </c>
      <c r="AD9">
        <v>35</v>
      </c>
      <c r="AE9">
        <v>32500</v>
      </c>
      <c r="AF9" t="str">
        <f>IF(Table1[[#This Row],[What is your current CGPA?]]&gt;=3.5,"High",IF(Table1[[#This Row],[What is your current CGPA?]]&gt;=2.5,"Medium","Low"))</f>
        <v>High</v>
      </c>
      <c r="AG9" t="str">
        <f>IF(AND(Table1[[#This Row],[Average attendance on class]]&lt;75,Table1[[#This Row],[How many hour do you study daily?]]&lt;1),"At Risk","Normal")</f>
        <v>Normal</v>
      </c>
      <c r="AH9">
        <f>(Table1[[#This Row],[Average attendance on class]]*0.4)+(Table1[[#This Row],[How many hour do you study daily?]]*10*0.3)+(Table1[[#This Row],[How many hour do you spent daily on your skill development?]]*10*0.3)</f>
        <v>49</v>
      </c>
    </row>
    <row r="10" spans="1:34" x14ac:dyDescent="0.25">
      <c r="A10">
        <v>2021</v>
      </c>
      <c r="B10" t="s">
        <v>34</v>
      </c>
      <c r="C10">
        <v>20</v>
      </c>
      <c r="D10">
        <v>2020</v>
      </c>
      <c r="E10" t="s">
        <v>35</v>
      </c>
      <c r="F10">
        <v>4</v>
      </c>
      <c r="G10" t="s">
        <v>36</v>
      </c>
      <c r="H10" t="s">
        <v>37</v>
      </c>
      <c r="I10">
        <v>3</v>
      </c>
      <c r="J10">
        <v>2</v>
      </c>
      <c r="K10" t="s">
        <v>38</v>
      </c>
      <c r="L10" t="s">
        <v>36</v>
      </c>
      <c r="M10" t="s">
        <v>36</v>
      </c>
      <c r="N10">
        <v>2</v>
      </c>
      <c r="O10" t="s">
        <v>39</v>
      </c>
      <c r="P10">
        <v>90</v>
      </c>
      <c r="Q10" t="s">
        <v>37</v>
      </c>
      <c r="R10" t="s">
        <v>37</v>
      </c>
      <c r="S10" t="s">
        <v>37</v>
      </c>
      <c r="T10" t="s">
        <v>40</v>
      </c>
      <c r="U10">
        <v>3</v>
      </c>
      <c r="V10" t="s">
        <v>40</v>
      </c>
      <c r="W10" t="s">
        <v>42</v>
      </c>
      <c r="X10" t="s">
        <v>37</v>
      </c>
      <c r="Y10" t="s">
        <v>43</v>
      </c>
      <c r="Z10" t="s">
        <v>37</v>
      </c>
      <c r="AA10">
        <v>2.68</v>
      </c>
      <c r="AB10" t="s">
        <v>37</v>
      </c>
      <c r="AC10">
        <v>3.15</v>
      </c>
      <c r="AD10">
        <v>36</v>
      </c>
      <c r="AE10">
        <v>20000</v>
      </c>
      <c r="AF10" t="str">
        <f>IF(Table1[[#This Row],[What is your current CGPA?]]&gt;=3.5,"High",IF(Table1[[#This Row],[What is your current CGPA?]]&gt;=2.5,"Medium","Low"))</f>
        <v>Medium</v>
      </c>
      <c r="AG10" t="str">
        <f>IF(AND(Table1[[#This Row],[Average attendance on class]]&lt;75,Table1[[#This Row],[How many hour do you study daily?]]&lt;1),"At Risk","Normal")</f>
        <v>Normal</v>
      </c>
      <c r="AH10">
        <f>(Table1[[#This Row],[Average attendance on class]]*0.4)+(Table1[[#This Row],[How many hour do you study daily?]]*10*0.3)+(Table1[[#This Row],[How many hour do you spent daily on your skill development?]]*10*0.3)</f>
        <v>54</v>
      </c>
    </row>
    <row r="11" spans="1:34" x14ac:dyDescent="0.25">
      <c r="A11">
        <v>2021</v>
      </c>
      <c r="B11" t="s">
        <v>48</v>
      </c>
      <c r="C11">
        <v>22</v>
      </c>
      <c r="D11">
        <v>2020</v>
      </c>
      <c r="E11" t="s">
        <v>35</v>
      </c>
      <c r="F11">
        <v>4</v>
      </c>
      <c r="G11" t="s">
        <v>36</v>
      </c>
      <c r="H11" t="s">
        <v>36</v>
      </c>
      <c r="I11">
        <v>5</v>
      </c>
      <c r="J11">
        <v>2</v>
      </c>
      <c r="K11" t="s">
        <v>38</v>
      </c>
      <c r="L11" t="s">
        <v>36</v>
      </c>
      <c r="M11" t="s">
        <v>36</v>
      </c>
      <c r="N11">
        <v>2</v>
      </c>
      <c r="O11" t="s">
        <v>39</v>
      </c>
      <c r="P11">
        <v>100</v>
      </c>
      <c r="Q11" t="s">
        <v>37</v>
      </c>
      <c r="R11" t="s">
        <v>37</v>
      </c>
      <c r="S11" t="s">
        <v>36</v>
      </c>
      <c r="T11" t="s">
        <v>40</v>
      </c>
      <c r="U11">
        <v>1</v>
      </c>
      <c r="V11" t="s">
        <v>49</v>
      </c>
      <c r="W11" t="s">
        <v>42</v>
      </c>
      <c r="X11" t="s">
        <v>37</v>
      </c>
      <c r="Y11" t="s">
        <v>47</v>
      </c>
      <c r="Z11" t="s">
        <v>37</v>
      </c>
      <c r="AA11">
        <v>2.68</v>
      </c>
      <c r="AB11" t="s">
        <v>37</v>
      </c>
      <c r="AC11">
        <v>3.15</v>
      </c>
      <c r="AD11">
        <v>36</v>
      </c>
      <c r="AE11">
        <v>25000</v>
      </c>
      <c r="AF11" t="str">
        <f>IF(Table1[[#This Row],[What is your current CGPA?]]&gt;=3.5,"High",IF(Table1[[#This Row],[What is your current CGPA?]]&gt;=2.5,"Medium","Low"))</f>
        <v>Medium</v>
      </c>
      <c r="AG11" t="str">
        <f>IF(AND(Table1[[#This Row],[Average attendance on class]]&lt;75,Table1[[#This Row],[How many hour do you study daily?]]&lt;1),"At Risk","Normal")</f>
        <v>Normal</v>
      </c>
      <c r="AH11">
        <f>(Table1[[#This Row],[Average attendance on class]]*0.4)+(Table1[[#This Row],[How many hour do you study daily?]]*10*0.3)+(Table1[[#This Row],[How many hour do you spent daily on your skill development?]]*10*0.3)</f>
        <v>58</v>
      </c>
    </row>
    <row r="12" spans="1:34" x14ac:dyDescent="0.25">
      <c r="A12">
        <v>2021</v>
      </c>
      <c r="B12" t="s">
        <v>34</v>
      </c>
      <c r="C12">
        <v>22</v>
      </c>
      <c r="D12">
        <v>2019</v>
      </c>
      <c r="E12" t="s">
        <v>35</v>
      </c>
      <c r="F12">
        <v>4</v>
      </c>
      <c r="G12" t="s">
        <v>36</v>
      </c>
      <c r="H12" t="s">
        <v>36</v>
      </c>
      <c r="I12">
        <v>3</v>
      </c>
      <c r="J12">
        <v>2</v>
      </c>
      <c r="K12" t="s">
        <v>44</v>
      </c>
      <c r="L12" t="s">
        <v>36</v>
      </c>
      <c r="M12" t="s">
        <v>36</v>
      </c>
      <c r="N12">
        <v>3</v>
      </c>
      <c r="O12" t="s">
        <v>39</v>
      </c>
      <c r="P12">
        <v>90</v>
      </c>
      <c r="Q12" t="s">
        <v>37</v>
      </c>
      <c r="R12" t="s">
        <v>37</v>
      </c>
      <c r="S12" t="s">
        <v>36</v>
      </c>
      <c r="T12" t="s">
        <v>40</v>
      </c>
      <c r="U12">
        <v>1</v>
      </c>
      <c r="V12" t="s">
        <v>40</v>
      </c>
      <c r="W12" t="s">
        <v>42</v>
      </c>
      <c r="X12" t="s">
        <v>36</v>
      </c>
      <c r="Y12" t="s">
        <v>47</v>
      </c>
      <c r="Z12" t="s">
        <v>37</v>
      </c>
      <c r="AA12">
        <v>2.68</v>
      </c>
      <c r="AB12" t="s">
        <v>37</v>
      </c>
      <c r="AC12">
        <v>3.15</v>
      </c>
      <c r="AD12">
        <v>36</v>
      </c>
      <c r="AE12">
        <v>50000</v>
      </c>
      <c r="AF12" t="str">
        <f>IF(Table1[[#This Row],[What is your current CGPA?]]&gt;=3.5,"High",IF(Table1[[#This Row],[What is your current CGPA?]]&gt;=2.5,"Medium","Low"))</f>
        <v>Medium</v>
      </c>
      <c r="AG12" t="str">
        <f>IF(AND(Table1[[#This Row],[Average attendance on class]]&lt;75,Table1[[#This Row],[How many hour do you study daily?]]&lt;1),"At Risk","Normal")</f>
        <v>Normal</v>
      </c>
      <c r="AH12">
        <f>(Table1[[#This Row],[Average attendance on class]]*0.4)+(Table1[[#This Row],[How many hour do you study daily?]]*10*0.3)+(Table1[[#This Row],[How many hour do you spent daily on your skill development?]]*10*0.3)</f>
        <v>48</v>
      </c>
    </row>
    <row r="13" spans="1:34" x14ac:dyDescent="0.25">
      <c r="A13">
        <v>2021</v>
      </c>
      <c r="B13" t="s">
        <v>34</v>
      </c>
      <c r="C13">
        <v>22</v>
      </c>
      <c r="D13">
        <v>2019</v>
      </c>
      <c r="E13" t="s">
        <v>35</v>
      </c>
      <c r="F13">
        <v>4</v>
      </c>
      <c r="G13" t="s">
        <v>37</v>
      </c>
      <c r="H13" t="s">
        <v>37</v>
      </c>
      <c r="I13">
        <v>3</v>
      </c>
      <c r="J13">
        <v>2</v>
      </c>
      <c r="K13" t="s">
        <v>38</v>
      </c>
      <c r="L13" t="s">
        <v>36</v>
      </c>
      <c r="M13" t="s">
        <v>36</v>
      </c>
      <c r="N13">
        <v>2</v>
      </c>
      <c r="O13" t="s">
        <v>45</v>
      </c>
      <c r="P13">
        <v>90</v>
      </c>
      <c r="Q13" t="s">
        <v>37</v>
      </c>
      <c r="R13" t="s">
        <v>37</v>
      </c>
      <c r="S13" t="s">
        <v>37</v>
      </c>
      <c r="T13" t="s">
        <v>40</v>
      </c>
      <c r="U13">
        <v>2</v>
      </c>
      <c r="V13" t="s">
        <v>40</v>
      </c>
      <c r="W13" t="s">
        <v>42</v>
      </c>
      <c r="X13" t="s">
        <v>37</v>
      </c>
      <c r="Y13" t="s">
        <v>43</v>
      </c>
      <c r="Z13" t="s">
        <v>36</v>
      </c>
      <c r="AA13">
        <v>3.4</v>
      </c>
      <c r="AB13" t="s">
        <v>37</v>
      </c>
      <c r="AC13">
        <v>3.53</v>
      </c>
      <c r="AD13">
        <v>35</v>
      </c>
      <c r="AE13">
        <v>20000</v>
      </c>
      <c r="AF13" t="str">
        <f>IF(Table1[[#This Row],[What is your current CGPA?]]&gt;=3.5,"High",IF(Table1[[#This Row],[What is your current CGPA?]]&gt;=2.5,"Medium","Low"))</f>
        <v>High</v>
      </c>
      <c r="AG13" t="str">
        <f>IF(AND(Table1[[#This Row],[Average attendance on class]]&lt;75,Table1[[#This Row],[How many hour do you study daily?]]&lt;1),"At Risk","Normal")</f>
        <v>Normal</v>
      </c>
      <c r="AH13">
        <f>(Table1[[#This Row],[Average attendance on class]]*0.4)+(Table1[[#This Row],[How many hour do you study daily?]]*10*0.3)+(Table1[[#This Row],[How many hour do you spent daily on your skill development?]]*10*0.3)</f>
        <v>51</v>
      </c>
    </row>
    <row r="14" spans="1:34" x14ac:dyDescent="0.25">
      <c r="A14">
        <v>2021</v>
      </c>
      <c r="B14" t="s">
        <v>48</v>
      </c>
      <c r="C14">
        <v>22</v>
      </c>
      <c r="D14">
        <v>2020</v>
      </c>
      <c r="E14" t="s">
        <v>35</v>
      </c>
      <c r="F14">
        <v>4</v>
      </c>
      <c r="G14" t="s">
        <v>37</v>
      </c>
      <c r="H14" t="s">
        <v>36</v>
      </c>
      <c r="I14">
        <v>1</v>
      </c>
      <c r="J14">
        <v>1</v>
      </c>
      <c r="K14" t="s">
        <v>38</v>
      </c>
      <c r="L14" t="s">
        <v>36</v>
      </c>
      <c r="M14" t="s">
        <v>36</v>
      </c>
      <c r="N14">
        <v>1</v>
      </c>
      <c r="O14" t="s">
        <v>45</v>
      </c>
      <c r="P14">
        <v>100</v>
      </c>
      <c r="Q14" t="s">
        <v>37</v>
      </c>
      <c r="R14" t="s">
        <v>37</v>
      </c>
      <c r="S14" t="s">
        <v>36</v>
      </c>
      <c r="T14" t="s">
        <v>40</v>
      </c>
      <c r="U14">
        <v>2</v>
      </c>
      <c r="V14" t="s">
        <v>40</v>
      </c>
      <c r="W14" t="s">
        <v>42</v>
      </c>
      <c r="X14" t="s">
        <v>37</v>
      </c>
      <c r="Y14" t="s">
        <v>47</v>
      </c>
      <c r="Z14" t="s">
        <v>37</v>
      </c>
      <c r="AA14">
        <v>2.68</v>
      </c>
      <c r="AB14" t="s">
        <v>37</v>
      </c>
      <c r="AC14">
        <v>3.15</v>
      </c>
      <c r="AD14">
        <v>36</v>
      </c>
      <c r="AE14">
        <v>50000</v>
      </c>
      <c r="AF14" t="str">
        <f>IF(Table1[[#This Row],[What is your current CGPA?]]&gt;=3.5,"High",IF(Table1[[#This Row],[What is your current CGPA?]]&gt;=2.5,"Medium","Low"))</f>
        <v>Medium</v>
      </c>
      <c r="AG14" t="str">
        <f>IF(AND(Table1[[#This Row],[Average attendance on class]]&lt;75,Table1[[#This Row],[How many hour do you study daily?]]&lt;1),"At Risk","Normal")</f>
        <v>Normal</v>
      </c>
      <c r="AH14">
        <f>(Table1[[#This Row],[Average attendance on class]]*0.4)+(Table1[[#This Row],[How many hour do you study daily?]]*10*0.3)+(Table1[[#This Row],[How many hour do you spent daily on your skill development?]]*10*0.3)</f>
        <v>49</v>
      </c>
    </row>
    <row r="15" spans="1:34" x14ac:dyDescent="0.25">
      <c r="A15">
        <v>2021</v>
      </c>
      <c r="B15" t="s">
        <v>48</v>
      </c>
      <c r="C15">
        <v>21</v>
      </c>
      <c r="D15">
        <v>2019</v>
      </c>
      <c r="E15" t="s">
        <v>35</v>
      </c>
      <c r="F15">
        <v>4</v>
      </c>
      <c r="G15" t="s">
        <v>36</v>
      </c>
      <c r="H15" t="s">
        <v>37</v>
      </c>
      <c r="I15">
        <v>3</v>
      </c>
      <c r="J15">
        <v>2</v>
      </c>
      <c r="K15" t="s">
        <v>38</v>
      </c>
      <c r="L15" t="s">
        <v>36</v>
      </c>
      <c r="M15" t="s">
        <v>36</v>
      </c>
      <c r="N15">
        <v>1</v>
      </c>
      <c r="O15" t="s">
        <v>39</v>
      </c>
      <c r="P15">
        <v>90</v>
      </c>
      <c r="Q15" t="s">
        <v>37</v>
      </c>
      <c r="R15" t="s">
        <v>37</v>
      </c>
      <c r="S15" t="s">
        <v>37</v>
      </c>
      <c r="T15" t="s">
        <v>40</v>
      </c>
      <c r="U15">
        <v>1</v>
      </c>
      <c r="V15" t="s">
        <v>40</v>
      </c>
      <c r="W15" t="s">
        <v>42</v>
      </c>
      <c r="X15" t="s">
        <v>37</v>
      </c>
      <c r="Y15" t="s">
        <v>43</v>
      </c>
      <c r="Z15" t="s">
        <v>37</v>
      </c>
      <c r="AA15">
        <v>2.68</v>
      </c>
      <c r="AB15" t="s">
        <v>37</v>
      </c>
      <c r="AC15">
        <v>3.15</v>
      </c>
      <c r="AD15">
        <v>36</v>
      </c>
      <c r="AE15">
        <v>24000</v>
      </c>
      <c r="AF15" t="str">
        <f>IF(Table1[[#This Row],[What is your current CGPA?]]&gt;=3.5,"High",IF(Table1[[#This Row],[What is your current CGPA?]]&gt;=2.5,"Medium","Low"))</f>
        <v>Medium</v>
      </c>
      <c r="AG15" t="str">
        <f>IF(AND(Table1[[#This Row],[Average attendance on class]]&lt;75,Table1[[#This Row],[How many hour do you study daily?]]&lt;1),"At Risk","Normal")</f>
        <v>Normal</v>
      </c>
      <c r="AH15">
        <f>(Table1[[#This Row],[Average attendance on class]]*0.4)+(Table1[[#This Row],[How many hour do you study daily?]]*10*0.3)+(Table1[[#This Row],[How many hour do you spent daily on your skill development?]]*10*0.3)</f>
        <v>48</v>
      </c>
    </row>
    <row r="16" spans="1:34" x14ac:dyDescent="0.25">
      <c r="A16">
        <v>2021</v>
      </c>
      <c r="B16" t="s">
        <v>48</v>
      </c>
      <c r="C16">
        <v>21</v>
      </c>
      <c r="D16">
        <v>2018</v>
      </c>
      <c r="E16" t="s">
        <v>35</v>
      </c>
      <c r="F16">
        <v>4</v>
      </c>
      <c r="G16" t="s">
        <v>37</v>
      </c>
      <c r="H16" t="s">
        <v>36</v>
      </c>
      <c r="I16">
        <v>2</v>
      </c>
      <c r="J16">
        <v>2</v>
      </c>
      <c r="K16" t="s">
        <v>38</v>
      </c>
      <c r="L16" t="s">
        <v>36</v>
      </c>
      <c r="M16" t="s">
        <v>36</v>
      </c>
      <c r="N16">
        <v>1</v>
      </c>
      <c r="O16" t="s">
        <v>45</v>
      </c>
      <c r="P16">
        <v>97</v>
      </c>
      <c r="Q16" t="s">
        <v>37</v>
      </c>
      <c r="R16" t="s">
        <v>37</v>
      </c>
      <c r="S16" t="s">
        <v>37</v>
      </c>
      <c r="T16" t="s">
        <v>40</v>
      </c>
      <c r="U16">
        <v>2</v>
      </c>
      <c r="V16" t="s">
        <v>40</v>
      </c>
      <c r="W16" t="s">
        <v>42</v>
      </c>
      <c r="X16" t="s">
        <v>37</v>
      </c>
      <c r="Y16" t="s">
        <v>47</v>
      </c>
      <c r="Z16" t="s">
        <v>37</v>
      </c>
      <c r="AA16">
        <v>2.68</v>
      </c>
      <c r="AB16" t="s">
        <v>37</v>
      </c>
      <c r="AC16">
        <v>3.15</v>
      </c>
      <c r="AD16">
        <v>36</v>
      </c>
      <c r="AE16">
        <v>70000</v>
      </c>
      <c r="AF16" t="str">
        <f>IF(Table1[[#This Row],[What is your current CGPA?]]&gt;=3.5,"High",IF(Table1[[#This Row],[What is your current CGPA?]]&gt;=2.5,"Medium","Low"))</f>
        <v>Medium</v>
      </c>
      <c r="AG16" t="str">
        <f>IF(AND(Table1[[#This Row],[Average attendance on class]]&lt;75,Table1[[#This Row],[How many hour do you study daily?]]&lt;1),"At Risk","Normal")</f>
        <v>Normal</v>
      </c>
      <c r="AH16">
        <f>(Table1[[#This Row],[Average attendance on class]]*0.4)+(Table1[[#This Row],[How many hour do you study daily?]]*10*0.3)+(Table1[[#This Row],[How many hour do you spent daily on your skill development?]]*10*0.3)</f>
        <v>50.800000000000004</v>
      </c>
    </row>
    <row r="17" spans="1:34" x14ac:dyDescent="0.25">
      <c r="A17">
        <v>2021</v>
      </c>
      <c r="B17" t="s">
        <v>34</v>
      </c>
      <c r="C17">
        <v>20</v>
      </c>
      <c r="D17">
        <v>2020</v>
      </c>
      <c r="E17" t="s">
        <v>35</v>
      </c>
      <c r="F17">
        <v>4</v>
      </c>
      <c r="G17" t="s">
        <v>36</v>
      </c>
      <c r="H17" t="s">
        <v>36</v>
      </c>
      <c r="I17">
        <v>2</v>
      </c>
      <c r="J17">
        <v>1</v>
      </c>
      <c r="K17" t="s">
        <v>38</v>
      </c>
      <c r="L17" t="s">
        <v>36</v>
      </c>
      <c r="M17" t="s">
        <v>36</v>
      </c>
      <c r="N17">
        <v>1</v>
      </c>
      <c r="O17" t="s">
        <v>45</v>
      </c>
      <c r="P17">
        <v>95</v>
      </c>
      <c r="Q17" t="s">
        <v>37</v>
      </c>
      <c r="R17" t="s">
        <v>37</v>
      </c>
      <c r="S17" t="s">
        <v>36</v>
      </c>
      <c r="T17" t="s">
        <v>40</v>
      </c>
      <c r="U17">
        <v>3</v>
      </c>
      <c r="V17" t="s">
        <v>40</v>
      </c>
      <c r="W17" t="s">
        <v>42</v>
      </c>
      <c r="X17" t="s">
        <v>36</v>
      </c>
      <c r="Y17" t="s">
        <v>47</v>
      </c>
      <c r="Z17" t="s">
        <v>37</v>
      </c>
      <c r="AA17">
        <v>3.93</v>
      </c>
      <c r="AB17" t="s">
        <v>37</v>
      </c>
      <c r="AC17">
        <v>3.89</v>
      </c>
      <c r="AD17">
        <v>35</v>
      </c>
      <c r="AE17">
        <v>30000</v>
      </c>
      <c r="AF17" t="str">
        <f>IF(Table1[[#This Row],[What is your current CGPA?]]&gt;=3.5,"High",IF(Table1[[#This Row],[What is your current CGPA?]]&gt;=2.5,"Medium","Low"))</f>
        <v>High</v>
      </c>
      <c r="AG17" t="str">
        <f>IF(AND(Table1[[#This Row],[Average attendance on class]]&lt;75,Table1[[#This Row],[How many hour do you study daily?]]&lt;1),"At Risk","Normal")</f>
        <v>Normal</v>
      </c>
      <c r="AH17">
        <f>(Table1[[#This Row],[Average attendance on class]]*0.4)+(Table1[[#This Row],[How many hour do you study daily?]]*10*0.3)+(Table1[[#This Row],[How many hour do you spent daily on your skill development?]]*10*0.3)</f>
        <v>53</v>
      </c>
    </row>
    <row r="18" spans="1:34" x14ac:dyDescent="0.25">
      <c r="A18">
        <v>2021</v>
      </c>
      <c r="B18" t="s">
        <v>34</v>
      </c>
      <c r="C18">
        <v>22</v>
      </c>
      <c r="D18">
        <v>2019</v>
      </c>
      <c r="E18" t="s">
        <v>35</v>
      </c>
      <c r="F18">
        <v>4</v>
      </c>
      <c r="G18" t="s">
        <v>36</v>
      </c>
      <c r="H18" t="s">
        <v>36</v>
      </c>
      <c r="I18">
        <v>5</v>
      </c>
      <c r="J18">
        <v>3</v>
      </c>
      <c r="K18" t="s">
        <v>44</v>
      </c>
      <c r="L18" t="s">
        <v>36</v>
      </c>
      <c r="M18" t="s">
        <v>36</v>
      </c>
      <c r="N18">
        <v>1</v>
      </c>
      <c r="O18" t="s">
        <v>39</v>
      </c>
      <c r="P18">
        <v>95</v>
      </c>
      <c r="Q18" t="s">
        <v>37</v>
      </c>
      <c r="R18" t="s">
        <v>37</v>
      </c>
      <c r="S18" t="s">
        <v>36</v>
      </c>
      <c r="T18" t="s">
        <v>40</v>
      </c>
      <c r="U18">
        <v>2</v>
      </c>
      <c r="V18" t="s">
        <v>52</v>
      </c>
      <c r="W18" t="s">
        <v>42</v>
      </c>
      <c r="X18" t="s">
        <v>36</v>
      </c>
      <c r="Y18" t="s">
        <v>47</v>
      </c>
      <c r="Z18" t="s">
        <v>37</v>
      </c>
      <c r="AA18">
        <v>2.68</v>
      </c>
      <c r="AB18" t="s">
        <v>37</v>
      </c>
      <c r="AC18">
        <v>3.15</v>
      </c>
      <c r="AD18">
        <v>36</v>
      </c>
      <c r="AE18">
        <v>40000</v>
      </c>
      <c r="AF18" t="str">
        <f>IF(Table1[[#This Row],[What is your current CGPA?]]&gt;=3.5,"High",IF(Table1[[#This Row],[What is your current CGPA?]]&gt;=2.5,"Medium","Low"))</f>
        <v>Medium</v>
      </c>
      <c r="AG18" t="str">
        <f>IF(AND(Table1[[#This Row],[Average attendance on class]]&lt;75,Table1[[#This Row],[How many hour do you study daily?]]&lt;1),"At Risk","Normal")</f>
        <v>Normal</v>
      </c>
      <c r="AH18">
        <f>(Table1[[#This Row],[Average attendance on class]]*0.4)+(Table1[[#This Row],[How many hour do you study daily?]]*10*0.3)+(Table1[[#This Row],[How many hour do you spent daily on your skill development?]]*10*0.3)</f>
        <v>59</v>
      </c>
    </row>
    <row r="19" spans="1:34" x14ac:dyDescent="0.25">
      <c r="A19">
        <v>2021</v>
      </c>
      <c r="B19" t="s">
        <v>48</v>
      </c>
      <c r="C19">
        <v>21</v>
      </c>
      <c r="D19">
        <v>2020</v>
      </c>
      <c r="E19" t="s">
        <v>35</v>
      </c>
      <c r="F19">
        <v>4</v>
      </c>
      <c r="G19" t="s">
        <v>36</v>
      </c>
      <c r="H19" t="s">
        <v>37</v>
      </c>
      <c r="I19">
        <v>5</v>
      </c>
      <c r="J19">
        <v>1</v>
      </c>
      <c r="K19" t="s">
        <v>38</v>
      </c>
      <c r="L19" t="s">
        <v>36</v>
      </c>
      <c r="M19" t="s">
        <v>36</v>
      </c>
      <c r="N19">
        <v>2</v>
      </c>
      <c r="O19" t="s">
        <v>45</v>
      </c>
      <c r="P19">
        <v>97</v>
      </c>
      <c r="Q19" t="s">
        <v>37</v>
      </c>
      <c r="R19" t="s">
        <v>37</v>
      </c>
      <c r="S19" t="s">
        <v>37</v>
      </c>
      <c r="T19" t="s">
        <v>40</v>
      </c>
      <c r="U19">
        <v>2</v>
      </c>
      <c r="V19" t="s">
        <v>40</v>
      </c>
      <c r="W19" t="s">
        <v>42</v>
      </c>
      <c r="X19" t="s">
        <v>37</v>
      </c>
      <c r="Y19" t="s">
        <v>47</v>
      </c>
      <c r="Z19" t="s">
        <v>37</v>
      </c>
      <c r="AA19">
        <v>2.68</v>
      </c>
      <c r="AB19" t="s">
        <v>37</v>
      </c>
      <c r="AC19">
        <v>3.15</v>
      </c>
      <c r="AD19">
        <v>36</v>
      </c>
      <c r="AE19">
        <v>50000</v>
      </c>
      <c r="AF19" t="str">
        <f>IF(Table1[[#This Row],[What is your current CGPA?]]&gt;=3.5,"High",IF(Table1[[#This Row],[What is your current CGPA?]]&gt;=2.5,"Medium","Low"))</f>
        <v>Medium</v>
      </c>
      <c r="AG19" t="str">
        <f>IF(AND(Table1[[#This Row],[Average attendance on class]]&lt;75,Table1[[#This Row],[How many hour do you study daily?]]&lt;1),"At Risk","Normal")</f>
        <v>Normal</v>
      </c>
      <c r="AH19">
        <f>(Table1[[#This Row],[Average attendance on class]]*0.4)+(Table1[[#This Row],[How many hour do you study daily?]]*10*0.3)+(Table1[[#This Row],[How many hour do you spent daily on your skill development?]]*10*0.3)</f>
        <v>59.800000000000004</v>
      </c>
    </row>
    <row r="20" spans="1:34" x14ac:dyDescent="0.25">
      <c r="A20">
        <v>2021</v>
      </c>
      <c r="B20" t="s">
        <v>34</v>
      </c>
      <c r="C20">
        <v>21</v>
      </c>
      <c r="D20">
        <v>2020</v>
      </c>
      <c r="E20" t="s">
        <v>35</v>
      </c>
      <c r="F20">
        <v>4</v>
      </c>
      <c r="G20" t="s">
        <v>36</v>
      </c>
      <c r="H20" t="s">
        <v>37</v>
      </c>
      <c r="I20">
        <v>1</v>
      </c>
      <c r="J20">
        <v>2</v>
      </c>
      <c r="K20" t="s">
        <v>44</v>
      </c>
      <c r="L20" t="s">
        <v>36</v>
      </c>
      <c r="M20" t="s">
        <v>36</v>
      </c>
      <c r="N20">
        <v>3</v>
      </c>
      <c r="O20" t="s">
        <v>53</v>
      </c>
      <c r="P20">
        <v>70</v>
      </c>
      <c r="Q20" t="s">
        <v>37</v>
      </c>
      <c r="R20" t="s">
        <v>37</v>
      </c>
      <c r="S20" t="s">
        <v>36</v>
      </c>
      <c r="T20" t="s">
        <v>40</v>
      </c>
      <c r="U20">
        <v>2</v>
      </c>
      <c r="V20" t="s">
        <v>40</v>
      </c>
      <c r="W20" t="s">
        <v>50</v>
      </c>
      <c r="X20" t="s">
        <v>37</v>
      </c>
      <c r="Y20" t="s">
        <v>47</v>
      </c>
      <c r="Z20" t="s">
        <v>37</v>
      </c>
      <c r="AA20">
        <v>3.1</v>
      </c>
      <c r="AB20" t="s">
        <v>37</v>
      </c>
      <c r="AC20">
        <v>3.5</v>
      </c>
      <c r="AD20">
        <v>35</v>
      </c>
      <c r="AE20">
        <v>62488</v>
      </c>
      <c r="AF20" t="str">
        <f>IF(Table1[[#This Row],[What is your current CGPA?]]&gt;=3.5,"High",IF(Table1[[#This Row],[What is your current CGPA?]]&gt;=2.5,"Medium","Low"))</f>
        <v>High</v>
      </c>
      <c r="AG20" t="str">
        <f>IF(AND(Table1[[#This Row],[Average attendance on class]]&lt;75,Table1[[#This Row],[How many hour do you study daily?]]&lt;1),"At Risk","Normal")</f>
        <v>Normal</v>
      </c>
      <c r="AH20">
        <f>(Table1[[#This Row],[Average attendance on class]]*0.4)+(Table1[[#This Row],[How many hour do you study daily?]]*10*0.3)+(Table1[[#This Row],[How many hour do you spent daily on your skill development?]]*10*0.3)</f>
        <v>37</v>
      </c>
    </row>
    <row r="21" spans="1:34" x14ac:dyDescent="0.25">
      <c r="A21">
        <v>2021</v>
      </c>
      <c r="B21" t="s">
        <v>34</v>
      </c>
      <c r="C21">
        <v>19</v>
      </c>
      <c r="D21">
        <v>2020</v>
      </c>
      <c r="E21" t="s">
        <v>35</v>
      </c>
      <c r="F21">
        <v>4</v>
      </c>
      <c r="G21" t="s">
        <v>37</v>
      </c>
      <c r="H21" t="s">
        <v>36</v>
      </c>
      <c r="I21">
        <v>3</v>
      </c>
      <c r="J21">
        <v>2</v>
      </c>
      <c r="K21" t="s">
        <v>44</v>
      </c>
      <c r="L21" t="s">
        <v>36</v>
      </c>
      <c r="M21" t="s">
        <v>36</v>
      </c>
      <c r="N21">
        <v>2</v>
      </c>
      <c r="O21" t="s">
        <v>39</v>
      </c>
      <c r="P21">
        <v>70</v>
      </c>
      <c r="Q21" t="s">
        <v>36</v>
      </c>
      <c r="R21" t="s">
        <v>37</v>
      </c>
      <c r="S21" t="s">
        <v>36</v>
      </c>
      <c r="T21" t="s">
        <v>40</v>
      </c>
      <c r="U21">
        <v>2</v>
      </c>
      <c r="V21" t="s">
        <v>40</v>
      </c>
      <c r="W21" t="s">
        <v>42</v>
      </c>
      <c r="X21" t="s">
        <v>37</v>
      </c>
      <c r="Y21" t="s">
        <v>47</v>
      </c>
      <c r="Z21" t="s">
        <v>37</v>
      </c>
      <c r="AA21">
        <v>2.68</v>
      </c>
      <c r="AB21" t="s">
        <v>37</v>
      </c>
      <c r="AC21">
        <v>3.15</v>
      </c>
      <c r="AD21">
        <v>36</v>
      </c>
      <c r="AE21">
        <v>20000</v>
      </c>
      <c r="AF21" t="str">
        <f>IF(Table1[[#This Row],[What is your current CGPA?]]&gt;=3.5,"High",IF(Table1[[#This Row],[What is your current CGPA?]]&gt;=2.5,"Medium","Low"))</f>
        <v>Medium</v>
      </c>
      <c r="AG21" t="str">
        <f>IF(AND(Table1[[#This Row],[Average attendance on class]]&lt;75,Table1[[#This Row],[How many hour do you study daily?]]&lt;1),"At Risk","Normal")</f>
        <v>Normal</v>
      </c>
      <c r="AH21">
        <f>(Table1[[#This Row],[Average attendance on class]]*0.4)+(Table1[[#This Row],[How many hour do you study daily?]]*10*0.3)+(Table1[[#This Row],[How many hour do you spent daily on your skill development?]]*10*0.3)</f>
        <v>43</v>
      </c>
    </row>
    <row r="22" spans="1:34" x14ac:dyDescent="0.25">
      <c r="A22">
        <v>2021</v>
      </c>
      <c r="B22" t="s">
        <v>48</v>
      </c>
      <c r="C22">
        <v>21</v>
      </c>
      <c r="D22">
        <v>2019</v>
      </c>
      <c r="E22" t="s">
        <v>35</v>
      </c>
      <c r="F22">
        <v>4</v>
      </c>
      <c r="G22" t="s">
        <v>36</v>
      </c>
      <c r="H22" t="s">
        <v>37</v>
      </c>
      <c r="I22">
        <v>3</v>
      </c>
      <c r="J22">
        <v>2</v>
      </c>
      <c r="K22" t="s">
        <v>38</v>
      </c>
      <c r="L22" t="s">
        <v>36</v>
      </c>
      <c r="M22" t="s">
        <v>36</v>
      </c>
      <c r="N22">
        <v>2</v>
      </c>
      <c r="O22" t="s">
        <v>39</v>
      </c>
      <c r="P22">
        <v>96</v>
      </c>
      <c r="Q22" t="s">
        <v>37</v>
      </c>
      <c r="R22" t="s">
        <v>37</v>
      </c>
      <c r="S22" t="s">
        <v>36</v>
      </c>
      <c r="T22" t="s">
        <v>40</v>
      </c>
      <c r="U22">
        <v>1</v>
      </c>
      <c r="V22" t="s">
        <v>40</v>
      </c>
      <c r="W22" t="s">
        <v>42</v>
      </c>
      <c r="X22" t="s">
        <v>36</v>
      </c>
      <c r="Y22" t="s">
        <v>43</v>
      </c>
      <c r="Z22" t="s">
        <v>37</v>
      </c>
      <c r="AA22">
        <v>3.81</v>
      </c>
      <c r="AB22" t="s">
        <v>37</v>
      </c>
      <c r="AC22">
        <v>3.65</v>
      </c>
      <c r="AD22">
        <v>34</v>
      </c>
      <c r="AE22">
        <v>30000</v>
      </c>
      <c r="AF22" t="str">
        <f>IF(Table1[[#This Row],[What is your current CGPA?]]&gt;=3.5,"High",IF(Table1[[#This Row],[What is your current CGPA?]]&gt;=2.5,"Medium","Low"))</f>
        <v>High</v>
      </c>
      <c r="AG22" t="str">
        <f>IF(AND(Table1[[#This Row],[Average attendance on class]]&lt;75,Table1[[#This Row],[How many hour do you study daily?]]&lt;1),"At Risk","Normal")</f>
        <v>Normal</v>
      </c>
      <c r="AH22">
        <f>(Table1[[#This Row],[Average attendance on class]]*0.4)+(Table1[[#This Row],[How many hour do you study daily?]]*10*0.3)+(Table1[[#This Row],[How many hour do you spent daily on your skill development?]]*10*0.3)</f>
        <v>50.400000000000006</v>
      </c>
    </row>
    <row r="23" spans="1:34" x14ac:dyDescent="0.25">
      <c r="A23">
        <v>2021</v>
      </c>
      <c r="B23" t="s">
        <v>34</v>
      </c>
      <c r="C23">
        <v>21</v>
      </c>
      <c r="D23">
        <v>2020</v>
      </c>
      <c r="E23" t="s">
        <v>35</v>
      </c>
      <c r="F23">
        <v>4</v>
      </c>
      <c r="G23" t="s">
        <v>36</v>
      </c>
      <c r="H23" t="s">
        <v>37</v>
      </c>
      <c r="I23">
        <v>3</v>
      </c>
      <c r="J23">
        <v>3</v>
      </c>
      <c r="K23" t="s">
        <v>38</v>
      </c>
      <c r="L23" t="s">
        <v>36</v>
      </c>
      <c r="M23" t="s">
        <v>36</v>
      </c>
      <c r="N23">
        <v>2</v>
      </c>
      <c r="O23" t="s">
        <v>39</v>
      </c>
      <c r="P23">
        <v>80</v>
      </c>
      <c r="Q23" t="s">
        <v>36</v>
      </c>
      <c r="R23" t="s">
        <v>37</v>
      </c>
      <c r="S23" t="s">
        <v>37</v>
      </c>
      <c r="T23" t="s">
        <v>51</v>
      </c>
      <c r="U23">
        <v>2</v>
      </c>
      <c r="V23" t="s">
        <v>51</v>
      </c>
      <c r="W23" t="s">
        <v>42</v>
      </c>
      <c r="X23" t="s">
        <v>37</v>
      </c>
      <c r="Y23" t="s">
        <v>43</v>
      </c>
      <c r="Z23" t="s">
        <v>37</v>
      </c>
      <c r="AA23">
        <v>2.68</v>
      </c>
      <c r="AB23" t="s">
        <v>37</v>
      </c>
      <c r="AC23">
        <v>3.15</v>
      </c>
      <c r="AD23">
        <v>36</v>
      </c>
      <c r="AE23">
        <v>50000</v>
      </c>
      <c r="AF23" t="str">
        <f>IF(Table1[[#This Row],[What is your current CGPA?]]&gt;=3.5,"High",IF(Table1[[#This Row],[What is your current CGPA?]]&gt;=2.5,"Medium","Low"))</f>
        <v>Medium</v>
      </c>
      <c r="AG23" t="str">
        <f>IF(AND(Table1[[#This Row],[Average attendance on class]]&lt;75,Table1[[#This Row],[How many hour do you study daily?]]&lt;1),"At Risk","Normal")</f>
        <v>Normal</v>
      </c>
      <c r="AH23">
        <f>(Table1[[#This Row],[Average attendance on class]]*0.4)+(Table1[[#This Row],[How many hour do you study daily?]]*10*0.3)+(Table1[[#This Row],[How many hour do you spent daily on your skill development?]]*10*0.3)</f>
        <v>47</v>
      </c>
    </row>
    <row r="24" spans="1:34" x14ac:dyDescent="0.25">
      <c r="A24">
        <v>2021</v>
      </c>
      <c r="B24" t="s">
        <v>34</v>
      </c>
      <c r="C24">
        <v>22</v>
      </c>
      <c r="D24">
        <v>2020</v>
      </c>
      <c r="E24" t="s">
        <v>35</v>
      </c>
      <c r="F24">
        <v>4</v>
      </c>
      <c r="G24" t="s">
        <v>36</v>
      </c>
      <c r="H24" t="s">
        <v>37</v>
      </c>
      <c r="I24">
        <v>2</v>
      </c>
      <c r="J24">
        <v>1</v>
      </c>
      <c r="K24" t="s">
        <v>38</v>
      </c>
      <c r="L24" t="s">
        <v>36</v>
      </c>
      <c r="M24" t="s">
        <v>36</v>
      </c>
      <c r="N24">
        <v>2</v>
      </c>
      <c r="O24" t="s">
        <v>39</v>
      </c>
      <c r="P24">
        <v>98</v>
      </c>
      <c r="Q24" t="s">
        <v>37</v>
      </c>
      <c r="R24" t="s">
        <v>37</v>
      </c>
      <c r="S24" t="s">
        <v>36</v>
      </c>
      <c r="T24" t="s">
        <v>40</v>
      </c>
      <c r="U24">
        <v>2</v>
      </c>
      <c r="V24" t="s">
        <v>40</v>
      </c>
      <c r="W24" t="s">
        <v>42</v>
      </c>
      <c r="X24" t="s">
        <v>36</v>
      </c>
      <c r="Y24" t="s">
        <v>43</v>
      </c>
      <c r="Z24" t="s">
        <v>37</v>
      </c>
      <c r="AA24">
        <v>2.68</v>
      </c>
      <c r="AB24" t="s">
        <v>37</v>
      </c>
      <c r="AC24">
        <v>3.15</v>
      </c>
      <c r="AD24">
        <v>36</v>
      </c>
      <c r="AE24">
        <v>20000</v>
      </c>
      <c r="AF24" t="str">
        <f>IF(Table1[[#This Row],[What is your current CGPA?]]&gt;=3.5,"High",IF(Table1[[#This Row],[What is your current CGPA?]]&gt;=2.5,"Medium","Low"))</f>
        <v>Medium</v>
      </c>
      <c r="AG24" t="str">
        <f>IF(AND(Table1[[#This Row],[Average attendance on class]]&lt;75,Table1[[#This Row],[How many hour do you study daily?]]&lt;1),"At Risk","Normal")</f>
        <v>Normal</v>
      </c>
      <c r="AH24">
        <f>(Table1[[#This Row],[Average attendance on class]]*0.4)+(Table1[[#This Row],[How many hour do you study daily?]]*10*0.3)+(Table1[[#This Row],[How many hour do you spent daily on your skill development?]]*10*0.3)</f>
        <v>51.2</v>
      </c>
    </row>
    <row r="25" spans="1:34" x14ac:dyDescent="0.25">
      <c r="A25">
        <v>2020</v>
      </c>
      <c r="B25" t="s">
        <v>48</v>
      </c>
      <c r="C25">
        <v>21</v>
      </c>
      <c r="D25">
        <v>2019</v>
      </c>
      <c r="E25" t="s">
        <v>35</v>
      </c>
      <c r="F25">
        <v>4</v>
      </c>
      <c r="G25" t="s">
        <v>37</v>
      </c>
      <c r="H25" t="s">
        <v>36</v>
      </c>
      <c r="I25">
        <v>6</v>
      </c>
      <c r="J25">
        <v>3</v>
      </c>
      <c r="K25" t="s">
        <v>38</v>
      </c>
      <c r="L25" t="s">
        <v>36</v>
      </c>
      <c r="M25" t="s">
        <v>36</v>
      </c>
      <c r="N25">
        <v>3</v>
      </c>
      <c r="O25" t="s">
        <v>39</v>
      </c>
      <c r="P25">
        <v>95</v>
      </c>
      <c r="Q25" t="s">
        <v>37</v>
      </c>
      <c r="R25" t="s">
        <v>37</v>
      </c>
      <c r="S25" t="s">
        <v>37</v>
      </c>
      <c r="T25" t="s">
        <v>40</v>
      </c>
      <c r="U25">
        <v>3</v>
      </c>
      <c r="V25" t="s">
        <v>40</v>
      </c>
      <c r="W25" t="s">
        <v>42</v>
      </c>
      <c r="X25" t="s">
        <v>36</v>
      </c>
      <c r="Y25" t="s">
        <v>47</v>
      </c>
      <c r="Z25" t="s">
        <v>37</v>
      </c>
      <c r="AA25">
        <v>2.68</v>
      </c>
      <c r="AB25" t="s">
        <v>37</v>
      </c>
      <c r="AC25">
        <v>3.15</v>
      </c>
      <c r="AD25">
        <v>36</v>
      </c>
      <c r="AE25">
        <v>25000</v>
      </c>
      <c r="AF25" t="str">
        <f>IF(Table1[[#This Row],[What is your current CGPA?]]&gt;=3.5,"High",IF(Table1[[#This Row],[What is your current CGPA?]]&gt;=2.5,"Medium","Low"))</f>
        <v>Medium</v>
      </c>
      <c r="AG25" t="str">
        <f>IF(AND(Table1[[#This Row],[Average attendance on class]]&lt;75,Table1[[#This Row],[How many hour do you study daily?]]&lt;1),"At Risk","Normal")</f>
        <v>Normal</v>
      </c>
      <c r="AH25">
        <f>(Table1[[#This Row],[Average attendance on class]]*0.4)+(Table1[[#This Row],[How many hour do you study daily?]]*10*0.3)+(Table1[[#This Row],[How many hour do you spent daily on your skill development?]]*10*0.3)</f>
        <v>65</v>
      </c>
    </row>
    <row r="26" spans="1:34" x14ac:dyDescent="0.25">
      <c r="A26">
        <v>2021</v>
      </c>
      <c r="B26" t="s">
        <v>34</v>
      </c>
      <c r="C26">
        <v>21</v>
      </c>
      <c r="D26">
        <v>2020</v>
      </c>
      <c r="E26" t="s">
        <v>35</v>
      </c>
      <c r="F26">
        <v>4</v>
      </c>
      <c r="G26" t="s">
        <v>36</v>
      </c>
      <c r="H26" t="s">
        <v>36</v>
      </c>
      <c r="I26">
        <v>1</v>
      </c>
      <c r="J26">
        <v>1</v>
      </c>
      <c r="K26" t="s">
        <v>44</v>
      </c>
      <c r="L26" t="s">
        <v>36</v>
      </c>
      <c r="M26" t="s">
        <v>36</v>
      </c>
      <c r="N26">
        <v>1</v>
      </c>
      <c r="O26" t="s">
        <v>53</v>
      </c>
      <c r="P26">
        <v>85</v>
      </c>
      <c r="Q26" t="s">
        <v>37</v>
      </c>
      <c r="R26" t="s">
        <v>37</v>
      </c>
      <c r="S26" t="s">
        <v>36</v>
      </c>
      <c r="T26" t="s">
        <v>54</v>
      </c>
      <c r="U26">
        <v>2</v>
      </c>
      <c r="V26" t="s">
        <v>52</v>
      </c>
      <c r="W26" t="s">
        <v>42</v>
      </c>
      <c r="X26" t="s">
        <v>36</v>
      </c>
      <c r="Y26" t="s">
        <v>43</v>
      </c>
      <c r="Z26" t="s">
        <v>36</v>
      </c>
      <c r="AA26">
        <v>3.89</v>
      </c>
      <c r="AB26" t="s">
        <v>37</v>
      </c>
      <c r="AC26">
        <v>3.81</v>
      </c>
      <c r="AD26">
        <v>35</v>
      </c>
      <c r="AE26">
        <v>35000</v>
      </c>
      <c r="AF26" t="str">
        <f>IF(Table1[[#This Row],[What is your current CGPA?]]&gt;=3.5,"High",IF(Table1[[#This Row],[What is your current CGPA?]]&gt;=2.5,"Medium","Low"))</f>
        <v>High</v>
      </c>
      <c r="AG26" t="str">
        <f>IF(AND(Table1[[#This Row],[Average attendance on class]]&lt;75,Table1[[#This Row],[How many hour do you study daily?]]&lt;1),"At Risk","Normal")</f>
        <v>Normal</v>
      </c>
      <c r="AH26">
        <f>(Table1[[#This Row],[Average attendance on class]]*0.4)+(Table1[[#This Row],[How many hour do you study daily?]]*10*0.3)+(Table1[[#This Row],[How many hour do you spent daily on your skill development?]]*10*0.3)</f>
        <v>43</v>
      </c>
    </row>
    <row r="27" spans="1:34" x14ac:dyDescent="0.25">
      <c r="A27">
        <v>2021</v>
      </c>
      <c r="B27" t="s">
        <v>48</v>
      </c>
      <c r="C27">
        <v>20</v>
      </c>
      <c r="D27">
        <v>2020</v>
      </c>
      <c r="E27" t="s">
        <v>35</v>
      </c>
      <c r="F27">
        <v>4</v>
      </c>
      <c r="G27" t="s">
        <v>37</v>
      </c>
      <c r="H27" t="s">
        <v>37</v>
      </c>
      <c r="I27">
        <v>3</v>
      </c>
      <c r="J27">
        <v>2</v>
      </c>
      <c r="K27" t="s">
        <v>38</v>
      </c>
      <c r="L27" t="s">
        <v>36</v>
      </c>
      <c r="M27" t="s">
        <v>36</v>
      </c>
      <c r="N27">
        <v>1</v>
      </c>
      <c r="O27" t="s">
        <v>45</v>
      </c>
      <c r="P27">
        <v>97</v>
      </c>
      <c r="Q27" t="s">
        <v>37</v>
      </c>
      <c r="R27" t="s">
        <v>37</v>
      </c>
      <c r="S27" t="s">
        <v>36</v>
      </c>
      <c r="T27" t="s">
        <v>40</v>
      </c>
      <c r="U27">
        <v>2</v>
      </c>
      <c r="V27" t="s">
        <v>40</v>
      </c>
      <c r="W27" t="s">
        <v>42</v>
      </c>
      <c r="X27" t="s">
        <v>37</v>
      </c>
      <c r="Y27" t="s">
        <v>47</v>
      </c>
      <c r="Z27" t="s">
        <v>37</v>
      </c>
      <c r="AA27">
        <v>3.79</v>
      </c>
      <c r="AB27" t="s">
        <v>37</v>
      </c>
      <c r="AC27">
        <v>3.82</v>
      </c>
      <c r="AD27">
        <v>39</v>
      </c>
      <c r="AE27">
        <v>50000</v>
      </c>
      <c r="AF27" t="str">
        <f>IF(Table1[[#This Row],[What is your current CGPA?]]&gt;=3.5,"High",IF(Table1[[#This Row],[What is your current CGPA?]]&gt;=2.5,"Medium","Low"))</f>
        <v>High</v>
      </c>
      <c r="AG27" t="str">
        <f>IF(AND(Table1[[#This Row],[Average attendance on class]]&lt;75,Table1[[#This Row],[How many hour do you study daily?]]&lt;1),"At Risk","Normal")</f>
        <v>Normal</v>
      </c>
      <c r="AH27">
        <f>(Table1[[#This Row],[Average attendance on class]]*0.4)+(Table1[[#This Row],[How many hour do you study daily?]]*10*0.3)+(Table1[[#This Row],[How many hour do you spent daily on your skill development?]]*10*0.3)</f>
        <v>53.800000000000004</v>
      </c>
    </row>
    <row r="28" spans="1:34" x14ac:dyDescent="0.25">
      <c r="A28">
        <v>2021</v>
      </c>
      <c r="B28" t="s">
        <v>34</v>
      </c>
      <c r="C28">
        <v>20</v>
      </c>
      <c r="D28">
        <v>2020</v>
      </c>
      <c r="E28" t="s">
        <v>35</v>
      </c>
      <c r="F28">
        <v>4</v>
      </c>
      <c r="G28" t="s">
        <v>37</v>
      </c>
      <c r="H28" t="s">
        <v>37</v>
      </c>
      <c r="I28">
        <v>4</v>
      </c>
      <c r="J28">
        <v>3</v>
      </c>
      <c r="K28" t="s">
        <v>38</v>
      </c>
      <c r="L28" t="s">
        <v>36</v>
      </c>
      <c r="M28" t="s">
        <v>37</v>
      </c>
      <c r="N28">
        <v>3</v>
      </c>
      <c r="O28" t="s">
        <v>45</v>
      </c>
      <c r="P28">
        <v>95</v>
      </c>
      <c r="Q28" t="s">
        <v>37</v>
      </c>
      <c r="R28" t="s">
        <v>37</v>
      </c>
      <c r="S28" t="s">
        <v>37</v>
      </c>
      <c r="T28" t="s">
        <v>40</v>
      </c>
      <c r="U28">
        <v>2</v>
      </c>
      <c r="V28" t="s">
        <v>40</v>
      </c>
      <c r="W28" t="s">
        <v>42</v>
      </c>
      <c r="X28" t="s">
        <v>36</v>
      </c>
      <c r="Y28" t="s">
        <v>43</v>
      </c>
      <c r="Z28" t="s">
        <v>37</v>
      </c>
      <c r="AA28">
        <v>2.68</v>
      </c>
      <c r="AB28" t="s">
        <v>37</v>
      </c>
      <c r="AC28">
        <v>3.15</v>
      </c>
      <c r="AD28">
        <v>36</v>
      </c>
      <c r="AE28">
        <v>4000</v>
      </c>
      <c r="AF28" t="str">
        <f>IF(Table1[[#This Row],[What is your current CGPA?]]&gt;=3.5,"High",IF(Table1[[#This Row],[What is your current CGPA?]]&gt;=2.5,"Medium","Low"))</f>
        <v>Medium</v>
      </c>
      <c r="AG28" t="str">
        <f>IF(AND(Table1[[#This Row],[Average attendance on class]]&lt;75,Table1[[#This Row],[How many hour do you study daily?]]&lt;1),"At Risk","Normal")</f>
        <v>Normal</v>
      </c>
      <c r="AH28">
        <f>(Table1[[#This Row],[Average attendance on class]]*0.4)+(Table1[[#This Row],[How many hour do you study daily?]]*10*0.3)+(Table1[[#This Row],[How many hour do you spent daily on your skill development?]]*10*0.3)</f>
        <v>56</v>
      </c>
    </row>
    <row r="29" spans="1:34" x14ac:dyDescent="0.25">
      <c r="A29">
        <v>2021</v>
      </c>
      <c r="B29" t="s">
        <v>34</v>
      </c>
      <c r="C29">
        <v>19</v>
      </c>
      <c r="D29">
        <v>2020</v>
      </c>
      <c r="E29" t="s">
        <v>35</v>
      </c>
      <c r="F29">
        <v>4</v>
      </c>
      <c r="G29" t="s">
        <v>36</v>
      </c>
      <c r="H29" t="s">
        <v>36</v>
      </c>
      <c r="I29">
        <v>2</v>
      </c>
      <c r="J29">
        <v>1</v>
      </c>
      <c r="K29" t="s">
        <v>44</v>
      </c>
      <c r="L29" t="s">
        <v>36</v>
      </c>
      <c r="M29" t="s">
        <v>36</v>
      </c>
      <c r="N29">
        <v>4</v>
      </c>
      <c r="O29" t="s">
        <v>39</v>
      </c>
      <c r="P29">
        <v>70</v>
      </c>
      <c r="Q29" t="s">
        <v>36</v>
      </c>
      <c r="R29" t="s">
        <v>37</v>
      </c>
      <c r="S29" t="s">
        <v>36</v>
      </c>
      <c r="T29" t="s">
        <v>40</v>
      </c>
      <c r="U29">
        <v>4</v>
      </c>
      <c r="V29" t="s">
        <v>49</v>
      </c>
      <c r="W29" t="s">
        <v>42</v>
      </c>
      <c r="X29" t="s">
        <v>36</v>
      </c>
      <c r="Y29" t="s">
        <v>47</v>
      </c>
      <c r="Z29" t="s">
        <v>36</v>
      </c>
      <c r="AA29">
        <v>3.55</v>
      </c>
      <c r="AB29" t="s">
        <v>37</v>
      </c>
      <c r="AC29">
        <v>3.48</v>
      </c>
      <c r="AD29">
        <v>35</v>
      </c>
      <c r="AE29">
        <v>40000</v>
      </c>
      <c r="AF29" t="str">
        <f>IF(Table1[[#This Row],[What is your current CGPA?]]&gt;=3.5,"High",IF(Table1[[#This Row],[What is your current CGPA?]]&gt;=2.5,"Medium","Low"))</f>
        <v>Medium</v>
      </c>
      <c r="AG29" t="str">
        <f>IF(AND(Table1[[#This Row],[Average attendance on class]]&lt;75,Table1[[#This Row],[How many hour do you study daily?]]&lt;1),"At Risk","Normal")</f>
        <v>Normal</v>
      </c>
      <c r="AH29">
        <f>(Table1[[#This Row],[Average attendance on class]]*0.4)+(Table1[[#This Row],[How many hour do you study daily?]]*10*0.3)+(Table1[[#This Row],[How many hour do you spent daily on your skill development?]]*10*0.3)</f>
        <v>46</v>
      </c>
    </row>
    <row r="30" spans="1:34" x14ac:dyDescent="0.25">
      <c r="A30">
        <v>2021</v>
      </c>
      <c r="B30" t="s">
        <v>34</v>
      </c>
      <c r="C30">
        <v>21</v>
      </c>
      <c r="D30">
        <v>2020</v>
      </c>
      <c r="E30" t="s">
        <v>35</v>
      </c>
      <c r="F30">
        <v>4</v>
      </c>
      <c r="G30" t="s">
        <v>36</v>
      </c>
      <c r="H30" t="s">
        <v>36</v>
      </c>
      <c r="I30">
        <v>2</v>
      </c>
      <c r="J30">
        <v>1</v>
      </c>
      <c r="K30" t="s">
        <v>44</v>
      </c>
      <c r="L30" t="s">
        <v>36</v>
      </c>
      <c r="M30" t="s">
        <v>36</v>
      </c>
      <c r="N30">
        <v>2</v>
      </c>
      <c r="O30" t="s">
        <v>39</v>
      </c>
      <c r="P30">
        <v>95</v>
      </c>
      <c r="Q30" t="s">
        <v>37</v>
      </c>
      <c r="R30" t="s">
        <v>37</v>
      </c>
      <c r="S30" t="s">
        <v>36</v>
      </c>
      <c r="T30" t="s">
        <v>40</v>
      </c>
      <c r="U30">
        <v>2</v>
      </c>
      <c r="V30" t="s">
        <v>40</v>
      </c>
      <c r="W30" t="s">
        <v>42</v>
      </c>
      <c r="X30" t="s">
        <v>36</v>
      </c>
      <c r="Y30" t="s">
        <v>43</v>
      </c>
      <c r="Z30" t="s">
        <v>36</v>
      </c>
      <c r="AA30">
        <v>3.28</v>
      </c>
      <c r="AB30" t="s">
        <v>37</v>
      </c>
      <c r="AC30">
        <v>3.32</v>
      </c>
      <c r="AD30">
        <v>36</v>
      </c>
      <c r="AE30">
        <v>8000</v>
      </c>
      <c r="AF30" t="str">
        <f>IF(Table1[[#This Row],[What is your current CGPA?]]&gt;=3.5,"High",IF(Table1[[#This Row],[What is your current CGPA?]]&gt;=2.5,"Medium","Low"))</f>
        <v>Medium</v>
      </c>
      <c r="AG30" t="str">
        <f>IF(AND(Table1[[#This Row],[Average attendance on class]]&lt;75,Table1[[#This Row],[How many hour do you study daily?]]&lt;1),"At Risk","Normal")</f>
        <v>Normal</v>
      </c>
      <c r="AH30">
        <f>(Table1[[#This Row],[Average attendance on class]]*0.4)+(Table1[[#This Row],[How many hour do you study daily?]]*10*0.3)+(Table1[[#This Row],[How many hour do you spent daily on your skill development?]]*10*0.3)</f>
        <v>50</v>
      </c>
    </row>
    <row r="31" spans="1:34" x14ac:dyDescent="0.25">
      <c r="A31">
        <v>2021</v>
      </c>
      <c r="B31" t="s">
        <v>34</v>
      </c>
      <c r="C31">
        <v>25</v>
      </c>
      <c r="D31">
        <v>2020</v>
      </c>
      <c r="E31" t="s">
        <v>35</v>
      </c>
      <c r="F31">
        <v>4</v>
      </c>
      <c r="G31" t="s">
        <v>36</v>
      </c>
      <c r="H31" t="s">
        <v>37</v>
      </c>
      <c r="I31">
        <v>3</v>
      </c>
      <c r="J31">
        <v>3</v>
      </c>
      <c r="K31" t="s">
        <v>38</v>
      </c>
      <c r="L31" t="s">
        <v>36</v>
      </c>
      <c r="M31" t="s">
        <v>36</v>
      </c>
      <c r="N31">
        <v>2</v>
      </c>
      <c r="O31" t="s">
        <v>39</v>
      </c>
      <c r="P31">
        <v>100</v>
      </c>
      <c r="Q31" t="s">
        <v>37</v>
      </c>
      <c r="R31" t="s">
        <v>37</v>
      </c>
      <c r="S31" t="s">
        <v>36</v>
      </c>
      <c r="T31" t="s">
        <v>40</v>
      </c>
      <c r="U31">
        <v>3</v>
      </c>
      <c r="V31" t="s">
        <v>40</v>
      </c>
      <c r="W31" t="s">
        <v>42</v>
      </c>
      <c r="X31" t="s">
        <v>36</v>
      </c>
      <c r="Y31" t="s">
        <v>43</v>
      </c>
      <c r="Z31" t="s">
        <v>37</v>
      </c>
      <c r="AA31">
        <v>2.68</v>
      </c>
      <c r="AB31" t="s">
        <v>37</v>
      </c>
      <c r="AC31">
        <v>3.15</v>
      </c>
      <c r="AD31">
        <v>36</v>
      </c>
      <c r="AE31">
        <v>47972</v>
      </c>
      <c r="AF31" t="str">
        <f>IF(Table1[[#This Row],[What is your current CGPA?]]&gt;=3.5,"High",IF(Table1[[#This Row],[What is your current CGPA?]]&gt;=2.5,"Medium","Low"))</f>
        <v>Medium</v>
      </c>
      <c r="AG31" t="str">
        <f>IF(AND(Table1[[#This Row],[Average attendance on class]]&lt;75,Table1[[#This Row],[How many hour do you study daily?]]&lt;1),"At Risk","Normal")</f>
        <v>Normal</v>
      </c>
      <c r="AH31">
        <f>(Table1[[#This Row],[Average attendance on class]]*0.4)+(Table1[[#This Row],[How many hour do you study daily?]]*10*0.3)+(Table1[[#This Row],[How many hour do you spent daily on your skill development?]]*10*0.3)</f>
        <v>58</v>
      </c>
    </row>
    <row r="32" spans="1:34" x14ac:dyDescent="0.25">
      <c r="A32">
        <v>2022</v>
      </c>
      <c r="B32" t="s">
        <v>34</v>
      </c>
      <c r="C32">
        <v>20</v>
      </c>
      <c r="D32">
        <v>2020</v>
      </c>
      <c r="E32" t="s">
        <v>35</v>
      </c>
      <c r="F32">
        <v>2</v>
      </c>
      <c r="G32" t="s">
        <v>36</v>
      </c>
      <c r="H32" t="s">
        <v>36</v>
      </c>
      <c r="I32">
        <v>3</v>
      </c>
      <c r="J32">
        <v>3</v>
      </c>
      <c r="K32" t="s">
        <v>44</v>
      </c>
      <c r="L32" t="s">
        <v>36</v>
      </c>
      <c r="M32" t="s">
        <v>36</v>
      </c>
      <c r="N32">
        <v>4</v>
      </c>
      <c r="O32" t="s">
        <v>39</v>
      </c>
      <c r="P32">
        <v>90</v>
      </c>
      <c r="Q32" t="s">
        <v>37</v>
      </c>
      <c r="R32" t="s">
        <v>37</v>
      </c>
      <c r="S32" t="s">
        <v>36</v>
      </c>
      <c r="T32" t="s">
        <v>40</v>
      </c>
      <c r="U32">
        <v>2</v>
      </c>
      <c r="V32" t="s">
        <v>52</v>
      </c>
      <c r="W32" t="s">
        <v>42</v>
      </c>
      <c r="X32" t="s">
        <v>37</v>
      </c>
      <c r="Y32" t="s">
        <v>47</v>
      </c>
      <c r="Z32" t="s">
        <v>37</v>
      </c>
      <c r="AA32">
        <v>2.68</v>
      </c>
      <c r="AB32" t="s">
        <v>37</v>
      </c>
      <c r="AC32">
        <v>3.15</v>
      </c>
      <c r="AD32">
        <v>11</v>
      </c>
      <c r="AE32">
        <v>30000</v>
      </c>
      <c r="AF32" t="str">
        <f>IF(Table1[[#This Row],[What is your current CGPA?]]&gt;=3.5,"High",IF(Table1[[#This Row],[What is your current CGPA?]]&gt;=2.5,"Medium","Low"))</f>
        <v>Medium</v>
      </c>
      <c r="AG32" t="str">
        <f>IF(AND(Table1[[#This Row],[Average attendance on class]]&lt;75,Table1[[#This Row],[How many hour do you study daily?]]&lt;1),"At Risk","Normal")</f>
        <v>Normal</v>
      </c>
      <c r="AH32">
        <f>(Table1[[#This Row],[Average attendance on class]]*0.4)+(Table1[[#This Row],[How many hour do you study daily?]]*10*0.3)+(Table1[[#This Row],[How many hour do you spent daily on your skill development?]]*10*0.3)</f>
        <v>51</v>
      </c>
    </row>
    <row r="33" spans="1:34" x14ac:dyDescent="0.25">
      <c r="A33">
        <v>2022</v>
      </c>
      <c r="B33" t="s">
        <v>34</v>
      </c>
      <c r="C33">
        <v>20</v>
      </c>
      <c r="D33">
        <v>2020</v>
      </c>
      <c r="E33" t="s">
        <v>35</v>
      </c>
      <c r="F33">
        <v>2</v>
      </c>
      <c r="G33" t="s">
        <v>36</v>
      </c>
      <c r="H33" t="s">
        <v>36</v>
      </c>
      <c r="I33">
        <v>4</v>
      </c>
      <c r="J33">
        <v>2</v>
      </c>
      <c r="K33" t="s">
        <v>38</v>
      </c>
      <c r="L33" t="s">
        <v>36</v>
      </c>
      <c r="M33" t="s">
        <v>36</v>
      </c>
      <c r="N33">
        <v>2</v>
      </c>
      <c r="O33" t="s">
        <v>39</v>
      </c>
      <c r="P33">
        <v>95</v>
      </c>
      <c r="Q33" t="s">
        <v>37</v>
      </c>
      <c r="R33" t="s">
        <v>37</v>
      </c>
      <c r="S33" t="s">
        <v>36</v>
      </c>
      <c r="T33" t="s">
        <v>40</v>
      </c>
      <c r="U33">
        <v>3</v>
      </c>
      <c r="V33" t="s">
        <v>40</v>
      </c>
      <c r="W33" t="s">
        <v>42</v>
      </c>
      <c r="X33" t="s">
        <v>36</v>
      </c>
      <c r="Y33" t="s">
        <v>47</v>
      </c>
      <c r="Z33" t="s">
        <v>37</v>
      </c>
      <c r="AA33">
        <v>2.68</v>
      </c>
      <c r="AB33" t="s">
        <v>37</v>
      </c>
      <c r="AC33">
        <v>3.15</v>
      </c>
      <c r="AD33">
        <v>11</v>
      </c>
      <c r="AE33">
        <v>90000</v>
      </c>
      <c r="AF33" t="str">
        <f>IF(Table1[[#This Row],[What is your current CGPA?]]&gt;=3.5,"High",IF(Table1[[#This Row],[What is your current CGPA?]]&gt;=2.5,"Medium","Low"))</f>
        <v>Medium</v>
      </c>
      <c r="AG33" t="str">
        <f>IF(AND(Table1[[#This Row],[Average attendance on class]]&lt;75,Table1[[#This Row],[How many hour do you study daily?]]&lt;1),"At Risk","Normal")</f>
        <v>Normal</v>
      </c>
      <c r="AH33">
        <f>(Table1[[#This Row],[Average attendance on class]]*0.4)+(Table1[[#This Row],[How many hour do you study daily?]]*10*0.3)+(Table1[[#This Row],[How many hour do you spent daily on your skill development?]]*10*0.3)</f>
        <v>59</v>
      </c>
    </row>
    <row r="34" spans="1:34" x14ac:dyDescent="0.25">
      <c r="A34">
        <v>2022</v>
      </c>
      <c r="B34" t="s">
        <v>34</v>
      </c>
      <c r="C34">
        <v>21</v>
      </c>
      <c r="D34">
        <v>2021</v>
      </c>
      <c r="E34" t="s">
        <v>35</v>
      </c>
      <c r="F34">
        <v>2</v>
      </c>
      <c r="G34" t="s">
        <v>37</v>
      </c>
      <c r="H34" t="s">
        <v>37</v>
      </c>
      <c r="I34">
        <v>5</v>
      </c>
      <c r="J34">
        <v>5</v>
      </c>
      <c r="K34" t="s">
        <v>38</v>
      </c>
      <c r="L34" t="s">
        <v>36</v>
      </c>
      <c r="M34" t="s">
        <v>36</v>
      </c>
      <c r="N34">
        <v>2</v>
      </c>
      <c r="O34" t="s">
        <v>39</v>
      </c>
      <c r="P34">
        <v>90</v>
      </c>
      <c r="Q34" t="s">
        <v>37</v>
      </c>
      <c r="R34" t="s">
        <v>37</v>
      </c>
      <c r="S34" t="s">
        <v>37</v>
      </c>
      <c r="T34" t="s">
        <v>40</v>
      </c>
      <c r="U34">
        <v>1</v>
      </c>
      <c r="V34" t="s">
        <v>40</v>
      </c>
      <c r="W34" t="s">
        <v>42</v>
      </c>
      <c r="X34" t="s">
        <v>37</v>
      </c>
      <c r="Y34" t="s">
        <v>43</v>
      </c>
      <c r="Z34" t="s">
        <v>37</v>
      </c>
      <c r="AA34">
        <v>2.68</v>
      </c>
      <c r="AB34" t="s">
        <v>37</v>
      </c>
      <c r="AC34">
        <v>3.15</v>
      </c>
      <c r="AD34">
        <v>11</v>
      </c>
      <c r="AE34">
        <v>30000</v>
      </c>
      <c r="AF34" t="str">
        <f>IF(Table1[[#This Row],[What is your current CGPA?]]&gt;=3.5,"High",IF(Table1[[#This Row],[What is your current CGPA?]]&gt;=2.5,"Medium","Low"))</f>
        <v>Medium</v>
      </c>
      <c r="AG34" t="str">
        <f>IF(AND(Table1[[#This Row],[Average attendance on class]]&lt;75,Table1[[#This Row],[How many hour do you study daily?]]&lt;1),"At Risk","Normal")</f>
        <v>Normal</v>
      </c>
      <c r="AH34">
        <f>(Table1[[#This Row],[Average attendance on class]]*0.4)+(Table1[[#This Row],[How many hour do you study daily?]]*10*0.3)+(Table1[[#This Row],[How many hour do you spent daily on your skill development?]]*10*0.3)</f>
        <v>54</v>
      </c>
    </row>
    <row r="35" spans="1:34" x14ac:dyDescent="0.25">
      <c r="A35">
        <v>2021</v>
      </c>
      <c r="B35" t="s">
        <v>34</v>
      </c>
      <c r="C35">
        <v>23</v>
      </c>
      <c r="D35">
        <v>2018</v>
      </c>
      <c r="E35" t="s">
        <v>35</v>
      </c>
      <c r="F35">
        <v>4</v>
      </c>
      <c r="G35" t="s">
        <v>36</v>
      </c>
      <c r="H35" t="s">
        <v>37</v>
      </c>
      <c r="I35">
        <v>8</v>
      </c>
      <c r="J35">
        <v>4</v>
      </c>
      <c r="K35" t="s">
        <v>38</v>
      </c>
      <c r="L35" t="s">
        <v>36</v>
      </c>
      <c r="M35" t="s">
        <v>36</v>
      </c>
      <c r="N35">
        <v>2</v>
      </c>
      <c r="O35" t="s">
        <v>39</v>
      </c>
      <c r="P35">
        <v>100</v>
      </c>
      <c r="Q35" t="s">
        <v>37</v>
      </c>
      <c r="R35" t="s">
        <v>37</v>
      </c>
      <c r="S35" t="s">
        <v>37</v>
      </c>
      <c r="T35" t="s">
        <v>40</v>
      </c>
      <c r="U35">
        <v>2</v>
      </c>
      <c r="V35" t="s">
        <v>40</v>
      </c>
      <c r="W35" t="s">
        <v>42</v>
      </c>
      <c r="X35" t="s">
        <v>36</v>
      </c>
      <c r="Y35" t="s">
        <v>43</v>
      </c>
      <c r="Z35" t="s">
        <v>37</v>
      </c>
      <c r="AA35">
        <v>2.68</v>
      </c>
      <c r="AB35" t="s">
        <v>37</v>
      </c>
      <c r="AC35">
        <v>3.15</v>
      </c>
      <c r="AD35">
        <v>36</v>
      </c>
      <c r="AE35">
        <v>37000</v>
      </c>
      <c r="AF35" t="str">
        <f>IF(Table1[[#This Row],[What is your current CGPA?]]&gt;=3.5,"High",IF(Table1[[#This Row],[What is your current CGPA?]]&gt;=2.5,"Medium","Low"))</f>
        <v>Medium</v>
      </c>
      <c r="AG35" t="str">
        <f>IF(AND(Table1[[#This Row],[Average attendance on class]]&lt;75,Table1[[#This Row],[How many hour do you study daily?]]&lt;1),"At Risk","Normal")</f>
        <v>Normal</v>
      </c>
      <c r="AH35">
        <f>(Table1[[#This Row],[Average attendance on class]]*0.4)+(Table1[[#This Row],[How many hour do you study daily?]]*10*0.3)+(Table1[[#This Row],[How many hour do you spent daily on your skill development?]]*10*0.3)</f>
        <v>70</v>
      </c>
    </row>
    <row r="36" spans="1:34" x14ac:dyDescent="0.25">
      <c r="A36">
        <v>2022</v>
      </c>
      <c r="B36" t="s">
        <v>34</v>
      </c>
      <c r="C36">
        <v>20</v>
      </c>
      <c r="D36">
        <v>2020</v>
      </c>
      <c r="E36" t="s">
        <v>35</v>
      </c>
      <c r="F36">
        <v>2</v>
      </c>
      <c r="G36" t="s">
        <v>36</v>
      </c>
      <c r="H36" t="s">
        <v>36</v>
      </c>
      <c r="I36">
        <v>1</v>
      </c>
      <c r="J36">
        <v>1</v>
      </c>
      <c r="K36" t="s">
        <v>38</v>
      </c>
      <c r="L36" t="s">
        <v>36</v>
      </c>
      <c r="M36" t="s">
        <v>36</v>
      </c>
      <c r="N36">
        <v>2</v>
      </c>
      <c r="O36" t="s">
        <v>45</v>
      </c>
      <c r="P36">
        <v>95</v>
      </c>
      <c r="Q36" t="s">
        <v>37</v>
      </c>
      <c r="R36" t="s">
        <v>37</v>
      </c>
      <c r="S36" t="s">
        <v>37</v>
      </c>
      <c r="T36" t="s">
        <v>40</v>
      </c>
      <c r="U36">
        <v>1</v>
      </c>
      <c r="V36" t="s">
        <v>40</v>
      </c>
      <c r="W36" t="s">
        <v>42</v>
      </c>
      <c r="X36" t="s">
        <v>36</v>
      </c>
      <c r="Y36" t="s">
        <v>47</v>
      </c>
      <c r="Z36" t="s">
        <v>37</v>
      </c>
      <c r="AA36">
        <v>2.68</v>
      </c>
      <c r="AB36" t="s">
        <v>37</v>
      </c>
      <c r="AC36">
        <v>3.15</v>
      </c>
      <c r="AD36">
        <v>11</v>
      </c>
      <c r="AE36">
        <v>35000</v>
      </c>
      <c r="AF36" t="str">
        <f>IF(Table1[[#This Row],[What is your current CGPA?]]&gt;=3.5,"High",IF(Table1[[#This Row],[What is your current CGPA?]]&gt;=2.5,"Medium","Low"))</f>
        <v>Medium</v>
      </c>
      <c r="AG36" t="str">
        <f>IF(AND(Table1[[#This Row],[Average attendance on class]]&lt;75,Table1[[#This Row],[How many hour do you study daily?]]&lt;1),"At Risk","Normal")</f>
        <v>Normal</v>
      </c>
      <c r="AH36">
        <f>(Table1[[#This Row],[Average attendance on class]]*0.4)+(Table1[[#This Row],[How many hour do you study daily?]]*10*0.3)+(Table1[[#This Row],[How many hour do you spent daily on your skill development?]]*10*0.3)</f>
        <v>44</v>
      </c>
    </row>
    <row r="37" spans="1:34" x14ac:dyDescent="0.25">
      <c r="A37">
        <v>2022</v>
      </c>
      <c r="B37" t="s">
        <v>48</v>
      </c>
      <c r="C37">
        <v>20</v>
      </c>
      <c r="D37">
        <v>2020</v>
      </c>
      <c r="E37" t="s">
        <v>35</v>
      </c>
      <c r="F37">
        <v>2</v>
      </c>
      <c r="G37" t="s">
        <v>36</v>
      </c>
      <c r="H37" t="s">
        <v>36</v>
      </c>
      <c r="I37">
        <v>3</v>
      </c>
      <c r="J37">
        <v>1</v>
      </c>
      <c r="K37" t="s">
        <v>44</v>
      </c>
      <c r="L37" t="s">
        <v>36</v>
      </c>
      <c r="M37" t="s">
        <v>37</v>
      </c>
      <c r="N37">
        <v>1</v>
      </c>
      <c r="O37" t="s">
        <v>39</v>
      </c>
      <c r="P37">
        <v>80</v>
      </c>
      <c r="Q37" t="s">
        <v>37</v>
      </c>
      <c r="R37" t="s">
        <v>37</v>
      </c>
      <c r="S37" t="s">
        <v>37</v>
      </c>
      <c r="T37" t="s">
        <v>40</v>
      </c>
      <c r="U37">
        <v>2</v>
      </c>
      <c r="V37" t="s">
        <v>40</v>
      </c>
      <c r="W37" t="s">
        <v>42</v>
      </c>
      <c r="X37" t="s">
        <v>36</v>
      </c>
      <c r="Y37" t="s">
        <v>47</v>
      </c>
      <c r="Z37" t="s">
        <v>37</v>
      </c>
      <c r="AA37">
        <v>2.68</v>
      </c>
      <c r="AB37" t="s">
        <v>37</v>
      </c>
      <c r="AC37">
        <v>3.15</v>
      </c>
      <c r="AD37">
        <v>11</v>
      </c>
      <c r="AE37">
        <v>50000</v>
      </c>
      <c r="AF37" t="str">
        <f>IF(Table1[[#This Row],[What is your current CGPA?]]&gt;=3.5,"High",IF(Table1[[#This Row],[What is your current CGPA?]]&gt;=2.5,"Medium","Low"))</f>
        <v>Medium</v>
      </c>
      <c r="AG37" t="str">
        <f>IF(AND(Table1[[#This Row],[Average attendance on class]]&lt;75,Table1[[#This Row],[How many hour do you study daily?]]&lt;1),"At Risk","Normal")</f>
        <v>Normal</v>
      </c>
      <c r="AH37">
        <f>(Table1[[#This Row],[Average attendance on class]]*0.4)+(Table1[[#This Row],[How many hour do you study daily?]]*10*0.3)+(Table1[[#This Row],[How many hour do you spent daily on your skill development?]]*10*0.3)</f>
        <v>47</v>
      </c>
    </row>
    <row r="38" spans="1:34" x14ac:dyDescent="0.25">
      <c r="A38">
        <v>2022</v>
      </c>
      <c r="B38" t="s">
        <v>48</v>
      </c>
      <c r="C38">
        <v>21</v>
      </c>
      <c r="D38">
        <v>2019</v>
      </c>
      <c r="E38" t="s">
        <v>35</v>
      </c>
      <c r="F38">
        <v>2</v>
      </c>
      <c r="G38" t="s">
        <v>36</v>
      </c>
      <c r="H38" t="s">
        <v>37</v>
      </c>
      <c r="I38">
        <v>2</v>
      </c>
      <c r="J38">
        <v>1</v>
      </c>
      <c r="K38" t="s">
        <v>38</v>
      </c>
      <c r="L38" t="s">
        <v>36</v>
      </c>
      <c r="M38" t="s">
        <v>36</v>
      </c>
      <c r="N38">
        <v>3</v>
      </c>
      <c r="O38" t="s">
        <v>45</v>
      </c>
      <c r="P38">
        <v>99</v>
      </c>
      <c r="Q38" t="s">
        <v>37</v>
      </c>
      <c r="R38" t="s">
        <v>37</v>
      </c>
      <c r="S38" t="s">
        <v>36</v>
      </c>
      <c r="T38" t="s">
        <v>40</v>
      </c>
      <c r="U38">
        <v>2</v>
      </c>
      <c r="V38" t="s">
        <v>49</v>
      </c>
      <c r="W38" t="s">
        <v>42</v>
      </c>
      <c r="X38" t="s">
        <v>37</v>
      </c>
      <c r="Y38" t="s">
        <v>43</v>
      </c>
      <c r="Z38" t="s">
        <v>37</v>
      </c>
      <c r="AA38">
        <v>2.68</v>
      </c>
      <c r="AB38" t="s">
        <v>37</v>
      </c>
      <c r="AC38">
        <v>3.15</v>
      </c>
      <c r="AD38">
        <v>11</v>
      </c>
      <c r="AE38">
        <v>30000</v>
      </c>
      <c r="AF38" t="str">
        <f>IF(Table1[[#This Row],[What is your current CGPA?]]&gt;=3.5,"High",IF(Table1[[#This Row],[What is your current CGPA?]]&gt;=2.5,"Medium","Low"))</f>
        <v>Medium</v>
      </c>
      <c r="AG38" t="str">
        <f>IF(AND(Table1[[#This Row],[Average attendance on class]]&lt;75,Table1[[#This Row],[How many hour do you study daily?]]&lt;1),"At Risk","Normal")</f>
        <v>Normal</v>
      </c>
      <c r="AH38">
        <f>(Table1[[#This Row],[Average attendance on class]]*0.4)+(Table1[[#This Row],[How many hour do you study daily?]]*10*0.3)+(Table1[[#This Row],[How many hour do you spent daily on your skill development?]]*10*0.3)</f>
        <v>51.6</v>
      </c>
    </row>
    <row r="39" spans="1:34" x14ac:dyDescent="0.25">
      <c r="A39">
        <v>2019</v>
      </c>
      <c r="B39" t="s">
        <v>34</v>
      </c>
      <c r="C39">
        <v>24</v>
      </c>
      <c r="D39">
        <v>2016</v>
      </c>
      <c r="E39" t="s">
        <v>35</v>
      </c>
      <c r="F39">
        <v>11</v>
      </c>
      <c r="G39" t="s">
        <v>37</v>
      </c>
      <c r="H39" t="s">
        <v>37</v>
      </c>
      <c r="I39">
        <v>2</v>
      </c>
      <c r="J39">
        <v>2</v>
      </c>
      <c r="K39" t="s">
        <v>44</v>
      </c>
      <c r="L39" t="s">
        <v>36</v>
      </c>
      <c r="M39" t="s">
        <v>36</v>
      </c>
      <c r="N39">
        <v>5</v>
      </c>
      <c r="O39" t="s">
        <v>45</v>
      </c>
      <c r="P39">
        <v>70</v>
      </c>
      <c r="Q39" t="s">
        <v>36</v>
      </c>
      <c r="R39" t="s">
        <v>37</v>
      </c>
      <c r="S39" t="s">
        <v>36</v>
      </c>
      <c r="T39" t="s">
        <v>40</v>
      </c>
      <c r="U39">
        <v>4</v>
      </c>
      <c r="V39" t="s">
        <v>40</v>
      </c>
      <c r="W39" t="s">
        <v>42</v>
      </c>
      <c r="X39" t="s">
        <v>37</v>
      </c>
      <c r="Y39" t="s">
        <v>43</v>
      </c>
      <c r="Z39" t="s">
        <v>36</v>
      </c>
      <c r="AA39">
        <v>2.68</v>
      </c>
      <c r="AB39" t="s">
        <v>37</v>
      </c>
      <c r="AC39">
        <v>3.15</v>
      </c>
      <c r="AD39">
        <v>126</v>
      </c>
      <c r="AE39">
        <v>20000</v>
      </c>
      <c r="AF39" t="str">
        <f>IF(Table1[[#This Row],[What is your current CGPA?]]&gt;=3.5,"High",IF(Table1[[#This Row],[What is your current CGPA?]]&gt;=2.5,"Medium","Low"))</f>
        <v>Medium</v>
      </c>
      <c r="AG39" t="str">
        <f>IF(AND(Table1[[#This Row],[Average attendance on class]]&lt;75,Table1[[#This Row],[How many hour do you study daily?]]&lt;1),"At Risk","Normal")</f>
        <v>Normal</v>
      </c>
      <c r="AH39">
        <f>(Table1[[#This Row],[Average attendance on class]]*0.4)+(Table1[[#This Row],[How many hour do you study daily?]]*10*0.3)+(Table1[[#This Row],[How many hour do you spent daily on your skill development?]]*10*0.3)</f>
        <v>46</v>
      </c>
    </row>
    <row r="40" spans="1:34" x14ac:dyDescent="0.25">
      <c r="A40">
        <v>2022</v>
      </c>
      <c r="B40" t="s">
        <v>48</v>
      </c>
      <c r="C40">
        <v>20</v>
      </c>
      <c r="D40">
        <v>2020</v>
      </c>
      <c r="E40" t="s">
        <v>35</v>
      </c>
      <c r="F40">
        <v>2</v>
      </c>
      <c r="G40" t="s">
        <v>36</v>
      </c>
      <c r="H40" t="s">
        <v>36</v>
      </c>
      <c r="I40">
        <v>4</v>
      </c>
      <c r="J40">
        <v>2</v>
      </c>
      <c r="K40" t="s">
        <v>38</v>
      </c>
      <c r="L40" t="s">
        <v>36</v>
      </c>
      <c r="M40" t="s">
        <v>36</v>
      </c>
      <c r="N40">
        <v>4</v>
      </c>
      <c r="O40" t="s">
        <v>39</v>
      </c>
      <c r="P40">
        <v>100</v>
      </c>
      <c r="Q40" t="s">
        <v>37</v>
      </c>
      <c r="R40" t="s">
        <v>37</v>
      </c>
      <c r="S40" t="s">
        <v>36</v>
      </c>
      <c r="T40" t="s">
        <v>40</v>
      </c>
      <c r="U40">
        <v>1</v>
      </c>
      <c r="V40" t="s">
        <v>40</v>
      </c>
      <c r="W40" t="s">
        <v>42</v>
      </c>
      <c r="X40" t="s">
        <v>37</v>
      </c>
      <c r="Y40" t="s">
        <v>47</v>
      </c>
      <c r="Z40" t="s">
        <v>37</v>
      </c>
      <c r="AA40">
        <v>2.68</v>
      </c>
      <c r="AB40" t="s">
        <v>37</v>
      </c>
      <c r="AC40">
        <v>3.15</v>
      </c>
      <c r="AD40">
        <v>11</v>
      </c>
      <c r="AE40">
        <v>80000</v>
      </c>
      <c r="AF40" t="str">
        <f>IF(Table1[[#This Row],[What is your current CGPA?]]&gt;=3.5,"High",IF(Table1[[#This Row],[What is your current CGPA?]]&gt;=2.5,"Medium","Low"))</f>
        <v>Medium</v>
      </c>
      <c r="AG40" t="str">
        <f>IF(AND(Table1[[#This Row],[Average attendance on class]]&lt;75,Table1[[#This Row],[How many hour do you study daily?]]&lt;1),"At Risk","Normal")</f>
        <v>Normal</v>
      </c>
      <c r="AH40">
        <f>(Table1[[#This Row],[Average attendance on class]]*0.4)+(Table1[[#This Row],[How many hour do you study daily?]]*10*0.3)+(Table1[[#This Row],[How many hour do you spent daily on your skill development?]]*10*0.3)</f>
        <v>55</v>
      </c>
    </row>
    <row r="41" spans="1:34" x14ac:dyDescent="0.25">
      <c r="A41">
        <v>2021</v>
      </c>
      <c r="B41" t="s">
        <v>48</v>
      </c>
      <c r="C41">
        <v>22</v>
      </c>
      <c r="D41">
        <v>2019</v>
      </c>
      <c r="E41" t="s">
        <v>35</v>
      </c>
      <c r="F41">
        <v>2</v>
      </c>
      <c r="G41" t="s">
        <v>36</v>
      </c>
      <c r="H41" t="s">
        <v>36</v>
      </c>
      <c r="I41">
        <v>5</v>
      </c>
      <c r="J41">
        <v>2</v>
      </c>
      <c r="K41" t="s">
        <v>38</v>
      </c>
      <c r="L41" t="s">
        <v>36</v>
      </c>
      <c r="M41" t="s">
        <v>36</v>
      </c>
      <c r="N41">
        <v>3</v>
      </c>
      <c r="O41" t="s">
        <v>53</v>
      </c>
      <c r="P41">
        <v>98</v>
      </c>
      <c r="Q41" t="s">
        <v>37</v>
      </c>
      <c r="R41" t="s">
        <v>37</v>
      </c>
      <c r="S41" t="s">
        <v>36</v>
      </c>
      <c r="T41" t="s">
        <v>40</v>
      </c>
      <c r="U41">
        <v>2</v>
      </c>
      <c r="V41" t="s">
        <v>40</v>
      </c>
      <c r="W41" t="s">
        <v>42</v>
      </c>
      <c r="X41" t="s">
        <v>36</v>
      </c>
      <c r="Y41" t="s">
        <v>43</v>
      </c>
      <c r="Z41" t="s">
        <v>37</v>
      </c>
      <c r="AA41">
        <v>2.68</v>
      </c>
      <c r="AB41" t="s">
        <v>37</v>
      </c>
      <c r="AC41">
        <v>3.15</v>
      </c>
      <c r="AD41">
        <v>11</v>
      </c>
      <c r="AE41">
        <v>40000</v>
      </c>
      <c r="AF41" t="str">
        <f>IF(Table1[[#This Row],[What is your current CGPA?]]&gt;=3.5,"High",IF(Table1[[#This Row],[What is your current CGPA?]]&gt;=2.5,"Medium","Low"))</f>
        <v>Medium</v>
      </c>
      <c r="AG41" t="str">
        <f>IF(AND(Table1[[#This Row],[Average attendance on class]]&lt;75,Table1[[#This Row],[How many hour do you study daily?]]&lt;1),"At Risk","Normal")</f>
        <v>Normal</v>
      </c>
      <c r="AH41">
        <f>(Table1[[#This Row],[Average attendance on class]]*0.4)+(Table1[[#This Row],[How many hour do you study daily?]]*10*0.3)+(Table1[[#This Row],[How many hour do you spent daily on your skill development?]]*10*0.3)</f>
        <v>60.2</v>
      </c>
    </row>
    <row r="42" spans="1:34" x14ac:dyDescent="0.25">
      <c r="A42">
        <v>2022</v>
      </c>
      <c r="B42" t="s">
        <v>34</v>
      </c>
      <c r="C42">
        <v>20</v>
      </c>
      <c r="D42">
        <v>2020</v>
      </c>
      <c r="E42" t="s">
        <v>35</v>
      </c>
      <c r="F42">
        <v>2</v>
      </c>
      <c r="G42" t="s">
        <v>36</v>
      </c>
      <c r="H42" t="s">
        <v>37</v>
      </c>
      <c r="I42">
        <v>5</v>
      </c>
      <c r="J42">
        <v>5</v>
      </c>
      <c r="K42" t="s">
        <v>38</v>
      </c>
      <c r="L42" t="s">
        <v>36</v>
      </c>
      <c r="M42" t="s">
        <v>36</v>
      </c>
      <c r="N42">
        <v>6</v>
      </c>
      <c r="O42" t="s">
        <v>45</v>
      </c>
      <c r="P42">
        <v>100</v>
      </c>
      <c r="Q42" t="s">
        <v>37</v>
      </c>
      <c r="R42" t="s">
        <v>37</v>
      </c>
      <c r="S42" t="s">
        <v>36</v>
      </c>
      <c r="T42" t="s">
        <v>40</v>
      </c>
      <c r="U42">
        <v>3</v>
      </c>
      <c r="V42" t="s">
        <v>52</v>
      </c>
      <c r="W42" t="s">
        <v>42</v>
      </c>
      <c r="X42" t="s">
        <v>37</v>
      </c>
      <c r="Y42" t="s">
        <v>43</v>
      </c>
      <c r="Z42" t="s">
        <v>37</v>
      </c>
      <c r="AA42">
        <v>2.68</v>
      </c>
      <c r="AB42" t="s">
        <v>37</v>
      </c>
      <c r="AC42">
        <v>3.15</v>
      </c>
      <c r="AD42">
        <v>11</v>
      </c>
      <c r="AE42">
        <v>20000</v>
      </c>
      <c r="AF42" t="str">
        <f>IF(Table1[[#This Row],[What is your current CGPA?]]&gt;=3.5,"High",IF(Table1[[#This Row],[What is your current CGPA?]]&gt;=2.5,"Medium","Low"))</f>
        <v>Medium</v>
      </c>
      <c r="AG42" t="str">
        <f>IF(AND(Table1[[#This Row],[Average attendance on class]]&lt;75,Table1[[#This Row],[How many hour do you study daily?]]&lt;1),"At Risk","Normal")</f>
        <v>Normal</v>
      </c>
      <c r="AH42">
        <f>(Table1[[#This Row],[Average attendance on class]]*0.4)+(Table1[[#This Row],[How many hour do you study daily?]]*10*0.3)+(Table1[[#This Row],[How many hour do you spent daily on your skill development?]]*10*0.3)</f>
        <v>64</v>
      </c>
    </row>
    <row r="43" spans="1:34" x14ac:dyDescent="0.25">
      <c r="A43">
        <v>2022</v>
      </c>
      <c r="B43" t="s">
        <v>34</v>
      </c>
      <c r="C43">
        <v>21</v>
      </c>
      <c r="D43">
        <v>2020</v>
      </c>
      <c r="E43" t="s">
        <v>35</v>
      </c>
      <c r="F43">
        <v>2</v>
      </c>
      <c r="G43" t="s">
        <v>37</v>
      </c>
      <c r="H43" t="s">
        <v>37</v>
      </c>
      <c r="I43">
        <v>3</v>
      </c>
      <c r="J43">
        <v>2</v>
      </c>
      <c r="K43" t="s">
        <v>38</v>
      </c>
      <c r="L43" t="s">
        <v>36</v>
      </c>
      <c r="M43" t="s">
        <v>36</v>
      </c>
      <c r="N43">
        <v>2</v>
      </c>
      <c r="O43" t="s">
        <v>45</v>
      </c>
      <c r="P43">
        <v>97</v>
      </c>
      <c r="Q43" t="s">
        <v>37</v>
      </c>
      <c r="R43" t="s">
        <v>37</v>
      </c>
      <c r="S43" t="s">
        <v>36</v>
      </c>
      <c r="T43" t="s">
        <v>40</v>
      </c>
      <c r="U43">
        <v>2</v>
      </c>
      <c r="V43" t="s">
        <v>40</v>
      </c>
      <c r="W43" t="s">
        <v>42</v>
      </c>
      <c r="X43" t="s">
        <v>36</v>
      </c>
      <c r="Y43" t="s">
        <v>43</v>
      </c>
      <c r="Z43" t="s">
        <v>37</v>
      </c>
      <c r="AA43">
        <v>2.68</v>
      </c>
      <c r="AB43" t="s">
        <v>37</v>
      </c>
      <c r="AC43">
        <v>3.15</v>
      </c>
      <c r="AD43">
        <v>11</v>
      </c>
      <c r="AE43">
        <v>10000</v>
      </c>
      <c r="AF43" t="str">
        <f>IF(Table1[[#This Row],[What is your current CGPA?]]&gt;=3.5,"High",IF(Table1[[#This Row],[What is your current CGPA?]]&gt;=2.5,"Medium","Low"))</f>
        <v>Medium</v>
      </c>
      <c r="AG43" t="str">
        <f>IF(AND(Table1[[#This Row],[Average attendance on class]]&lt;75,Table1[[#This Row],[How many hour do you study daily?]]&lt;1),"At Risk","Normal")</f>
        <v>Normal</v>
      </c>
      <c r="AH43">
        <f>(Table1[[#This Row],[Average attendance on class]]*0.4)+(Table1[[#This Row],[How many hour do you study daily?]]*10*0.3)+(Table1[[#This Row],[How many hour do you spent daily on your skill development?]]*10*0.3)</f>
        <v>53.800000000000004</v>
      </c>
    </row>
    <row r="44" spans="1:34" x14ac:dyDescent="0.25">
      <c r="A44">
        <v>2022</v>
      </c>
      <c r="B44" t="s">
        <v>34</v>
      </c>
      <c r="C44">
        <v>21</v>
      </c>
      <c r="D44">
        <v>2020</v>
      </c>
      <c r="E44" t="s">
        <v>35</v>
      </c>
      <c r="F44">
        <v>2</v>
      </c>
      <c r="G44" t="s">
        <v>36</v>
      </c>
      <c r="H44" t="s">
        <v>36</v>
      </c>
      <c r="I44">
        <v>3</v>
      </c>
      <c r="J44">
        <v>3</v>
      </c>
      <c r="K44" t="s">
        <v>38</v>
      </c>
      <c r="L44" t="s">
        <v>36</v>
      </c>
      <c r="M44" t="s">
        <v>36</v>
      </c>
      <c r="N44">
        <v>1</v>
      </c>
      <c r="O44" t="s">
        <v>45</v>
      </c>
      <c r="P44">
        <v>98</v>
      </c>
      <c r="Q44" t="s">
        <v>37</v>
      </c>
      <c r="R44" t="s">
        <v>37</v>
      </c>
      <c r="S44" t="s">
        <v>36</v>
      </c>
      <c r="T44" t="s">
        <v>40</v>
      </c>
      <c r="U44">
        <v>4</v>
      </c>
      <c r="V44" t="s">
        <v>40</v>
      </c>
      <c r="W44" t="s">
        <v>42</v>
      </c>
      <c r="X44" t="s">
        <v>37</v>
      </c>
      <c r="Y44" t="s">
        <v>43</v>
      </c>
      <c r="Z44" t="s">
        <v>37</v>
      </c>
      <c r="AA44">
        <v>2.68</v>
      </c>
      <c r="AB44" t="s">
        <v>37</v>
      </c>
      <c r="AC44">
        <v>3.15</v>
      </c>
      <c r="AD44">
        <v>11</v>
      </c>
      <c r="AE44">
        <v>10000</v>
      </c>
      <c r="AF44" t="str">
        <f>IF(Table1[[#This Row],[What is your current CGPA?]]&gt;=3.5,"High",IF(Table1[[#This Row],[What is your current CGPA?]]&gt;=2.5,"Medium","Low"))</f>
        <v>Medium</v>
      </c>
      <c r="AG44" t="str">
        <f>IF(AND(Table1[[#This Row],[Average attendance on class]]&lt;75,Table1[[#This Row],[How many hour do you study daily?]]&lt;1),"At Risk","Normal")</f>
        <v>Normal</v>
      </c>
      <c r="AH44">
        <f>(Table1[[#This Row],[Average attendance on class]]*0.4)+(Table1[[#This Row],[How many hour do you study daily?]]*10*0.3)+(Table1[[#This Row],[How many hour do you spent daily on your skill development?]]*10*0.3)</f>
        <v>60.2</v>
      </c>
    </row>
    <row r="45" spans="1:34" x14ac:dyDescent="0.25">
      <c r="A45">
        <v>2022</v>
      </c>
      <c r="B45" t="s">
        <v>34</v>
      </c>
      <c r="C45">
        <v>19</v>
      </c>
      <c r="D45">
        <v>2020</v>
      </c>
      <c r="E45" t="s">
        <v>35</v>
      </c>
      <c r="F45">
        <v>2</v>
      </c>
      <c r="G45" t="s">
        <v>36</v>
      </c>
      <c r="H45" t="s">
        <v>36</v>
      </c>
      <c r="I45">
        <v>5</v>
      </c>
      <c r="J45">
        <v>3</v>
      </c>
      <c r="K45" t="s">
        <v>44</v>
      </c>
      <c r="L45" t="s">
        <v>36</v>
      </c>
      <c r="M45" t="s">
        <v>36</v>
      </c>
      <c r="N45">
        <v>6</v>
      </c>
      <c r="O45" t="s">
        <v>39</v>
      </c>
      <c r="P45">
        <v>90</v>
      </c>
      <c r="Q45" t="s">
        <v>37</v>
      </c>
      <c r="R45" t="s">
        <v>37</v>
      </c>
      <c r="S45" t="s">
        <v>36</v>
      </c>
      <c r="T45" t="s">
        <v>40</v>
      </c>
      <c r="U45">
        <v>1</v>
      </c>
      <c r="V45" t="s">
        <v>40</v>
      </c>
      <c r="W45" t="s">
        <v>42</v>
      </c>
      <c r="X45" t="s">
        <v>36</v>
      </c>
      <c r="Y45" t="s">
        <v>47</v>
      </c>
      <c r="Z45" t="s">
        <v>37</v>
      </c>
      <c r="AA45">
        <v>2.68</v>
      </c>
      <c r="AB45" t="s">
        <v>37</v>
      </c>
      <c r="AC45">
        <v>3.15</v>
      </c>
      <c r="AD45">
        <v>11</v>
      </c>
      <c r="AE45">
        <v>40000</v>
      </c>
      <c r="AF45" t="str">
        <f>IF(Table1[[#This Row],[What is your current CGPA?]]&gt;=3.5,"High",IF(Table1[[#This Row],[What is your current CGPA?]]&gt;=2.5,"Medium","Low"))</f>
        <v>Medium</v>
      </c>
      <c r="AG45" t="str">
        <f>IF(AND(Table1[[#This Row],[Average attendance on class]]&lt;75,Table1[[#This Row],[How many hour do you study daily?]]&lt;1),"At Risk","Normal")</f>
        <v>Normal</v>
      </c>
      <c r="AH45">
        <f>(Table1[[#This Row],[Average attendance on class]]*0.4)+(Table1[[#This Row],[How many hour do you study daily?]]*10*0.3)+(Table1[[#This Row],[How many hour do you spent daily on your skill development?]]*10*0.3)</f>
        <v>54</v>
      </c>
    </row>
    <row r="46" spans="1:34" x14ac:dyDescent="0.25">
      <c r="A46">
        <v>2022</v>
      </c>
      <c r="B46" t="s">
        <v>34</v>
      </c>
      <c r="C46">
        <v>19</v>
      </c>
      <c r="D46">
        <v>2020</v>
      </c>
      <c r="E46" t="s">
        <v>35</v>
      </c>
      <c r="F46">
        <v>2</v>
      </c>
      <c r="G46" t="s">
        <v>36</v>
      </c>
      <c r="H46" t="s">
        <v>36</v>
      </c>
      <c r="I46">
        <v>4</v>
      </c>
      <c r="J46">
        <v>2</v>
      </c>
      <c r="K46" t="s">
        <v>44</v>
      </c>
      <c r="L46" t="s">
        <v>36</v>
      </c>
      <c r="M46" t="s">
        <v>36</v>
      </c>
      <c r="N46">
        <v>2</v>
      </c>
      <c r="O46" t="s">
        <v>39</v>
      </c>
      <c r="P46">
        <v>90</v>
      </c>
      <c r="Q46" t="s">
        <v>37</v>
      </c>
      <c r="R46" t="s">
        <v>37</v>
      </c>
      <c r="S46" t="s">
        <v>36</v>
      </c>
      <c r="T46" t="s">
        <v>40</v>
      </c>
      <c r="U46">
        <v>2</v>
      </c>
      <c r="V46" t="s">
        <v>40</v>
      </c>
      <c r="W46" t="s">
        <v>42</v>
      </c>
      <c r="X46" t="s">
        <v>36</v>
      </c>
      <c r="Y46" t="s">
        <v>47</v>
      </c>
      <c r="Z46" t="s">
        <v>37</v>
      </c>
      <c r="AA46">
        <v>2.68</v>
      </c>
      <c r="AB46" t="s">
        <v>37</v>
      </c>
      <c r="AC46">
        <v>3.15</v>
      </c>
      <c r="AD46">
        <v>11</v>
      </c>
      <c r="AE46">
        <v>40000</v>
      </c>
      <c r="AF46" t="str">
        <f>IF(Table1[[#This Row],[What is your current CGPA?]]&gt;=3.5,"High",IF(Table1[[#This Row],[What is your current CGPA?]]&gt;=2.5,"Medium","Low"))</f>
        <v>Medium</v>
      </c>
      <c r="AG46" t="str">
        <f>IF(AND(Table1[[#This Row],[Average attendance on class]]&lt;75,Table1[[#This Row],[How many hour do you study daily?]]&lt;1),"At Risk","Normal")</f>
        <v>Normal</v>
      </c>
      <c r="AH46">
        <f>(Table1[[#This Row],[Average attendance on class]]*0.4)+(Table1[[#This Row],[How many hour do you study daily?]]*10*0.3)+(Table1[[#This Row],[How many hour do you spent daily on your skill development?]]*10*0.3)</f>
        <v>54</v>
      </c>
    </row>
    <row r="47" spans="1:34" x14ac:dyDescent="0.25">
      <c r="A47">
        <v>2022</v>
      </c>
      <c r="B47" t="s">
        <v>34</v>
      </c>
      <c r="C47">
        <v>19</v>
      </c>
      <c r="D47">
        <v>2020</v>
      </c>
      <c r="E47" t="s">
        <v>35</v>
      </c>
      <c r="F47">
        <v>2</v>
      </c>
      <c r="G47" t="s">
        <v>36</v>
      </c>
      <c r="H47" t="s">
        <v>37</v>
      </c>
      <c r="I47">
        <v>4</v>
      </c>
      <c r="J47">
        <v>2</v>
      </c>
      <c r="K47" t="s">
        <v>38</v>
      </c>
      <c r="L47" t="s">
        <v>36</v>
      </c>
      <c r="M47" t="s">
        <v>36</v>
      </c>
      <c r="N47">
        <v>1</v>
      </c>
      <c r="O47" t="s">
        <v>45</v>
      </c>
      <c r="P47">
        <v>95</v>
      </c>
      <c r="Q47" t="s">
        <v>37</v>
      </c>
      <c r="R47" t="s">
        <v>37</v>
      </c>
      <c r="S47" t="s">
        <v>36</v>
      </c>
      <c r="T47" t="s">
        <v>40</v>
      </c>
      <c r="U47">
        <v>3</v>
      </c>
      <c r="V47" t="s">
        <v>40</v>
      </c>
      <c r="W47" t="s">
        <v>42</v>
      </c>
      <c r="X47" t="s">
        <v>37</v>
      </c>
      <c r="Y47" t="s">
        <v>43</v>
      </c>
      <c r="Z47" t="s">
        <v>37</v>
      </c>
      <c r="AA47">
        <v>2.68</v>
      </c>
      <c r="AB47" t="s">
        <v>37</v>
      </c>
      <c r="AC47">
        <v>3.15</v>
      </c>
      <c r="AD47">
        <v>11</v>
      </c>
      <c r="AE47">
        <v>25000</v>
      </c>
      <c r="AF47" t="str">
        <f>IF(Table1[[#This Row],[What is your current CGPA?]]&gt;=3.5,"High",IF(Table1[[#This Row],[What is your current CGPA?]]&gt;=2.5,"Medium","Low"))</f>
        <v>Medium</v>
      </c>
      <c r="AG47" t="str">
        <f>IF(AND(Table1[[#This Row],[Average attendance on class]]&lt;75,Table1[[#This Row],[How many hour do you study daily?]]&lt;1),"At Risk","Normal")</f>
        <v>Normal</v>
      </c>
      <c r="AH47">
        <f>(Table1[[#This Row],[Average attendance on class]]*0.4)+(Table1[[#This Row],[How many hour do you study daily?]]*10*0.3)+(Table1[[#This Row],[How many hour do you spent daily on your skill development?]]*10*0.3)</f>
        <v>59</v>
      </c>
    </row>
    <row r="48" spans="1:34" x14ac:dyDescent="0.25">
      <c r="A48">
        <v>2022</v>
      </c>
      <c r="B48" t="s">
        <v>34</v>
      </c>
      <c r="C48">
        <v>20</v>
      </c>
      <c r="D48">
        <v>2020</v>
      </c>
      <c r="E48" t="s">
        <v>35</v>
      </c>
      <c r="F48">
        <v>2</v>
      </c>
      <c r="G48" t="s">
        <v>36</v>
      </c>
      <c r="H48" t="s">
        <v>37</v>
      </c>
      <c r="I48">
        <v>5</v>
      </c>
      <c r="J48">
        <v>2</v>
      </c>
      <c r="K48" t="s">
        <v>38</v>
      </c>
      <c r="L48" t="s">
        <v>36</v>
      </c>
      <c r="M48" t="s">
        <v>36</v>
      </c>
      <c r="N48">
        <v>3</v>
      </c>
      <c r="O48" t="s">
        <v>39</v>
      </c>
      <c r="P48">
        <v>95</v>
      </c>
      <c r="Q48" t="s">
        <v>37</v>
      </c>
      <c r="R48" t="s">
        <v>37</v>
      </c>
      <c r="S48" t="s">
        <v>36</v>
      </c>
      <c r="T48" t="s">
        <v>40</v>
      </c>
      <c r="U48">
        <v>1</v>
      </c>
      <c r="V48" t="s">
        <v>40</v>
      </c>
      <c r="W48" t="s">
        <v>42</v>
      </c>
      <c r="X48" t="s">
        <v>36</v>
      </c>
      <c r="Y48" t="s">
        <v>47</v>
      </c>
      <c r="Z48" t="s">
        <v>37</v>
      </c>
      <c r="AA48">
        <v>2.68</v>
      </c>
      <c r="AB48" t="s">
        <v>37</v>
      </c>
      <c r="AC48">
        <v>3.15</v>
      </c>
      <c r="AD48">
        <v>11</v>
      </c>
      <c r="AE48">
        <v>20000</v>
      </c>
      <c r="AF48" t="str">
        <f>IF(Table1[[#This Row],[What is your current CGPA?]]&gt;=3.5,"High",IF(Table1[[#This Row],[What is your current CGPA?]]&gt;=2.5,"Medium","Low"))</f>
        <v>Medium</v>
      </c>
      <c r="AG48" t="str">
        <f>IF(AND(Table1[[#This Row],[Average attendance on class]]&lt;75,Table1[[#This Row],[How many hour do you study daily?]]&lt;1),"At Risk","Normal")</f>
        <v>Normal</v>
      </c>
      <c r="AH48">
        <f>(Table1[[#This Row],[Average attendance on class]]*0.4)+(Table1[[#This Row],[How many hour do you study daily?]]*10*0.3)+(Table1[[#This Row],[How many hour do you spent daily on your skill development?]]*10*0.3)</f>
        <v>56</v>
      </c>
    </row>
    <row r="49" spans="1:34" x14ac:dyDescent="0.25">
      <c r="A49">
        <v>2022</v>
      </c>
      <c r="B49" t="s">
        <v>34</v>
      </c>
      <c r="C49">
        <v>19</v>
      </c>
      <c r="D49">
        <v>2020</v>
      </c>
      <c r="E49" t="s">
        <v>35</v>
      </c>
      <c r="F49">
        <v>2</v>
      </c>
      <c r="G49" t="s">
        <v>36</v>
      </c>
      <c r="H49" t="s">
        <v>36</v>
      </c>
      <c r="I49">
        <v>1</v>
      </c>
      <c r="J49">
        <v>1</v>
      </c>
      <c r="K49" t="s">
        <v>44</v>
      </c>
      <c r="L49" t="s">
        <v>36</v>
      </c>
      <c r="M49" t="s">
        <v>36</v>
      </c>
      <c r="N49">
        <v>1</v>
      </c>
      <c r="O49" t="s">
        <v>39</v>
      </c>
      <c r="P49">
        <v>90</v>
      </c>
      <c r="Q49" t="s">
        <v>37</v>
      </c>
      <c r="R49" t="s">
        <v>37</v>
      </c>
      <c r="S49" t="s">
        <v>37</v>
      </c>
      <c r="T49" t="s">
        <v>40</v>
      </c>
      <c r="U49">
        <v>2</v>
      </c>
      <c r="V49" t="s">
        <v>40</v>
      </c>
      <c r="W49" t="s">
        <v>42</v>
      </c>
      <c r="X49" t="s">
        <v>36</v>
      </c>
      <c r="Y49" t="s">
        <v>47</v>
      </c>
      <c r="Z49" t="s">
        <v>37</v>
      </c>
      <c r="AA49">
        <v>2.68</v>
      </c>
      <c r="AB49" t="s">
        <v>37</v>
      </c>
      <c r="AC49">
        <v>3.15</v>
      </c>
      <c r="AD49">
        <v>11</v>
      </c>
      <c r="AE49">
        <v>22000</v>
      </c>
      <c r="AF49" t="str">
        <f>IF(Table1[[#This Row],[What is your current CGPA?]]&gt;=3.5,"High",IF(Table1[[#This Row],[What is your current CGPA?]]&gt;=2.5,"Medium","Low"))</f>
        <v>Medium</v>
      </c>
      <c r="AG49" t="str">
        <f>IF(AND(Table1[[#This Row],[Average attendance on class]]&lt;75,Table1[[#This Row],[How many hour do you study daily?]]&lt;1),"At Risk","Normal")</f>
        <v>Normal</v>
      </c>
      <c r="AH49">
        <f>(Table1[[#This Row],[Average attendance on class]]*0.4)+(Table1[[#This Row],[How many hour do you study daily?]]*10*0.3)+(Table1[[#This Row],[How many hour do you spent daily on your skill development?]]*10*0.3)</f>
        <v>45</v>
      </c>
    </row>
    <row r="50" spans="1:34" x14ac:dyDescent="0.25">
      <c r="A50">
        <v>2021</v>
      </c>
      <c r="B50" t="s">
        <v>48</v>
      </c>
      <c r="C50">
        <v>20</v>
      </c>
      <c r="D50">
        <v>2020</v>
      </c>
      <c r="E50" t="s">
        <v>35</v>
      </c>
      <c r="F50">
        <v>4</v>
      </c>
      <c r="G50" t="s">
        <v>37</v>
      </c>
      <c r="H50" t="s">
        <v>37</v>
      </c>
      <c r="I50">
        <v>2</v>
      </c>
      <c r="J50">
        <v>2</v>
      </c>
      <c r="K50" t="s">
        <v>38</v>
      </c>
      <c r="L50" t="s">
        <v>36</v>
      </c>
      <c r="M50" t="s">
        <v>36</v>
      </c>
      <c r="N50">
        <v>3</v>
      </c>
      <c r="O50" t="s">
        <v>45</v>
      </c>
      <c r="P50">
        <v>99</v>
      </c>
      <c r="Q50" t="s">
        <v>37</v>
      </c>
      <c r="R50" t="s">
        <v>37</v>
      </c>
      <c r="S50" t="s">
        <v>37</v>
      </c>
      <c r="T50" t="s">
        <v>40</v>
      </c>
      <c r="U50">
        <v>1</v>
      </c>
      <c r="V50" t="s">
        <v>40</v>
      </c>
      <c r="W50" t="s">
        <v>42</v>
      </c>
      <c r="X50" t="s">
        <v>37</v>
      </c>
      <c r="Y50" t="s">
        <v>47</v>
      </c>
      <c r="Z50" t="s">
        <v>37</v>
      </c>
      <c r="AA50">
        <v>3.78</v>
      </c>
      <c r="AB50" t="s">
        <v>37</v>
      </c>
      <c r="AC50">
        <v>3.88</v>
      </c>
      <c r="AD50">
        <v>36</v>
      </c>
      <c r="AE50">
        <v>200000</v>
      </c>
      <c r="AF50" t="str">
        <f>IF(Table1[[#This Row],[What is your current CGPA?]]&gt;=3.5,"High",IF(Table1[[#This Row],[What is your current CGPA?]]&gt;=2.5,"Medium","Low"))</f>
        <v>High</v>
      </c>
      <c r="AG50" t="str">
        <f>IF(AND(Table1[[#This Row],[Average attendance on class]]&lt;75,Table1[[#This Row],[How many hour do you study daily?]]&lt;1),"At Risk","Normal")</f>
        <v>Normal</v>
      </c>
      <c r="AH50">
        <f>(Table1[[#This Row],[Average attendance on class]]*0.4)+(Table1[[#This Row],[How many hour do you study daily?]]*10*0.3)+(Table1[[#This Row],[How many hour do you spent daily on your skill development?]]*10*0.3)</f>
        <v>48.6</v>
      </c>
    </row>
    <row r="51" spans="1:34" x14ac:dyDescent="0.25">
      <c r="A51">
        <v>2022</v>
      </c>
      <c r="B51" t="s">
        <v>34</v>
      </c>
      <c r="C51">
        <v>20</v>
      </c>
      <c r="D51">
        <v>2020</v>
      </c>
      <c r="E51" t="s">
        <v>35</v>
      </c>
      <c r="F51">
        <v>2</v>
      </c>
      <c r="G51" t="s">
        <v>36</v>
      </c>
      <c r="H51" t="s">
        <v>37</v>
      </c>
      <c r="I51">
        <v>7</v>
      </c>
      <c r="J51">
        <v>2</v>
      </c>
      <c r="K51" t="s">
        <v>38</v>
      </c>
      <c r="L51" t="s">
        <v>36</v>
      </c>
      <c r="M51" t="s">
        <v>36</v>
      </c>
      <c r="N51">
        <v>5</v>
      </c>
      <c r="O51" t="s">
        <v>45</v>
      </c>
      <c r="P51">
        <v>90</v>
      </c>
      <c r="Q51" t="s">
        <v>37</v>
      </c>
      <c r="R51" t="s">
        <v>37</v>
      </c>
      <c r="S51" t="s">
        <v>36</v>
      </c>
      <c r="T51" t="s">
        <v>40</v>
      </c>
      <c r="U51">
        <v>2</v>
      </c>
      <c r="V51" t="s">
        <v>40</v>
      </c>
      <c r="W51" t="s">
        <v>42</v>
      </c>
      <c r="X51" t="s">
        <v>37</v>
      </c>
      <c r="Y51" t="s">
        <v>47</v>
      </c>
      <c r="Z51" t="s">
        <v>36</v>
      </c>
      <c r="AA51">
        <v>2.68</v>
      </c>
      <c r="AB51" t="s">
        <v>37</v>
      </c>
      <c r="AC51">
        <v>3.15</v>
      </c>
      <c r="AD51">
        <v>11</v>
      </c>
      <c r="AE51">
        <v>39000</v>
      </c>
      <c r="AF51" t="str">
        <f>IF(Table1[[#This Row],[What is your current CGPA?]]&gt;=3.5,"High",IF(Table1[[#This Row],[What is your current CGPA?]]&gt;=2.5,"Medium","Low"))</f>
        <v>Medium</v>
      </c>
      <c r="AG51" t="str">
        <f>IF(AND(Table1[[#This Row],[Average attendance on class]]&lt;75,Table1[[#This Row],[How many hour do you study daily?]]&lt;1),"At Risk","Normal")</f>
        <v>Normal</v>
      </c>
      <c r="AH51">
        <f>(Table1[[#This Row],[Average attendance on class]]*0.4)+(Table1[[#This Row],[How many hour do you study daily?]]*10*0.3)+(Table1[[#This Row],[How many hour do you spent daily on your skill development?]]*10*0.3)</f>
        <v>63</v>
      </c>
    </row>
    <row r="52" spans="1:34" x14ac:dyDescent="0.25">
      <c r="A52">
        <v>2022</v>
      </c>
      <c r="B52" t="s">
        <v>34</v>
      </c>
      <c r="C52">
        <v>21</v>
      </c>
      <c r="D52">
        <v>2020</v>
      </c>
      <c r="E52" t="s">
        <v>35</v>
      </c>
      <c r="F52">
        <v>2</v>
      </c>
      <c r="G52" t="s">
        <v>36</v>
      </c>
      <c r="H52" t="s">
        <v>36</v>
      </c>
      <c r="I52">
        <v>2</v>
      </c>
      <c r="J52">
        <v>1</v>
      </c>
      <c r="K52" t="s">
        <v>44</v>
      </c>
      <c r="L52" t="s">
        <v>36</v>
      </c>
      <c r="M52" t="s">
        <v>36</v>
      </c>
      <c r="N52">
        <v>3</v>
      </c>
      <c r="O52" t="s">
        <v>39</v>
      </c>
      <c r="P52">
        <v>90</v>
      </c>
      <c r="Q52" t="s">
        <v>37</v>
      </c>
      <c r="R52" t="s">
        <v>37</v>
      </c>
      <c r="S52" t="s">
        <v>37</v>
      </c>
      <c r="T52" t="s">
        <v>40</v>
      </c>
      <c r="U52">
        <v>1</v>
      </c>
      <c r="V52" t="s">
        <v>52</v>
      </c>
      <c r="W52" t="s">
        <v>42</v>
      </c>
      <c r="X52" t="s">
        <v>37</v>
      </c>
      <c r="Y52" t="s">
        <v>47</v>
      </c>
      <c r="Z52" t="s">
        <v>37</v>
      </c>
      <c r="AA52">
        <v>2.68</v>
      </c>
      <c r="AB52" t="s">
        <v>37</v>
      </c>
      <c r="AC52">
        <v>3.15</v>
      </c>
      <c r="AD52">
        <v>11</v>
      </c>
      <c r="AE52">
        <v>30000</v>
      </c>
      <c r="AF52" t="str">
        <f>IF(Table1[[#This Row],[What is your current CGPA?]]&gt;=3.5,"High",IF(Table1[[#This Row],[What is your current CGPA?]]&gt;=2.5,"Medium","Low"))</f>
        <v>Medium</v>
      </c>
      <c r="AG52" t="str">
        <f>IF(AND(Table1[[#This Row],[Average attendance on class]]&lt;75,Table1[[#This Row],[How many hour do you study daily?]]&lt;1),"At Risk","Normal")</f>
        <v>Normal</v>
      </c>
      <c r="AH52">
        <f>(Table1[[#This Row],[Average attendance on class]]*0.4)+(Table1[[#This Row],[How many hour do you study daily?]]*10*0.3)+(Table1[[#This Row],[How many hour do you spent daily on your skill development?]]*10*0.3)</f>
        <v>45</v>
      </c>
    </row>
    <row r="53" spans="1:34" x14ac:dyDescent="0.25">
      <c r="A53">
        <v>2022</v>
      </c>
      <c r="B53" t="s">
        <v>34</v>
      </c>
      <c r="C53">
        <v>21</v>
      </c>
      <c r="D53">
        <v>2020</v>
      </c>
      <c r="E53" t="s">
        <v>35</v>
      </c>
      <c r="F53">
        <v>2</v>
      </c>
      <c r="G53" t="s">
        <v>36</v>
      </c>
      <c r="H53" t="s">
        <v>36</v>
      </c>
      <c r="I53">
        <v>2</v>
      </c>
      <c r="J53">
        <v>2</v>
      </c>
      <c r="K53" t="s">
        <v>38</v>
      </c>
      <c r="L53" t="s">
        <v>36</v>
      </c>
      <c r="M53" t="s">
        <v>36</v>
      </c>
      <c r="N53">
        <v>2</v>
      </c>
      <c r="O53" t="s">
        <v>39</v>
      </c>
      <c r="P53">
        <v>88</v>
      </c>
      <c r="Q53" t="s">
        <v>37</v>
      </c>
      <c r="R53" t="s">
        <v>37</v>
      </c>
      <c r="S53" t="s">
        <v>37</v>
      </c>
      <c r="T53" t="s">
        <v>40</v>
      </c>
      <c r="U53">
        <v>2</v>
      </c>
      <c r="V53" t="s">
        <v>40</v>
      </c>
      <c r="W53" t="s">
        <v>42</v>
      </c>
      <c r="X53" t="s">
        <v>36</v>
      </c>
      <c r="Y53" t="s">
        <v>47</v>
      </c>
      <c r="Z53" t="s">
        <v>37</v>
      </c>
      <c r="AA53">
        <v>4</v>
      </c>
      <c r="AB53" t="s">
        <v>37</v>
      </c>
      <c r="AC53">
        <v>4</v>
      </c>
      <c r="AD53">
        <v>11</v>
      </c>
      <c r="AE53">
        <v>20000</v>
      </c>
      <c r="AF53" t="str">
        <f>IF(Table1[[#This Row],[What is your current CGPA?]]&gt;=3.5,"High",IF(Table1[[#This Row],[What is your current CGPA?]]&gt;=2.5,"Medium","Low"))</f>
        <v>High</v>
      </c>
      <c r="AG53" t="str">
        <f>IF(AND(Table1[[#This Row],[Average attendance on class]]&lt;75,Table1[[#This Row],[How many hour do you study daily?]]&lt;1),"At Risk","Normal")</f>
        <v>Normal</v>
      </c>
      <c r="AH53">
        <f>(Table1[[#This Row],[Average attendance on class]]*0.4)+(Table1[[#This Row],[How many hour do you study daily?]]*10*0.3)+(Table1[[#This Row],[How many hour do you spent daily on your skill development?]]*10*0.3)</f>
        <v>47.2</v>
      </c>
    </row>
    <row r="54" spans="1:34" x14ac:dyDescent="0.25">
      <c r="A54">
        <v>2022</v>
      </c>
      <c r="B54" t="s">
        <v>34</v>
      </c>
      <c r="C54">
        <v>21</v>
      </c>
      <c r="D54">
        <v>2020</v>
      </c>
      <c r="E54" t="s">
        <v>35</v>
      </c>
      <c r="F54">
        <v>2</v>
      </c>
      <c r="G54" t="s">
        <v>36</v>
      </c>
      <c r="H54" t="s">
        <v>36</v>
      </c>
      <c r="I54">
        <v>5</v>
      </c>
      <c r="J54">
        <v>2</v>
      </c>
      <c r="K54" t="s">
        <v>38</v>
      </c>
      <c r="L54" t="s">
        <v>36</v>
      </c>
      <c r="M54" t="s">
        <v>36</v>
      </c>
      <c r="N54">
        <v>1</v>
      </c>
      <c r="O54" t="s">
        <v>39</v>
      </c>
      <c r="P54">
        <v>95</v>
      </c>
      <c r="Q54" t="s">
        <v>37</v>
      </c>
      <c r="R54" t="s">
        <v>37</v>
      </c>
      <c r="S54" t="s">
        <v>36</v>
      </c>
      <c r="T54" t="s">
        <v>40</v>
      </c>
      <c r="U54">
        <v>2</v>
      </c>
      <c r="V54" t="s">
        <v>40</v>
      </c>
      <c r="W54" t="s">
        <v>42</v>
      </c>
      <c r="X54" t="s">
        <v>36</v>
      </c>
      <c r="Y54" t="s">
        <v>47</v>
      </c>
      <c r="Z54" t="s">
        <v>37</v>
      </c>
      <c r="AA54">
        <v>2.68</v>
      </c>
      <c r="AB54" t="s">
        <v>37</v>
      </c>
      <c r="AC54">
        <v>3.15</v>
      </c>
      <c r="AD54">
        <v>11</v>
      </c>
      <c r="AE54">
        <v>30000</v>
      </c>
      <c r="AF54" t="str">
        <f>IF(Table1[[#This Row],[What is your current CGPA?]]&gt;=3.5,"High",IF(Table1[[#This Row],[What is your current CGPA?]]&gt;=2.5,"Medium","Low"))</f>
        <v>Medium</v>
      </c>
      <c r="AG54" t="str">
        <f>IF(AND(Table1[[#This Row],[Average attendance on class]]&lt;75,Table1[[#This Row],[How many hour do you study daily?]]&lt;1),"At Risk","Normal")</f>
        <v>Normal</v>
      </c>
      <c r="AH54">
        <f>(Table1[[#This Row],[Average attendance on class]]*0.4)+(Table1[[#This Row],[How many hour do you study daily?]]*10*0.3)+(Table1[[#This Row],[How many hour do you spent daily on your skill development?]]*10*0.3)</f>
        <v>59</v>
      </c>
    </row>
    <row r="55" spans="1:34" x14ac:dyDescent="0.25">
      <c r="A55">
        <v>2022</v>
      </c>
      <c r="B55" t="s">
        <v>34</v>
      </c>
      <c r="C55">
        <v>20</v>
      </c>
      <c r="D55">
        <v>2020</v>
      </c>
      <c r="E55" t="s">
        <v>35</v>
      </c>
      <c r="F55">
        <v>2</v>
      </c>
      <c r="G55" t="s">
        <v>36</v>
      </c>
      <c r="H55" t="s">
        <v>37</v>
      </c>
      <c r="I55">
        <v>3</v>
      </c>
      <c r="J55">
        <v>1</v>
      </c>
      <c r="K55" t="s">
        <v>38</v>
      </c>
      <c r="L55" t="s">
        <v>36</v>
      </c>
      <c r="M55" t="s">
        <v>36</v>
      </c>
      <c r="N55">
        <v>2</v>
      </c>
      <c r="O55" t="s">
        <v>39</v>
      </c>
      <c r="P55">
        <v>100</v>
      </c>
      <c r="Q55" t="s">
        <v>37</v>
      </c>
      <c r="R55" t="s">
        <v>37</v>
      </c>
      <c r="S55" t="s">
        <v>37</v>
      </c>
      <c r="T55" t="s">
        <v>40</v>
      </c>
      <c r="U55">
        <v>1</v>
      </c>
      <c r="V55" t="s">
        <v>40</v>
      </c>
      <c r="W55" t="s">
        <v>42</v>
      </c>
      <c r="X55" t="s">
        <v>37</v>
      </c>
      <c r="Y55" t="s">
        <v>47</v>
      </c>
      <c r="Z55" t="s">
        <v>37</v>
      </c>
      <c r="AA55">
        <v>3.9</v>
      </c>
      <c r="AB55" t="s">
        <v>37</v>
      </c>
      <c r="AC55">
        <v>3.9</v>
      </c>
      <c r="AD55">
        <v>12</v>
      </c>
      <c r="AE55">
        <v>60000</v>
      </c>
      <c r="AF55" t="str">
        <f>IF(Table1[[#This Row],[What is your current CGPA?]]&gt;=3.5,"High",IF(Table1[[#This Row],[What is your current CGPA?]]&gt;=2.5,"Medium","Low"))</f>
        <v>High</v>
      </c>
      <c r="AG55" t="str">
        <f>IF(AND(Table1[[#This Row],[Average attendance on class]]&lt;75,Table1[[#This Row],[How many hour do you study daily?]]&lt;1),"At Risk","Normal")</f>
        <v>Normal</v>
      </c>
      <c r="AH55">
        <f>(Table1[[#This Row],[Average attendance on class]]*0.4)+(Table1[[#This Row],[How many hour do you study daily?]]*10*0.3)+(Table1[[#This Row],[How many hour do you spent daily on your skill development?]]*10*0.3)</f>
        <v>52</v>
      </c>
    </row>
    <row r="56" spans="1:34" x14ac:dyDescent="0.25">
      <c r="A56">
        <v>2022</v>
      </c>
      <c r="B56" t="s">
        <v>34</v>
      </c>
      <c r="C56">
        <v>20</v>
      </c>
      <c r="D56">
        <v>2020</v>
      </c>
      <c r="E56" t="s">
        <v>35</v>
      </c>
      <c r="F56">
        <v>2</v>
      </c>
      <c r="G56" t="s">
        <v>36</v>
      </c>
      <c r="H56" t="s">
        <v>36</v>
      </c>
      <c r="I56">
        <v>2</v>
      </c>
      <c r="J56">
        <v>2</v>
      </c>
      <c r="K56" t="s">
        <v>38</v>
      </c>
      <c r="L56" t="s">
        <v>36</v>
      </c>
      <c r="M56" t="s">
        <v>36</v>
      </c>
      <c r="N56">
        <v>1</v>
      </c>
      <c r="O56" t="s">
        <v>45</v>
      </c>
      <c r="P56">
        <v>100</v>
      </c>
      <c r="Q56" t="s">
        <v>37</v>
      </c>
      <c r="R56" t="s">
        <v>37</v>
      </c>
      <c r="S56" t="s">
        <v>36</v>
      </c>
      <c r="T56" t="s">
        <v>40</v>
      </c>
      <c r="U56">
        <v>2</v>
      </c>
      <c r="V56" t="s">
        <v>40</v>
      </c>
      <c r="W56" t="s">
        <v>42</v>
      </c>
      <c r="X56" t="s">
        <v>37</v>
      </c>
      <c r="Y56" t="s">
        <v>47</v>
      </c>
      <c r="Z56" t="s">
        <v>37</v>
      </c>
      <c r="AA56">
        <v>2.68</v>
      </c>
      <c r="AB56" t="s">
        <v>37</v>
      </c>
      <c r="AC56">
        <v>3.15</v>
      </c>
      <c r="AD56">
        <v>11</v>
      </c>
      <c r="AE56">
        <v>40000</v>
      </c>
      <c r="AF56" t="str">
        <f>IF(Table1[[#This Row],[What is your current CGPA?]]&gt;=3.5,"High",IF(Table1[[#This Row],[What is your current CGPA?]]&gt;=2.5,"Medium","Low"))</f>
        <v>Medium</v>
      </c>
      <c r="AG56" t="str">
        <f>IF(AND(Table1[[#This Row],[Average attendance on class]]&lt;75,Table1[[#This Row],[How many hour do you study daily?]]&lt;1),"At Risk","Normal")</f>
        <v>Normal</v>
      </c>
      <c r="AH56">
        <f>(Table1[[#This Row],[Average attendance on class]]*0.4)+(Table1[[#This Row],[How many hour do you study daily?]]*10*0.3)+(Table1[[#This Row],[How many hour do you spent daily on your skill development?]]*10*0.3)</f>
        <v>52</v>
      </c>
    </row>
    <row r="57" spans="1:34" x14ac:dyDescent="0.25">
      <c r="A57">
        <v>2022</v>
      </c>
      <c r="B57" t="s">
        <v>34</v>
      </c>
      <c r="C57">
        <v>22</v>
      </c>
      <c r="D57">
        <v>2020</v>
      </c>
      <c r="E57" t="s">
        <v>35</v>
      </c>
      <c r="F57">
        <v>2</v>
      </c>
      <c r="G57" t="s">
        <v>37</v>
      </c>
      <c r="H57" t="s">
        <v>36</v>
      </c>
      <c r="I57">
        <v>1</v>
      </c>
      <c r="J57">
        <v>1</v>
      </c>
      <c r="K57" t="s">
        <v>44</v>
      </c>
      <c r="L57" t="s">
        <v>36</v>
      </c>
      <c r="M57" t="s">
        <v>36</v>
      </c>
      <c r="N57">
        <v>7</v>
      </c>
      <c r="O57" t="s">
        <v>45</v>
      </c>
      <c r="P57">
        <v>80</v>
      </c>
      <c r="Q57" t="s">
        <v>37</v>
      </c>
      <c r="R57" t="s">
        <v>37</v>
      </c>
      <c r="S57" t="s">
        <v>36</v>
      </c>
      <c r="T57" t="s">
        <v>51</v>
      </c>
      <c r="U57">
        <v>2</v>
      </c>
      <c r="V57" t="s">
        <v>40</v>
      </c>
      <c r="W57" t="s">
        <v>42</v>
      </c>
      <c r="X57" t="s">
        <v>36</v>
      </c>
      <c r="Y57" t="s">
        <v>47</v>
      </c>
      <c r="Z57" t="s">
        <v>36</v>
      </c>
      <c r="AA57">
        <v>2.68</v>
      </c>
      <c r="AB57" t="s">
        <v>37</v>
      </c>
      <c r="AC57">
        <v>3.15</v>
      </c>
      <c r="AD57">
        <v>11</v>
      </c>
      <c r="AE57">
        <v>32000</v>
      </c>
      <c r="AF57" t="str">
        <f>IF(Table1[[#This Row],[What is your current CGPA?]]&gt;=3.5,"High",IF(Table1[[#This Row],[What is your current CGPA?]]&gt;=2.5,"Medium","Low"))</f>
        <v>Medium</v>
      </c>
      <c r="AG57" t="str">
        <f>IF(AND(Table1[[#This Row],[Average attendance on class]]&lt;75,Table1[[#This Row],[How many hour do you study daily?]]&lt;1),"At Risk","Normal")</f>
        <v>Normal</v>
      </c>
      <c r="AH57">
        <f>(Table1[[#This Row],[Average attendance on class]]*0.4)+(Table1[[#This Row],[How many hour do you study daily?]]*10*0.3)+(Table1[[#This Row],[How many hour do you spent daily on your skill development?]]*10*0.3)</f>
        <v>41</v>
      </c>
    </row>
    <row r="58" spans="1:34" x14ac:dyDescent="0.25">
      <c r="A58">
        <v>2021</v>
      </c>
      <c r="B58" t="s">
        <v>34</v>
      </c>
      <c r="C58">
        <v>20</v>
      </c>
      <c r="D58">
        <v>2020</v>
      </c>
      <c r="E58" t="s">
        <v>35</v>
      </c>
      <c r="F58">
        <v>2</v>
      </c>
      <c r="G58" t="s">
        <v>36</v>
      </c>
      <c r="H58" t="s">
        <v>37</v>
      </c>
      <c r="I58">
        <v>1</v>
      </c>
      <c r="J58">
        <v>2</v>
      </c>
      <c r="K58" t="s">
        <v>38</v>
      </c>
      <c r="L58" t="s">
        <v>36</v>
      </c>
      <c r="M58" t="s">
        <v>36</v>
      </c>
      <c r="N58">
        <v>2</v>
      </c>
      <c r="O58" t="s">
        <v>39</v>
      </c>
      <c r="P58">
        <v>100</v>
      </c>
      <c r="Q58" t="s">
        <v>37</v>
      </c>
      <c r="R58" t="s">
        <v>37</v>
      </c>
      <c r="S58" t="s">
        <v>37</v>
      </c>
      <c r="T58" t="s">
        <v>40</v>
      </c>
      <c r="U58">
        <v>1</v>
      </c>
      <c r="V58" t="s">
        <v>49</v>
      </c>
      <c r="W58" t="s">
        <v>42</v>
      </c>
      <c r="X58" t="s">
        <v>37</v>
      </c>
      <c r="Y58" t="s">
        <v>47</v>
      </c>
      <c r="Z58" t="s">
        <v>37</v>
      </c>
      <c r="AA58">
        <v>2.68</v>
      </c>
      <c r="AB58" t="s">
        <v>37</v>
      </c>
      <c r="AC58">
        <v>3.15</v>
      </c>
      <c r="AD58">
        <v>11</v>
      </c>
      <c r="AE58">
        <v>30000</v>
      </c>
      <c r="AF58" t="str">
        <f>IF(Table1[[#This Row],[What is your current CGPA?]]&gt;=3.5,"High",IF(Table1[[#This Row],[What is your current CGPA?]]&gt;=2.5,"Medium","Low"))</f>
        <v>Medium</v>
      </c>
      <c r="AG58" t="str">
        <f>IF(AND(Table1[[#This Row],[Average attendance on class]]&lt;75,Table1[[#This Row],[How many hour do you study daily?]]&lt;1),"At Risk","Normal")</f>
        <v>Normal</v>
      </c>
      <c r="AH58">
        <f>(Table1[[#This Row],[Average attendance on class]]*0.4)+(Table1[[#This Row],[How many hour do you study daily?]]*10*0.3)+(Table1[[#This Row],[How many hour do you spent daily on your skill development?]]*10*0.3)</f>
        <v>46</v>
      </c>
    </row>
    <row r="59" spans="1:34" x14ac:dyDescent="0.25">
      <c r="A59">
        <v>2021</v>
      </c>
      <c r="B59" t="s">
        <v>48</v>
      </c>
      <c r="C59">
        <v>20</v>
      </c>
      <c r="D59">
        <v>2020</v>
      </c>
      <c r="E59" t="s">
        <v>35</v>
      </c>
      <c r="F59">
        <v>2</v>
      </c>
      <c r="G59" t="s">
        <v>36</v>
      </c>
      <c r="H59" t="s">
        <v>36</v>
      </c>
      <c r="I59">
        <v>1</v>
      </c>
      <c r="J59">
        <v>2</v>
      </c>
      <c r="K59" t="s">
        <v>38</v>
      </c>
      <c r="L59" t="s">
        <v>36</v>
      </c>
      <c r="M59" t="s">
        <v>36</v>
      </c>
      <c r="N59">
        <v>1</v>
      </c>
      <c r="O59" t="s">
        <v>39</v>
      </c>
      <c r="P59">
        <v>98</v>
      </c>
      <c r="Q59" t="s">
        <v>37</v>
      </c>
      <c r="R59" t="s">
        <v>37</v>
      </c>
      <c r="S59" t="s">
        <v>37</v>
      </c>
      <c r="T59" t="s">
        <v>40</v>
      </c>
      <c r="U59">
        <v>2</v>
      </c>
      <c r="V59" t="s">
        <v>40</v>
      </c>
      <c r="W59" t="s">
        <v>42</v>
      </c>
      <c r="X59" t="s">
        <v>36</v>
      </c>
      <c r="Y59" t="s">
        <v>47</v>
      </c>
      <c r="Z59" t="s">
        <v>37</v>
      </c>
      <c r="AA59">
        <v>2.68</v>
      </c>
      <c r="AB59" t="s">
        <v>37</v>
      </c>
      <c r="AC59">
        <v>3.15</v>
      </c>
      <c r="AD59">
        <v>11</v>
      </c>
      <c r="AE59">
        <v>40000</v>
      </c>
      <c r="AF59" t="str">
        <f>IF(Table1[[#This Row],[What is your current CGPA?]]&gt;=3.5,"High",IF(Table1[[#This Row],[What is your current CGPA?]]&gt;=2.5,"Medium","Low"))</f>
        <v>Medium</v>
      </c>
      <c r="AG59" t="str">
        <f>IF(AND(Table1[[#This Row],[Average attendance on class]]&lt;75,Table1[[#This Row],[How many hour do you study daily?]]&lt;1),"At Risk","Normal")</f>
        <v>Normal</v>
      </c>
      <c r="AH59">
        <f>(Table1[[#This Row],[Average attendance on class]]*0.4)+(Table1[[#This Row],[How many hour do you study daily?]]*10*0.3)+(Table1[[#This Row],[How many hour do you spent daily on your skill development?]]*10*0.3)</f>
        <v>48.2</v>
      </c>
    </row>
    <row r="60" spans="1:34" x14ac:dyDescent="0.25">
      <c r="A60">
        <v>2022</v>
      </c>
      <c r="B60" t="s">
        <v>34</v>
      </c>
      <c r="C60">
        <v>20</v>
      </c>
      <c r="D60">
        <v>2020</v>
      </c>
      <c r="E60" t="s">
        <v>35</v>
      </c>
      <c r="F60">
        <v>2</v>
      </c>
      <c r="G60" t="s">
        <v>36</v>
      </c>
      <c r="H60" t="s">
        <v>36</v>
      </c>
      <c r="I60">
        <v>4</v>
      </c>
      <c r="J60">
        <v>1</v>
      </c>
      <c r="K60" t="s">
        <v>44</v>
      </c>
      <c r="L60" t="s">
        <v>36</v>
      </c>
      <c r="M60" t="s">
        <v>36</v>
      </c>
      <c r="N60">
        <v>3</v>
      </c>
      <c r="O60" t="s">
        <v>39</v>
      </c>
      <c r="P60">
        <v>85</v>
      </c>
      <c r="Q60" t="s">
        <v>37</v>
      </c>
      <c r="R60" t="s">
        <v>37</v>
      </c>
      <c r="S60" t="s">
        <v>36</v>
      </c>
      <c r="T60" t="s">
        <v>40</v>
      </c>
      <c r="U60">
        <v>2</v>
      </c>
      <c r="V60" t="s">
        <v>40</v>
      </c>
      <c r="W60" t="s">
        <v>42</v>
      </c>
      <c r="X60" t="s">
        <v>37</v>
      </c>
      <c r="Y60" t="s">
        <v>47</v>
      </c>
      <c r="Z60" t="s">
        <v>37</v>
      </c>
      <c r="AA60">
        <v>2.68</v>
      </c>
      <c r="AB60" t="s">
        <v>37</v>
      </c>
      <c r="AC60">
        <v>3.15</v>
      </c>
      <c r="AD60">
        <v>11</v>
      </c>
      <c r="AE60">
        <v>30000</v>
      </c>
      <c r="AF60" t="str">
        <f>IF(Table1[[#This Row],[What is your current CGPA?]]&gt;=3.5,"High",IF(Table1[[#This Row],[What is your current CGPA?]]&gt;=2.5,"Medium","Low"))</f>
        <v>Medium</v>
      </c>
      <c r="AG60" t="str">
        <f>IF(AND(Table1[[#This Row],[Average attendance on class]]&lt;75,Table1[[#This Row],[How many hour do you study daily?]]&lt;1),"At Risk","Normal")</f>
        <v>Normal</v>
      </c>
      <c r="AH60">
        <f>(Table1[[#This Row],[Average attendance on class]]*0.4)+(Table1[[#This Row],[How many hour do you study daily?]]*10*0.3)+(Table1[[#This Row],[How many hour do you spent daily on your skill development?]]*10*0.3)</f>
        <v>52</v>
      </c>
    </row>
    <row r="61" spans="1:34" x14ac:dyDescent="0.25">
      <c r="A61">
        <v>2021</v>
      </c>
      <c r="B61" t="s">
        <v>48</v>
      </c>
      <c r="C61">
        <v>20</v>
      </c>
      <c r="D61">
        <v>2020</v>
      </c>
      <c r="E61" t="s">
        <v>35</v>
      </c>
      <c r="F61">
        <v>2</v>
      </c>
      <c r="G61" t="s">
        <v>36</v>
      </c>
      <c r="H61" t="s">
        <v>36</v>
      </c>
      <c r="I61">
        <v>2</v>
      </c>
      <c r="J61">
        <v>1</v>
      </c>
      <c r="K61" t="s">
        <v>38</v>
      </c>
      <c r="L61" t="s">
        <v>36</v>
      </c>
      <c r="M61" t="s">
        <v>36</v>
      </c>
      <c r="N61">
        <v>4</v>
      </c>
      <c r="O61" t="s">
        <v>39</v>
      </c>
      <c r="P61">
        <v>99</v>
      </c>
      <c r="Q61" t="s">
        <v>37</v>
      </c>
      <c r="R61" t="s">
        <v>37</v>
      </c>
      <c r="S61" t="s">
        <v>37</v>
      </c>
      <c r="T61" t="s">
        <v>40</v>
      </c>
      <c r="U61">
        <v>2</v>
      </c>
      <c r="V61" t="s">
        <v>40</v>
      </c>
      <c r="W61" t="s">
        <v>42</v>
      </c>
      <c r="X61" t="s">
        <v>36</v>
      </c>
      <c r="Y61" t="s">
        <v>47</v>
      </c>
      <c r="Z61" t="s">
        <v>37</v>
      </c>
      <c r="AA61">
        <v>2.68</v>
      </c>
      <c r="AB61" t="s">
        <v>37</v>
      </c>
      <c r="AC61">
        <v>3.15</v>
      </c>
      <c r="AD61">
        <v>11</v>
      </c>
      <c r="AE61">
        <v>40000</v>
      </c>
      <c r="AF61" t="str">
        <f>IF(Table1[[#This Row],[What is your current CGPA?]]&gt;=3.5,"High",IF(Table1[[#This Row],[What is your current CGPA?]]&gt;=2.5,"Medium","Low"))</f>
        <v>Medium</v>
      </c>
      <c r="AG61" t="str">
        <f>IF(AND(Table1[[#This Row],[Average attendance on class]]&lt;75,Table1[[#This Row],[How many hour do you study daily?]]&lt;1),"At Risk","Normal")</f>
        <v>Normal</v>
      </c>
      <c r="AH61">
        <f>(Table1[[#This Row],[Average attendance on class]]*0.4)+(Table1[[#This Row],[How many hour do you study daily?]]*10*0.3)+(Table1[[#This Row],[How many hour do you spent daily on your skill development?]]*10*0.3)</f>
        <v>51.6</v>
      </c>
    </row>
    <row r="62" spans="1:34" x14ac:dyDescent="0.25">
      <c r="A62">
        <v>2022</v>
      </c>
      <c r="B62" t="s">
        <v>34</v>
      </c>
      <c r="C62">
        <v>20</v>
      </c>
      <c r="D62">
        <v>2020</v>
      </c>
      <c r="E62" t="s">
        <v>35</v>
      </c>
      <c r="F62">
        <v>2</v>
      </c>
      <c r="G62" t="s">
        <v>36</v>
      </c>
      <c r="H62" t="s">
        <v>36</v>
      </c>
      <c r="I62">
        <v>1</v>
      </c>
      <c r="J62">
        <v>1</v>
      </c>
      <c r="K62" t="s">
        <v>38</v>
      </c>
      <c r="L62" t="s">
        <v>36</v>
      </c>
      <c r="M62" t="s">
        <v>36</v>
      </c>
      <c r="N62">
        <v>4</v>
      </c>
      <c r="O62" t="s">
        <v>39</v>
      </c>
      <c r="P62">
        <v>75</v>
      </c>
      <c r="Q62" t="s">
        <v>37</v>
      </c>
      <c r="R62" t="s">
        <v>37</v>
      </c>
      <c r="S62" t="s">
        <v>36</v>
      </c>
      <c r="T62" t="s">
        <v>40</v>
      </c>
      <c r="U62">
        <v>1</v>
      </c>
      <c r="V62" t="s">
        <v>40</v>
      </c>
      <c r="W62" t="s">
        <v>42</v>
      </c>
      <c r="X62" t="s">
        <v>37</v>
      </c>
      <c r="Y62" t="s">
        <v>47</v>
      </c>
      <c r="Z62" t="s">
        <v>37</v>
      </c>
      <c r="AA62">
        <v>2.68</v>
      </c>
      <c r="AB62" t="s">
        <v>37</v>
      </c>
      <c r="AC62">
        <v>3.15</v>
      </c>
      <c r="AD62">
        <v>11</v>
      </c>
      <c r="AE62">
        <v>35000</v>
      </c>
      <c r="AF62" t="str">
        <f>IF(Table1[[#This Row],[What is your current CGPA?]]&gt;=3.5,"High",IF(Table1[[#This Row],[What is your current CGPA?]]&gt;=2.5,"Medium","Low"))</f>
        <v>Medium</v>
      </c>
      <c r="AG62" t="str">
        <f>IF(AND(Table1[[#This Row],[Average attendance on class]]&lt;75,Table1[[#This Row],[How many hour do you study daily?]]&lt;1),"At Risk","Normal")</f>
        <v>Normal</v>
      </c>
      <c r="AH62">
        <f>(Table1[[#This Row],[Average attendance on class]]*0.4)+(Table1[[#This Row],[How many hour do you study daily?]]*10*0.3)+(Table1[[#This Row],[How many hour do you spent daily on your skill development?]]*10*0.3)</f>
        <v>36</v>
      </c>
    </row>
    <row r="63" spans="1:34" x14ac:dyDescent="0.25">
      <c r="A63">
        <v>2021</v>
      </c>
      <c r="B63" t="s">
        <v>34</v>
      </c>
      <c r="C63">
        <v>21</v>
      </c>
      <c r="D63">
        <v>2020</v>
      </c>
      <c r="E63" t="s">
        <v>35</v>
      </c>
      <c r="F63">
        <v>4</v>
      </c>
      <c r="G63" t="s">
        <v>36</v>
      </c>
      <c r="H63" t="s">
        <v>36</v>
      </c>
      <c r="I63">
        <v>3</v>
      </c>
      <c r="J63">
        <v>2</v>
      </c>
      <c r="K63" t="s">
        <v>38</v>
      </c>
      <c r="L63" t="s">
        <v>36</v>
      </c>
      <c r="M63" t="s">
        <v>36</v>
      </c>
      <c r="N63">
        <v>4</v>
      </c>
      <c r="O63" t="s">
        <v>39</v>
      </c>
      <c r="P63">
        <v>85</v>
      </c>
      <c r="Q63" t="s">
        <v>37</v>
      </c>
      <c r="R63" t="s">
        <v>37</v>
      </c>
      <c r="S63" t="s">
        <v>36</v>
      </c>
      <c r="T63" t="s">
        <v>40</v>
      </c>
      <c r="U63">
        <v>2</v>
      </c>
      <c r="V63" t="s">
        <v>49</v>
      </c>
      <c r="W63" t="s">
        <v>50</v>
      </c>
      <c r="X63" t="s">
        <v>37</v>
      </c>
      <c r="Y63" t="s">
        <v>43</v>
      </c>
      <c r="Z63" t="s">
        <v>37</v>
      </c>
      <c r="AA63">
        <v>2.68</v>
      </c>
      <c r="AB63" t="s">
        <v>37</v>
      </c>
      <c r="AC63">
        <v>3.15</v>
      </c>
      <c r="AD63">
        <v>36</v>
      </c>
      <c r="AE63">
        <v>40000</v>
      </c>
      <c r="AF63" t="str">
        <f>IF(Table1[[#This Row],[What is your current CGPA?]]&gt;=3.5,"High",IF(Table1[[#This Row],[What is your current CGPA?]]&gt;=2.5,"Medium","Low"))</f>
        <v>Medium</v>
      </c>
      <c r="AG63" t="str">
        <f>IF(AND(Table1[[#This Row],[Average attendance on class]]&lt;75,Table1[[#This Row],[How many hour do you study daily?]]&lt;1),"At Risk","Normal")</f>
        <v>Normal</v>
      </c>
      <c r="AH63">
        <f>(Table1[[#This Row],[Average attendance on class]]*0.4)+(Table1[[#This Row],[How many hour do you study daily?]]*10*0.3)+(Table1[[#This Row],[How many hour do you spent daily on your skill development?]]*10*0.3)</f>
        <v>49</v>
      </c>
    </row>
    <row r="64" spans="1:34" x14ac:dyDescent="0.25">
      <c r="A64">
        <v>2019</v>
      </c>
      <c r="B64" t="s">
        <v>34</v>
      </c>
      <c r="C64">
        <v>23</v>
      </c>
      <c r="D64">
        <v>2017</v>
      </c>
      <c r="E64" t="s">
        <v>35</v>
      </c>
      <c r="F64">
        <v>11</v>
      </c>
      <c r="G64" t="s">
        <v>37</v>
      </c>
      <c r="H64" t="s">
        <v>36</v>
      </c>
      <c r="I64">
        <v>1</v>
      </c>
      <c r="J64">
        <v>2</v>
      </c>
      <c r="K64" t="s">
        <v>38</v>
      </c>
      <c r="L64" t="s">
        <v>36</v>
      </c>
      <c r="M64" t="s">
        <v>36</v>
      </c>
      <c r="N64">
        <v>2</v>
      </c>
      <c r="O64" t="s">
        <v>39</v>
      </c>
      <c r="P64">
        <v>100</v>
      </c>
      <c r="Q64" t="s">
        <v>37</v>
      </c>
      <c r="R64" t="s">
        <v>37</v>
      </c>
      <c r="S64" t="s">
        <v>37</v>
      </c>
      <c r="T64" t="s">
        <v>40</v>
      </c>
      <c r="U64">
        <v>2</v>
      </c>
      <c r="V64" t="s">
        <v>40</v>
      </c>
      <c r="W64" t="s">
        <v>42</v>
      </c>
      <c r="X64" t="s">
        <v>36</v>
      </c>
      <c r="Y64" t="s">
        <v>43</v>
      </c>
      <c r="Z64" t="s">
        <v>37</v>
      </c>
      <c r="AA64">
        <v>2.68</v>
      </c>
      <c r="AB64" t="s">
        <v>37</v>
      </c>
      <c r="AC64">
        <v>3.15</v>
      </c>
      <c r="AD64">
        <v>126</v>
      </c>
      <c r="AE64">
        <v>15000</v>
      </c>
      <c r="AF64" t="str">
        <f>IF(Table1[[#This Row],[What is your current CGPA?]]&gt;=3.5,"High",IF(Table1[[#This Row],[What is your current CGPA?]]&gt;=2.5,"Medium","Low"))</f>
        <v>Medium</v>
      </c>
      <c r="AG64" t="str">
        <f>IF(AND(Table1[[#This Row],[Average attendance on class]]&lt;75,Table1[[#This Row],[How many hour do you study daily?]]&lt;1),"At Risk","Normal")</f>
        <v>Normal</v>
      </c>
      <c r="AH64">
        <f>(Table1[[#This Row],[Average attendance on class]]*0.4)+(Table1[[#This Row],[How many hour do you study daily?]]*10*0.3)+(Table1[[#This Row],[How many hour do you spent daily on your skill development?]]*10*0.3)</f>
        <v>49</v>
      </c>
    </row>
    <row r="65" spans="1:34" x14ac:dyDescent="0.25">
      <c r="A65">
        <v>2020</v>
      </c>
      <c r="B65" t="s">
        <v>34</v>
      </c>
      <c r="C65">
        <v>21</v>
      </c>
      <c r="D65">
        <v>2019</v>
      </c>
      <c r="E65" t="s">
        <v>35</v>
      </c>
      <c r="F65">
        <v>8</v>
      </c>
      <c r="G65" t="s">
        <v>36</v>
      </c>
      <c r="H65" t="s">
        <v>37</v>
      </c>
      <c r="I65">
        <v>3</v>
      </c>
      <c r="J65">
        <v>2</v>
      </c>
      <c r="K65" t="s">
        <v>38</v>
      </c>
      <c r="L65" t="s">
        <v>36</v>
      </c>
      <c r="M65" t="s">
        <v>36</v>
      </c>
      <c r="N65">
        <v>5</v>
      </c>
      <c r="O65" t="s">
        <v>39</v>
      </c>
      <c r="P65">
        <v>95</v>
      </c>
      <c r="Q65" t="s">
        <v>37</v>
      </c>
      <c r="R65" t="s">
        <v>37</v>
      </c>
      <c r="S65" t="s">
        <v>36</v>
      </c>
      <c r="T65" t="s">
        <v>40</v>
      </c>
      <c r="U65">
        <v>1</v>
      </c>
      <c r="V65" t="s">
        <v>40</v>
      </c>
      <c r="W65" t="s">
        <v>42</v>
      </c>
      <c r="X65" t="s">
        <v>37</v>
      </c>
      <c r="Y65" t="s">
        <v>43</v>
      </c>
      <c r="Z65" t="s">
        <v>37</v>
      </c>
      <c r="AA65">
        <v>3.84</v>
      </c>
      <c r="AB65" t="s">
        <v>37</v>
      </c>
      <c r="AC65">
        <v>3.8</v>
      </c>
      <c r="AD65">
        <v>80</v>
      </c>
      <c r="AE65">
        <v>23000</v>
      </c>
      <c r="AF65" t="str">
        <f>IF(Table1[[#This Row],[What is your current CGPA?]]&gt;=3.5,"High",IF(Table1[[#This Row],[What is your current CGPA?]]&gt;=2.5,"Medium","Low"))</f>
        <v>High</v>
      </c>
      <c r="AG65" t="str">
        <f>IF(AND(Table1[[#This Row],[Average attendance on class]]&lt;75,Table1[[#This Row],[How many hour do you study daily?]]&lt;1),"At Risk","Normal")</f>
        <v>Normal</v>
      </c>
      <c r="AH65">
        <f>(Table1[[#This Row],[Average attendance on class]]*0.4)+(Table1[[#This Row],[How many hour do you study daily?]]*10*0.3)+(Table1[[#This Row],[How many hour do you spent daily on your skill development?]]*10*0.3)</f>
        <v>50</v>
      </c>
    </row>
    <row r="66" spans="1:34" x14ac:dyDescent="0.25">
      <c r="A66">
        <v>2020</v>
      </c>
      <c r="B66" t="s">
        <v>34</v>
      </c>
      <c r="C66">
        <v>21</v>
      </c>
      <c r="D66">
        <v>2019</v>
      </c>
      <c r="E66" t="s">
        <v>35</v>
      </c>
      <c r="F66">
        <v>8</v>
      </c>
      <c r="G66" t="s">
        <v>37</v>
      </c>
      <c r="H66" t="s">
        <v>36</v>
      </c>
      <c r="I66">
        <v>3</v>
      </c>
      <c r="J66">
        <v>2</v>
      </c>
      <c r="K66" t="s">
        <v>38</v>
      </c>
      <c r="L66" t="s">
        <v>36</v>
      </c>
      <c r="M66" t="s">
        <v>36</v>
      </c>
      <c r="N66">
        <v>2</v>
      </c>
      <c r="O66" t="s">
        <v>53</v>
      </c>
      <c r="P66">
        <v>95</v>
      </c>
      <c r="Q66" t="s">
        <v>37</v>
      </c>
      <c r="R66" t="s">
        <v>37</v>
      </c>
      <c r="S66" t="s">
        <v>36</v>
      </c>
      <c r="T66" t="s">
        <v>40</v>
      </c>
      <c r="U66">
        <v>2</v>
      </c>
      <c r="V66" t="s">
        <v>40</v>
      </c>
      <c r="W66" t="s">
        <v>42</v>
      </c>
      <c r="X66" t="s">
        <v>36</v>
      </c>
      <c r="Y66" t="s">
        <v>43</v>
      </c>
      <c r="Z66" t="s">
        <v>37</v>
      </c>
      <c r="AA66">
        <v>2.68</v>
      </c>
      <c r="AB66" t="s">
        <v>37</v>
      </c>
      <c r="AC66">
        <v>3.15</v>
      </c>
      <c r="AD66">
        <v>88</v>
      </c>
      <c r="AE66">
        <v>62488</v>
      </c>
      <c r="AF66" t="str">
        <f>IF(Table1[[#This Row],[What is your current CGPA?]]&gt;=3.5,"High",IF(Table1[[#This Row],[What is your current CGPA?]]&gt;=2.5,"Medium","Low"))</f>
        <v>Medium</v>
      </c>
      <c r="AG66" t="str">
        <f>IF(AND(Table1[[#This Row],[Average attendance on class]]&lt;75,Table1[[#This Row],[How many hour do you study daily?]]&lt;1),"At Risk","Normal")</f>
        <v>Normal</v>
      </c>
      <c r="AH66">
        <f>(Table1[[#This Row],[Average attendance on class]]*0.4)+(Table1[[#This Row],[How many hour do you study daily?]]*10*0.3)+(Table1[[#This Row],[How many hour do you spent daily on your skill development?]]*10*0.3)</f>
        <v>53</v>
      </c>
    </row>
    <row r="67" spans="1:34" x14ac:dyDescent="0.25">
      <c r="A67">
        <v>2018</v>
      </c>
      <c r="B67" t="s">
        <v>34</v>
      </c>
      <c r="C67">
        <v>24</v>
      </c>
      <c r="D67">
        <v>2016</v>
      </c>
      <c r="E67" t="s">
        <v>35</v>
      </c>
      <c r="F67">
        <v>12</v>
      </c>
      <c r="G67" t="s">
        <v>36</v>
      </c>
      <c r="H67" t="s">
        <v>37</v>
      </c>
      <c r="I67">
        <v>2</v>
      </c>
      <c r="J67">
        <v>2</v>
      </c>
      <c r="K67" t="s">
        <v>38</v>
      </c>
      <c r="L67" t="s">
        <v>36</v>
      </c>
      <c r="M67" t="s">
        <v>36</v>
      </c>
      <c r="N67">
        <v>4</v>
      </c>
      <c r="O67" t="s">
        <v>39</v>
      </c>
      <c r="P67">
        <v>70</v>
      </c>
      <c r="Q67" t="s">
        <v>37</v>
      </c>
      <c r="R67" t="s">
        <v>37</v>
      </c>
      <c r="S67" t="s">
        <v>36</v>
      </c>
      <c r="T67" t="s">
        <v>40</v>
      </c>
      <c r="U67">
        <v>2</v>
      </c>
      <c r="V67" t="s">
        <v>52</v>
      </c>
      <c r="W67" t="s">
        <v>42</v>
      </c>
      <c r="X67" t="s">
        <v>36</v>
      </c>
      <c r="Y67" t="s">
        <v>43</v>
      </c>
      <c r="Z67" t="s">
        <v>37</v>
      </c>
      <c r="AA67">
        <v>3.31</v>
      </c>
      <c r="AB67" t="s">
        <v>37</v>
      </c>
      <c r="AC67">
        <v>3.52</v>
      </c>
      <c r="AD67">
        <v>132</v>
      </c>
      <c r="AE67">
        <v>350000</v>
      </c>
      <c r="AF67" t="str">
        <f>IF(Table1[[#This Row],[What is your current CGPA?]]&gt;=3.5,"High",IF(Table1[[#This Row],[What is your current CGPA?]]&gt;=2.5,"Medium","Low"))</f>
        <v>High</v>
      </c>
      <c r="AG67" t="str">
        <f>IF(AND(Table1[[#This Row],[Average attendance on class]]&lt;75,Table1[[#This Row],[How many hour do you study daily?]]&lt;1),"At Risk","Normal")</f>
        <v>Normal</v>
      </c>
      <c r="AH67">
        <f>(Table1[[#This Row],[Average attendance on class]]*0.4)+(Table1[[#This Row],[How many hour do you study daily?]]*10*0.3)+(Table1[[#This Row],[How many hour do you spent daily on your skill development?]]*10*0.3)</f>
        <v>40</v>
      </c>
    </row>
    <row r="68" spans="1:34" x14ac:dyDescent="0.25">
      <c r="A68">
        <v>2020</v>
      </c>
      <c r="B68" t="s">
        <v>34</v>
      </c>
      <c r="C68">
        <v>22</v>
      </c>
      <c r="D68">
        <v>2019</v>
      </c>
      <c r="E68" t="s">
        <v>35</v>
      </c>
      <c r="F68">
        <v>8</v>
      </c>
      <c r="G68" t="s">
        <v>37</v>
      </c>
      <c r="H68" t="s">
        <v>37</v>
      </c>
      <c r="I68">
        <v>3</v>
      </c>
      <c r="J68">
        <v>2</v>
      </c>
      <c r="K68" t="s">
        <v>44</v>
      </c>
      <c r="L68" t="s">
        <v>36</v>
      </c>
      <c r="M68" t="s">
        <v>36</v>
      </c>
      <c r="N68">
        <v>4</v>
      </c>
      <c r="O68" t="s">
        <v>39</v>
      </c>
      <c r="P68">
        <v>100</v>
      </c>
      <c r="Q68" t="s">
        <v>37</v>
      </c>
      <c r="R68" t="s">
        <v>37</v>
      </c>
      <c r="S68" t="s">
        <v>36</v>
      </c>
      <c r="T68" t="s">
        <v>55</v>
      </c>
      <c r="U68">
        <v>2</v>
      </c>
      <c r="V68" t="s">
        <v>52</v>
      </c>
      <c r="W68" t="s">
        <v>42</v>
      </c>
      <c r="X68" t="s">
        <v>37</v>
      </c>
      <c r="Y68" t="s">
        <v>43</v>
      </c>
      <c r="Z68" t="s">
        <v>37</v>
      </c>
      <c r="AA68">
        <v>2.68</v>
      </c>
      <c r="AB68" t="s">
        <v>37</v>
      </c>
      <c r="AC68">
        <v>3.15</v>
      </c>
      <c r="AD68">
        <v>88</v>
      </c>
      <c r="AE68">
        <v>50000</v>
      </c>
      <c r="AF68" t="str">
        <f>IF(Table1[[#This Row],[What is your current CGPA?]]&gt;=3.5,"High",IF(Table1[[#This Row],[What is your current CGPA?]]&gt;=2.5,"Medium","Low"))</f>
        <v>Medium</v>
      </c>
      <c r="AG68" t="str">
        <f>IF(AND(Table1[[#This Row],[Average attendance on class]]&lt;75,Table1[[#This Row],[How many hour do you study daily?]]&lt;1),"At Risk","Normal")</f>
        <v>Normal</v>
      </c>
      <c r="AH68">
        <f>(Table1[[#This Row],[Average attendance on class]]*0.4)+(Table1[[#This Row],[How many hour do you study daily?]]*10*0.3)+(Table1[[#This Row],[How many hour do you spent daily on your skill development?]]*10*0.3)</f>
        <v>55</v>
      </c>
    </row>
    <row r="69" spans="1:34" x14ac:dyDescent="0.25">
      <c r="A69">
        <v>2022</v>
      </c>
      <c r="B69" t="s">
        <v>48</v>
      </c>
      <c r="C69">
        <v>21</v>
      </c>
      <c r="D69">
        <v>2020</v>
      </c>
      <c r="E69" t="s">
        <v>35</v>
      </c>
      <c r="F69">
        <v>2</v>
      </c>
      <c r="G69" t="s">
        <v>36</v>
      </c>
      <c r="H69" t="s">
        <v>37</v>
      </c>
      <c r="I69">
        <v>3</v>
      </c>
      <c r="J69">
        <v>1</v>
      </c>
      <c r="K69" t="s">
        <v>44</v>
      </c>
      <c r="L69" t="s">
        <v>36</v>
      </c>
      <c r="M69" t="s">
        <v>36</v>
      </c>
      <c r="N69">
        <v>2</v>
      </c>
      <c r="O69" t="s">
        <v>53</v>
      </c>
      <c r="P69">
        <v>95</v>
      </c>
      <c r="Q69" t="s">
        <v>37</v>
      </c>
      <c r="R69" t="s">
        <v>37</v>
      </c>
      <c r="S69" t="s">
        <v>36</v>
      </c>
      <c r="T69" t="s">
        <v>40</v>
      </c>
      <c r="U69">
        <v>1</v>
      </c>
      <c r="V69" t="s">
        <v>40</v>
      </c>
      <c r="W69" t="s">
        <v>42</v>
      </c>
      <c r="X69" t="s">
        <v>37</v>
      </c>
      <c r="Y69" t="s">
        <v>47</v>
      </c>
      <c r="Z69" t="s">
        <v>37</v>
      </c>
      <c r="AA69">
        <v>2.68</v>
      </c>
      <c r="AB69" t="s">
        <v>37</v>
      </c>
      <c r="AC69">
        <v>3.15</v>
      </c>
      <c r="AD69">
        <v>11</v>
      </c>
      <c r="AE69">
        <v>40000</v>
      </c>
      <c r="AF69" t="str">
        <f>IF(Table1[[#This Row],[What is your current CGPA?]]&gt;=3.5,"High",IF(Table1[[#This Row],[What is your current CGPA?]]&gt;=2.5,"Medium","Low"))</f>
        <v>Medium</v>
      </c>
      <c r="AG69" t="str">
        <f>IF(AND(Table1[[#This Row],[Average attendance on class]]&lt;75,Table1[[#This Row],[How many hour do you study daily?]]&lt;1),"At Risk","Normal")</f>
        <v>Normal</v>
      </c>
      <c r="AH69">
        <f>(Table1[[#This Row],[Average attendance on class]]*0.4)+(Table1[[#This Row],[How many hour do you study daily?]]*10*0.3)+(Table1[[#This Row],[How many hour do you spent daily on your skill development?]]*10*0.3)</f>
        <v>50</v>
      </c>
    </row>
    <row r="70" spans="1:34" x14ac:dyDescent="0.25">
      <c r="A70">
        <v>2022</v>
      </c>
      <c r="B70" t="s">
        <v>34</v>
      </c>
      <c r="C70">
        <v>20</v>
      </c>
      <c r="D70">
        <v>2020</v>
      </c>
      <c r="E70" t="s">
        <v>35</v>
      </c>
      <c r="F70">
        <v>2</v>
      </c>
      <c r="G70" t="s">
        <v>37</v>
      </c>
      <c r="H70" t="s">
        <v>37</v>
      </c>
      <c r="I70">
        <v>3</v>
      </c>
      <c r="J70">
        <v>2</v>
      </c>
      <c r="K70" t="s">
        <v>38</v>
      </c>
      <c r="L70" t="s">
        <v>36</v>
      </c>
      <c r="M70" t="s">
        <v>36</v>
      </c>
      <c r="N70">
        <v>2</v>
      </c>
      <c r="O70" t="s">
        <v>39</v>
      </c>
      <c r="P70">
        <v>100</v>
      </c>
      <c r="Q70" t="s">
        <v>37</v>
      </c>
      <c r="R70" t="s">
        <v>37</v>
      </c>
      <c r="S70" t="s">
        <v>36</v>
      </c>
      <c r="T70" t="s">
        <v>40</v>
      </c>
      <c r="U70">
        <v>5</v>
      </c>
      <c r="V70" t="s">
        <v>40</v>
      </c>
      <c r="W70" t="s">
        <v>50</v>
      </c>
      <c r="X70" t="s">
        <v>37</v>
      </c>
      <c r="Y70" t="s">
        <v>43</v>
      </c>
      <c r="Z70" t="s">
        <v>37</v>
      </c>
      <c r="AA70">
        <v>2.68</v>
      </c>
      <c r="AB70" t="s">
        <v>37</v>
      </c>
      <c r="AC70">
        <v>3.15</v>
      </c>
      <c r="AD70">
        <v>11</v>
      </c>
      <c r="AE70">
        <v>35000</v>
      </c>
      <c r="AF70" t="str">
        <f>IF(Table1[[#This Row],[What is your current CGPA?]]&gt;=3.5,"High",IF(Table1[[#This Row],[What is your current CGPA?]]&gt;=2.5,"Medium","Low"))</f>
        <v>Medium</v>
      </c>
      <c r="AG70" t="str">
        <f>IF(AND(Table1[[#This Row],[Average attendance on class]]&lt;75,Table1[[#This Row],[How many hour do you study daily?]]&lt;1),"At Risk","Normal")</f>
        <v>Normal</v>
      </c>
      <c r="AH70">
        <f>(Table1[[#This Row],[Average attendance on class]]*0.4)+(Table1[[#This Row],[How many hour do you study daily?]]*10*0.3)+(Table1[[#This Row],[How many hour do you spent daily on your skill development?]]*10*0.3)</f>
        <v>64</v>
      </c>
    </row>
    <row r="71" spans="1:34" x14ac:dyDescent="0.25">
      <c r="A71">
        <v>2020</v>
      </c>
      <c r="B71" t="s">
        <v>48</v>
      </c>
      <c r="C71">
        <v>21</v>
      </c>
      <c r="D71">
        <v>2019</v>
      </c>
      <c r="E71" t="s">
        <v>35</v>
      </c>
      <c r="F71">
        <v>8</v>
      </c>
      <c r="G71" t="s">
        <v>36</v>
      </c>
      <c r="H71" t="s">
        <v>36</v>
      </c>
      <c r="I71">
        <v>3</v>
      </c>
      <c r="J71">
        <v>2</v>
      </c>
      <c r="K71" t="s">
        <v>38</v>
      </c>
      <c r="L71" t="s">
        <v>36</v>
      </c>
      <c r="M71" t="s">
        <v>36</v>
      </c>
      <c r="N71">
        <v>2</v>
      </c>
      <c r="O71" t="s">
        <v>45</v>
      </c>
      <c r="P71">
        <v>80</v>
      </c>
      <c r="Q71" t="s">
        <v>37</v>
      </c>
      <c r="R71" t="s">
        <v>37</v>
      </c>
      <c r="S71" t="s">
        <v>36</v>
      </c>
      <c r="T71" t="s">
        <v>40</v>
      </c>
      <c r="U71">
        <v>2</v>
      </c>
      <c r="V71" t="s">
        <v>40</v>
      </c>
      <c r="W71" t="s">
        <v>42</v>
      </c>
      <c r="X71" t="s">
        <v>37</v>
      </c>
      <c r="Y71" t="s">
        <v>47</v>
      </c>
      <c r="Z71" t="s">
        <v>37</v>
      </c>
      <c r="AA71">
        <v>2.68</v>
      </c>
      <c r="AB71" t="s">
        <v>37</v>
      </c>
      <c r="AC71">
        <v>3.15</v>
      </c>
      <c r="AD71">
        <v>88</v>
      </c>
      <c r="AE71">
        <v>35000</v>
      </c>
      <c r="AF71" t="str">
        <f>IF(Table1[[#This Row],[What is your current CGPA?]]&gt;=3.5,"High",IF(Table1[[#This Row],[What is your current CGPA?]]&gt;=2.5,"Medium","Low"))</f>
        <v>Medium</v>
      </c>
      <c r="AG71" t="str">
        <f>IF(AND(Table1[[#This Row],[Average attendance on class]]&lt;75,Table1[[#This Row],[How many hour do you study daily?]]&lt;1),"At Risk","Normal")</f>
        <v>Normal</v>
      </c>
      <c r="AH71">
        <f>(Table1[[#This Row],[Average attendance on class]]*0.4)+(Table1[[#This Row],[How many hour do you study daily?]]*10*0.3)+(Table1[[#This Row],[How many hour do you spent daily on your skill development?]]*10*0.3)</f>
        <v>47</v>
      </c>
    </row>
    <row r="72" spans="1:34" x14ac:dyDescent="0.25">
      <c r="A72">
        <v>2022</v>
      </c>
      <c r="B72" t="s">
        <v>34</v>
      </c>
      <c r="C72">
        <v>21</v>
      </c>
      <c r="D72">
        <v>2020</v>
      </c>
      <c r="E72" t="s">
        <v>35</v>
      </c>
      <c r="F72">
        <v>2</v>
      </c>
      <c r="G72" t="s">
        <v>37</v>
      </c>
      <c r="H72" t="s">
        <v>37</v>
      </c>
      <c r="I72">
        <v>8</v>
      </c>
      <c r="J72">
        <v>2</v>
      </c>
      <c r="K72" t="s">
        <v>44</v>
      </c>
      <c r="L72" t="s">
        <v>36</v>
      </c>
      <c r="M72" t="s">
        <v>36</v>
      </c>
      <c r="N72">
        <v>1</v>
      </c>
      <c r="O72" t="s">
        <v>45</v>
      </c>
      <c r="P72">
        <v>100</v>
      </c>
      <c r="Q72" t="s">
        <v>37</v>
      </c>
      <c r="R72" t="s">
        <v>37</v>
      </c>
      <c r="S72" t="s">
        <v>36</v>
      </c>
      <c r="T72" t="s">
        <v>40</v>
      </c>
      <c r="U72">
        <v>2</v>
      </c>
      <c r="V72" t="s">
        <v>40</v>
      </c>
      <c r="W72" t="s">
        <v>42</v>
      </c>
      <c r="X72" t="s">
        <v>36</v>
      </c>
      <c r="Y72" t="s">
        <v>43</v>
      </c>
      <c r="Z72" t="s">
        <v>37</v>
      </c>
      <c r="AA72">
        <v>2.68</v>
      </c>
      <c r="AB72" t="s">
        <v>37</v>
      </c>
      <c r="AC72">
        <v>3.15</v>
      </c>
      <c r="AD72">
        <v>11</v>
      </c>
      <c r="AE72">
        <v>30000</v>
      </c>
      <c r="AF72" t="str">
        <f>IF(Table1[[#This Row],[What is your current CGPA?]]&gt;=3.5,"High",IF(Table1[[#This Row],[What is your current CGPA?]]&gt;=2.5,"Medium","Low"))</f>
        <v>Medium</v>
      </c>
      <c r="AG72" t="str">
        <f>IF(AND(Table1[[#This Row],[Average attendance on class]]&lt;75,Table1[[#This Row],[How many hour do you study daily?]]&lt;1),"At Risk","Normal")</f>
        <v>Normal</v>
      </c>
      <c r="AH72">
        <f>(Table1[[#This Row],[Average attendance on class]]*0.4)+(Table1[[#This Row],[How many hour do you study daily?]]*10*0.3)+(Table1[[#This Row],[How many hour do you spent daily on your skill development?]]*10*0.3)</f>
        <v>70</v>
      </c>
    </row>
    <row r="73" spans="1:34" x14ac:dyDescent="0.25">
      <c r="A73">
        <v>2020</v>
      </c>
      <c r="B73" t="s">
        <v>34</v>
      </c>
      <c r="C73">
        <v>23</v>
      </c>
      <c r="D73">
        <v>2018</v>
      </c>
      <c r="E73" t="s">
        <v>35</v>
      </c>
      <c r="F73">
        <v>8</v>
      </c>
      <c r="G73" t="s">
        <v>36</v>
      </c>
      <c r="H73" t="s">
        <v>36</v>
      </c>
      <c r="I73">
        <v>2</v>
      </c>
      <c r="J73">
        <v>2</v>
      </c>
      <c r="K73" t="s">
        <v>44</v>
      </c>
      <c r="L73" t="s">
        <v>36</v>
      </c>
      <c r="M73" t="s">
        <v>36</v>
      </c>
      <c r="N73">
        <v>1</v>
      </c>
      <c r="O73" t="s">
        <v>39</v>
      </c>
      <c r="P73">
        <v>90</v>
      </c>
      <c r="Q73" t="s">
        <v>37</v>
      </c>
      <c r="R73" t="s">
        <v>37</v>
      </c>
      <c r="S73" t="s">
        <v>36</v>
      </c>
      <c r="T73" t="s">
        <v>40</v>
      </c>
      <c r="U73">
        <v>1</v>
      </c>
      <c r="V73" t="s">
        <v>40</v>
      </c>
      <c r="W73" t="s">
        <v>42</v>
      </c>
      <c r="X73" t="s">
        <v>37</v>
      </c>
      <c r="Y73" t="s">
        <v>47</v>
      </c>
      <c r="Z73" t="s">
        <v>37</v>
      </c>
      <c r="AA73">
        <v>2.68</v>
      </c>
      <c r="AB73" t="s">
        <v>37</v>
      </c>
      <c r="AC73">
        <v>3.15</v>
      </c>
      <c r="AD73">
        <v>88</v>
      </c>
      <c r="AE73">
        <v>40000</v>
      </c>
      <c r="AF73" t="str">
        <f>IF(Table1[[#This Row],[What is your current CGPA?]]&gt;=3.5,"High",IF(Table1[[#This Row],[What is your current CGPA?]]&gt;=2.5,"Medium","Low"))</f>
        <v>Medium</v>
      </c>
      <c r="AG73" t="str">
        <f>IF(AND(Table1[[#This Row],[Average attendance on class]]&lt;75,Table1[[#This Row],[How many hour do you study daily?]]&lt;1),"At Risk","Normal")</f>
        <v>Normal</v>
      </c>
      <c r="AH73">
        <f>(Table1[[#This Row],[Average attendance on class]]*0.4)+(Table1[[#This Row],[How many hour do you study daily?]]*10*0.3)+(Table1[[#This Row],[How many hour do you spent daily on your skill development?]]*10*0.3)</f>
        <v>45</v>
      </c>
    </row>
    <row r="74" spans="1:34" x14ac:dyDescent="0.25">
      <c r="A74">
        <v>2022</v>
      </c>
      <c r="B74" t="s">
        <v>34</v>
      </c>
      <c r="C74">
        <v>20</v>
      </c>
      <c r="D74">
        <v>2020</v>
      </c>
      <c r="E74" t="s">
        <v>35</v>
      </c>
      <c r="F74">
        <v>2</v>
      </c>
      <c r="G74" t="s">
        <v>36</v>
      </c>
      <c r="H74" t="s">
        <v>36</v>
      </c>
      <c r="I74">
        <v>4</v>
      </c>
      <c r="J74">
        <v>1</v>
      </c>
      <c r="K74" t="s">
        <v>38</v>
      </c>
      <c r="L74" t="s">
        <v>36</v>
      </c>
      <c r="M74" t="s">
        <v>36</v>
      </c>
      <c r="N74">
        <v>1</v>
      </c>
      <c r="O74" t="s">
        <v>39</v>
      </c>
      <c r="P74">
        <v>95</v>
      </c>
      <c r="Q74" t="s">
        <v>37</v>
      </c>
      <c r="R74" t="s">
        <v>37</v>
      </c>
      <c r="S74" t="s">
        <v>36</v>
      </c>
      <c r="T74" t="s">
        <v>40</v>
      </c>
      <c r="U74">
        <v>1</v>
      </c>
      <c r="V74" t="s">
        <v>40</v>
      </c>
      <c r="W74" t="s">
        <v>42</v>
      </c>
      <c r="X74" t="s">
        <v>36</v>
      </c>
      <c r="Y74" t="s">
        <v>47</v>
      </c>
      <c r="Z74" t="s">
        <v>37</v>
      </c>
      <c r="AA74">
        <v>2.68</v>
      </c>
      <c r="AB74" t="s">
        <v>37</v>
      </c>
      <c r="AC74">
        <v>3.15</v>
      </c>
      <c r="AD74">
        <v>11</v>
      </c>
      <c r="AE74">
        <v>35000</v>
      </c>
      <c r="AF74" t="str">
        <f>IF(Table1[[#This Row],[What is your current CGPA?]]&gt;=3.5,"High",IF(Table1[[#This Row],[What is your current CGPA?]]&gt;=2.5,"Medium","Low"))</f>
        <v>Medium</v>
      </c>
      <c r="AG74" t="str">
        <f>IF(AND(Table1[[#This Row],[Average attendance on class]]&lt;75,Table1[[#This Row],[How many hour do you study daily?]]&lt;1),"At Risk","Normal")</f>
        <v>Normal</v>
      </c>
      <c r="AH74">
        <f>(Table1[[#This Row],[Average attendance on class]]*0.4)+(Table1[[#This Row],[How many hour do you study daily?]]*10*0.3)+(Table1[[#This Row],[How many hour do you spent daily on your skill development?]]*10*0.3)</f>
        <v>53</v>
      </c>
    </row>
    <row r="75" spans="1:34" x14ac:dyDescent="0.25">
      <c r="A75">
        <v>2020</v>
      </c>
      <c r="B75" t="s">
        <v>48</v>
      </c>
      <c r="C75">
        <v>21</v>
      </c>
      <c r="D75">
        <v>2019</v>
      </c>
      <c r="E75" t="s">
        <v>35</v>
      </c>
      <c r="F75">
        <v>8</v>
      </c>
      <c r="G75" t="s">
        <v>37</v>
      </c>
      <c r="H75" t="s">
        <v>36</v>
      </c>
      <c r="I75">
        <v>1</v>
      </c>
      <c r="J75">
        <v>1</v>
      </c>
      <c r="K75" t="s">
        <v>44</v>
      </c>
      <c r="L75" t="s">
        <v>36</v>
      </c>
      <c r="M75" t="s">
        <v>36</v>
      </c>
      <c r="N75">
        <v>2</v>
      </c>
      <c r="O75" t="s">
        <v>39</v>
      </c>
      <c r="P75">
        <v>95</v>
      </c>
      <c r="Q75" t="s">
        <v>37</v>
      </c>
      <c r="R75" t="s">
        <v>37</v>
      </c>
      <c r="S75" t="s">
        <v>37</v>
      </c>
      <c r="T75" t="s">
        <v>40</v>
      </c>
      <c r="U75">
        <v>2</v>
      </c>
      <c r="V75" t="s">
        <v>40</v>
      </c>
      <c r="W75" t="s">
        <v>42</v>
      </c>
      <c r="X75" t="s">
        <v>37</v>
      </c>
      <c r="Y75" t="s">
        <v>47</v>
      </c>
      <c r="Z75" t="s">
        <v>36</v>
      </c>
      <c r="AA75">
        <v>2.68</v>
      </c>
      <c r="AB75" t="s">
        <v>37</v>
      </c>
      <c r="AC75">
        <v>3.15</v>
      </c>
      <c r="AD75">
        <v>88</v>
      </c>
      <c r="AE75">
        <v>40000</v>
      </c>
      <c r="AF75" t="str">
        <f>IF(Table1[[#This Row],[What is your current CGPA?]]&gt;=3.5,"High",IF(Table1[[#This Row],[What is your current CGPA?]]&gt;=2.5,"Medium","Low"))</f>
        <v>Medium</v>
      </c>
      <c r="AG75" t="str">
        <f>IF(AND(Table1[[#This Row],[Average attendance on class]]&lt;75,Table1[[#This Row],[How many hour do you study daily?]]&lt;1),"At Risk","Normal")</f>
        <v>Normal</v>
      </c>
      <c r="AH75">
        <f>(Table1[[#This Row],[Average attendance on class]]*0.4)+(Table1[[#This Row],[How many hour do you study daily?]]*10*0.3)+(Table1[[#This Row],[How many hour do you spent daily on your skill development?]]*10*0.3)</f>
        <v>47</v>
      </c>
    </row>
    <row r="76" spans="1:34" x14ac:dyDescent="0.25">
      <c r="A76">
        <v>2018</v>
      </c>
      <c r="B76" t="s">
        <v>48</v>
      </c>
      <c r="C76">
        <v>24</v>
      </c>
      <c r="D76">
        <v>2017</v>
      </c>
      <c r="E76" t="s">
        <v>35</v>
      </c>
      <c r="F76">
        <v>12</v>
      </c>
      <c r="G76" t="s">
        <v>37</v>
      </c>
      <c r="H76" t="s">
        <v>36</v>
      </c>
      <c r="I76">
        <v>2</v>
      </c>
      <c r="J76">
        <v>2</v>
      </c>
      <c r="K76" t="s">
        <v>38</v>
      </c>
      <c r="L76" t="s">
        <v>36</v>
      </c>
      <c r="M76" t="s">
        <v>36</v>
      </c>
      <c r="N76">
        <v>3</v>
      </c>
      <c r="O76" t="s">
        <v>39</v>
      </c>
      <c r="P76">
        <v>80</v>
      </c>
      <c r="Q76" t="s">
        <v>36</v>
      </c>
      <c r="R76" t="s">
        <v>37</v>
      </c>
      <c r="S76" t="s">
        <v>36</v>
      </c>
      <c r="T76" t="s">
        <v>51</v>
      </c>
      <c r="U76">
        <v>1</v>
      </c>
      <c r="V76" t="s">
        <v>52</v>
      </c>
      <c r="W76" t="s">
        <v>56</v>
      </c>
      <c r="X76" t="s">
        <v>36</v>
      </c>
      <c r="Y76" t="s">
        <v>47</v>
      </c>
      <c r="Z76" t="s">
        <v>37</v>
      </c>
      <c r="AA76">
        <v>2.68</v>
      </c>
      <c r="AB76" t="s">
        <v>37</v>
      </c>
      <c r="AC76">
        <v>3.15</v>
      </c>
      <c r="AD76">
        <v>136</v>
      </c>
      <c r="AE76">
        <v>30000</v>
      </c>
      <c r="AF76" t="str">
        <f>IF(Table1[[#This Row],[What is your current CGPA?]]&gt;=3.5,"High",IF(Table1[[#This Row],[What is your current CGPA?]]&gt;=2.5,"Medium","Low"))</f>
        <v>Medium</v>
      </c>
      <c r="AG76" t="str">
        <f>IF(AND(Table1[[#This Row],[Average attendance on class]]&lt;75,Table1[[#This Row],[How many hour do you study daily?]]&lt;1),"At Risk","Normal")</f>
        <v>Normal</v>
      </c>
      <c r="AH76">
        <f>(Table1[[#This Row],[Average attendance on class]]*0.4)+(Table1[[#This Row],[How many hour do you study daily?]]*10*0.3)+(Table1[[#This Row],[How many hour do you spent daily on your skill development?]]*10*0.3)</f>
        <v>41</v>
      </c>
    </row>
    <row r="77" spans="1:34" x14ac:dyDescent="0.25">
      <c r="A77">
        <v>2020</v>
      </c>
      <c r="B77" t="s">
        <v>34</v>
      </c>
      <c r="C77">
        <v>22</v>
      </c>
      <c r="D77">
        <v>2019</v>
      </c>
      <c r="E77" t="s">
        <v>35</v>
      </c>
      <c r="F77">
        <v>8</v>
      </c>
      <c r="G77" t="s">
        <v>37</v>
      </c>
      <c r="H77" t="s">
        <v>37</v>
      </c>
      <c r="I77">
        <v>3</v>
      </c>
      <c r="J77">
        <v>1</v>
      </c>
      <c r="K77" t="s">
        <v>44</v>
      </c>
      <c r="L77" t="s">
        <v>36</v>
      </c>
      <c r="M77" t="s">
        <v>36</v>
      </c>
      <c r="N77">
        <v>1</v>
      </c>
      <c r="O77" t="s">
        <v>39</v>
      </c>
      <c r="P77">
        <v>100</v>
      </c>
      <c r="Q77" t="s">
        <v>37</v>
      </c>
      <c r="R77" t="s">
        <v>37</v>
      </c>
      <c r="S77" t="s">
        <v>37</v>
      </c>
      <c r="T77" t="s">
        <v>40</v>
      </c>
      <c r="U77">
        <v>8</v>
      </c>
      <c r="V77" t="s">
        <v>40</v>
      </c>
      <c r="W77" t="s">
        <v>42</v>
      </c>
      <c r="X77" t="s">
        <v>36</v>
      </c>
      <c r="Y77" t="s">
        <v>43</v>
      </c>
      <c r="Z77" t="s">
        <v>37</v>
      </c>
      <c r="AA77">
        <v>2.68</v>
      </c>
      <c r="AB77" t="s">
        <v>37</v>
      </c>
      <c r="AC77">
        <v>3.15</v>
      </c>
      <c r="AD77">
        <v>88</v>
      </c>
      <c r="AE77">
        <v>35000</v>
      </c>
      <c r="AF77" t="str">
        <f>IF(Table1[[#This Row],[What is your current CGPA?]]&gt;=3.5,"High",IF(Table1[[#This Row],[What is your current CGPA?]]&gt;=2.5,"Medium","Low"))</f>
        <v>Medium</v>
      </c>
      <c r="AG77" t="str">
        <f>IF(AND(Table1[[#This Row],[Average attendance on class]]&lt;75,Table1[[#This Row],[How many hour do you study daily?]]&lt;1),"At Risk","Normal")</f>
        <v>Normal</v>
      </c>
      <c r="AH77">
        <f>(Table1[[#This Row],[Average attendance on class]]*0.4)+(Table1[[#This Row],[How many hour do you study daily?]]*10*0.3)+(Table1[[#This Row],[How many hour do you spent daily on your skill development?]]*10*0.3)</f>
        <v>73</v>
      </c>
    </row>
    <row r="78" spans="1:34" x14ac:dyDescent="0.25">
      <c r="A78">
        <v>2020</v>
      </c>
      <c r="B78" t="s">
        <v>34</v>
      </c>
      <c r="C78">
        <v>21</v>
      </c>
      <c r="D78">
        <v>2019</v>
      </c>
      <c r="E78" t="s">
        <v>35</v>
      </c>
      <c r="F78">
        <v>8</v>
      </c>
      <c r="G78" t="s">
        <v>37</v>
      </c>
      <c r="H78" t="s">
        <v>36</v>
      </c>
      <c r="I78">
        <v>4</v>
      </c>
      <c r="J78">
        <v>1</v>
      </c>
      <c r="K78" t="s">
        <v>38</v>
      </c>
      <c r="L78" t="s">
        <v>36</v>
      </c>
      <c r="M78" t="s">
        <v>36</v>
      </c>
      <c r="N78">
        <v>2</v>
      </c>
      <c r="O78" t="s">
        <v>45</v>
      </c>
      <c r="P78">
        <v>95</v>
      </c>
      <c r="Q78" t="s">
        <v>37</v>
      </c>
      <c r="R78" t="s">
        <v>37</v>
      </c>
      <c r="S78" t="s">
        <v>36</v>
      </c>
      <c r="T78" t="s">
        <v>40</v>
      </c>
      <c r="U78">
        <v>2</v>
      </c>
      <c r="V78" t="s">
        <v>40</v>
      </c>
      <c r="W78" t="s">
        <v>42</v>
      </c>
      <c r="X78" t="s">
        <v>37</v>
      </c>
      <c r="Y78" t="s">
        <v>43</v>
      </c>
      <c r="Z78" t="s">
        <v>37</v>
      </c>
      <c r="AA78">
        <v>2.68</v>
      </c>
      <c r="AB78" t="s">
        <v>37</v>
      </c>
      <c r="AC78">
        <v>3.15</v>
      </c>
      <c r="AD78">
        <v>88</v>
      </c>
      <c r="AE78">
        <v>25000</v>
      </c>
      <c r="AF78" t="str">
        <f>IF(Table1[[#This Row],[What is your current CGPA?]]&gt;=3.5,"High",IF(Table1[[#This Row],[What is your current CGPA?]]&gt;=2.5,"Medium","Low"))</f>
        <v>Medium</v>
      </c>
      <c r="AG78" t="str">
        <f>IF(AND(Table1[[#This Row],[Average attendance on class]]&lt;75,Table1[[#This Row],[How many hour do you study daily?]]&lt;1),"At Risk","Normal")</f>
        <v>Normal</v>
      </c>
      <c r="AH78">
        <f>(Table1[[#This Row],[Average attendance on class]]*0.4)+(Table1[[#This Row],[How many hour do you study daily?]]*10*0.3)+(Table1[[#This Row],[How many hour do you spent daily on your skill development?]]*10*0.3)</f>
        <v>56</v>
      </c>
    </row>
    <row r="79" spans="1:34" x14ac:dyDescent="0.25">
      <c r="A79">
        <v>2022</v>
      </c>
      <c r="B79" t="s">
        <v>48</v>
      </c>
      <c r="C79">
        <v>20</v>
      </c>
      <c r="D79">
        <v>2020</v>
      </c>
      <c r="E79" t="s">
        <v>35</v>
      </c>
      <c r="F79">
        <v>2</v>
      </c>
      <c r="G79" t="s">
        <v>36</v>
      </c>
      <c r="H79" t="s">
        <v>36</v>
      </c>
      <c r="I79">
        <v>5</v>
      </c>
      <c r="J79">
        <v>3</v>
      </c>
      <c r="K79" t="s">
        <v>38</v>
      </c>
      <c r="L79" t="s">
        <v>36</v>
      </c>
      <c r="M79" t="s">
        <v>37</v>
      </c>
      <c r="N79">
        <v>2</v>
      </c>
      <c r="O79" t="s">
        <v>45</v>
      </c>
      <c r="P79">
        <v>99</v>
      </c>
      <c r="Q79" t="s">
        <v>37</v>
      </c>
      <c r="R79" t="s">
        <v>37</v>
      </c>
      <c r="S79" t="s">
        <v>36</v>
      </c>
      <c r="T79" t="s">
        <v>40</v>
      </c>
      <c r="U79">
        <v>2</v>
      </c>
      <c r="V79" t="s">
        <v>40</v>
      </c>
      <c r="W79" t="s">
        <v>42</v>
      </c>
      <c r="X79" t="s">
        <v>36</v>
      </c>
      <c r="Y79" t="s">
        <v>47</v>
      </c>
      <c r="Z79" t="s">
        <v>36</v>
      </c>
      <c r="AA79">
        <v>2.68</v>
      </c>
      <c r="AB79" t="s">
        <v>37</v>
      </c>
      <c r="AC79">
        <v>3.15</v>
      </c>
      <c r="AD79">
        <v>11</v>
      </c>
      <c r="AE79">
        <v>600000</v>
      </c>
      <c r="AF79" t="str">
        <f>IF(Table1[[#This Row],[What is your current CGPA?]]&gt;=3.5,"High",IF(Table1[[#This Row],[What is your current CGPA?]]&gt;=2.5,"Medium","Low"))</f>
        <v>Medium</v>
      </c>
      <c r="AG79" t="str">
        <f>IF(AND(Table1[[#This Row],[Average attendance on class]]&lt;75,Table1[[#This Row],[How many hour do you study daily?]]&lt;1),"At Risk","Normal")</f>
        <v>Normal</v>
      </c>
      <c r="AH79">
        <f>(Table1[[#This Row],[Average attendance on class]]*0.4)+(Table1[[#This Row],[How many hour do you study daily?]]*10*0.3)+(Table1[[#This Row],[How many hour do you spent daily on your skill development?]]*10*0.3)</f>
        <v>60.6</v>
      </c>
    </row>
    <row r="80" spans="1:34" x14ac:dyDescent="0.25">
      <c r="A80">
        <v>2022</v>
      </c>
      <c r="B80" t="s">
        <v>48</v>
      </c>
      <c r="C80">
        <v>20</v>
      </c>
      <c r="D80">
        <v>2019</v>
      </c>
      <c r="E80" t="s">
        <v>35</v>
      </c>
      <c r="F80">
        <v>2</v>
      </c>
      <c r="G80" t="s">
        <v>36</v>
      </c>
      <c r="H80" t="s">
        <v>36</v>
      </c>
      <c r="I80">
        <v>4</v>
      </c>
      <c r="J80">
        <v>3</v>
      </c>
      <c r="K80" t="s">
        <v>38</v>
      </c>
      <c r="L80" t="s">
        <v>36</v>
      </c>
      <c r="M80" t="s">
        <v>36</v>
      </c>
      <c r="N80">
        <v>4</v>
      </c>
      <c r="O80" t="s">
        <v>45</v>
      </c>
      <c r="P80">
        <v>100</v>
      </c>
      <c r="Q80" t="s">
        <v>37</v>
      </c>
      <c r="R80" t="s">
        <v>37</v>
      </c>
      <c r="S80" t="s">
        <v>36</v>
      </c>
      <c r="T80" t="s">
        <v>40</v>
      </c>
      <c r="U80">
        <v>2</v>
      </c>
      <c r="V80" t="s">
        <v>40</v>
      </c>
      <c r="W80" t="s">
        <v>57</v>
      </c>
      <c r="X80" t="s">
        <v>37</v>
      </c>
      <c r="Y80" t="s">
        <v>47</v>
      </c>
      <c r="Z80" t="s">
        <v>37</v>
      </c>
      <c r="AA80">
        <v>2.68</v>
      </c>
      <c r="AB80" t="s">
        <v>37</v>
      </c>
      <c r="AC80">
        <v>3.15</v>
      </c>
      <c r="AD80">
        <v>11</v>
      </c>
      <c r="AE80">
        <v>35000</v>
      </c>
      <c r="AF80" t="str">
        <f>IF(Table1[[#This Row],[What is your current CGPA?]]&gt;=3.5,"High",IF(Table1[[#This Row],[What is your current CGPA?]]&gt;=2.5,"Medium","Low"))</f>
        <v>Medium</v>
      </c>
      <c r="AG80" t="str">
        <f>IF(AND(Table1[[#This Row],[Average attendance on class]]&lt;75,Table1[[#This Row],[How many hour do you study daily?]]&lt;1),"At Risk","Normal")</f>
        <v>Normal</v>
      </c>
      <c r="AH80">
        <f>(Table1[[#This Row],[Average attendance on class]]*0.4)+(Table1[[#This Row],[How many hour do you study daily?]]*10*0.3)+(Table1[[#This Row],[How many hour do you spent daily on your skill development?]]*10*0.3)</f>
        <v>58</v>
      </c>
    </row>
    <row r="81" spans="1:34" x14ac:dyDescent="0.25">
      <c r="A81">
        <v>2020</v>
      </c>
      <c r="B81" t="s">
        <v>48</v>
      </c>
      <c r="C81">
        <v>20</v>
      </c>
      <c r="D81">
        <v>2019</v>
      </c>
      <c r="E81" t="s">
        <v>35</v>
      </c>
      <c r="F81">
        <v>8</v>
      </c>
      <c r="G81" t="s">
        <v>36</v>
      </c>
      <c r="H81" t="s">
        <v>37</v>
      </c>
      <c r="I81">
        <v>1</v>
      </c>
      <c r="J81">
        <v>1</v>
      </c>
      <c r="K81" t="s">
        <v>38</v>
      </c>
      <c r="L81" t="s">
        <v>36</v>
      </c>
      <c r="M81" t="s">
        <v>36</v>
      </c>
      <c r="N81">
        <v>5</v>
      </c>
      <c r="O81" t="s">
        <v>39</v>
      </c>
      <c r="P81">
        <v>80</v>
      </c>
      <c r="Q81" t="s">
        <v>37</v>
      </c>
      <c r="R81" t="s">
        <v>37</v>
      </c>
      <c r="S81" t="s">
        <v>36</v>
      </c>
      <c r="T81" t="s">
        <v>40</v>
      </c>
      <c r="U81">
        <v>2</v>
      </c>
      <c r="V81" t="s">
        <v>40</v>
      </c>
      <c r="W81" t="s">
        <v>56</v>
      </c>
      <c r="X81" t="s">
        <v>37</v>
      </c>
      <c r="Y81" t="s">
        <v>43</v>
      </c>
      <c r="Z81" t="s">
        <v>37</v>
      </c>
      <c r="AA81">
        <v>3.49</v>
      </c>
      <c r="AB81" t="s">
        <v>37</v>
      </c>
      <c r="AC81">
        <v>3.67</v>
      </c>
      <c r="AD81">
        <v>71</v>
      </c>
      <c r="AE81">
        <v>40000</v>
      </c>
      <c r="AF81" t="str">
        <f>IF(Table1[[#This Row],[What is your current CGPA?]]&gt;=3.5,"High",IF(Table1[[#This Row],[What is your current CGPA?]]&gt;=2.5,"Medium","Low"))</f>
        <v>High</v>
      </c>
      <c r="AG81" t="str">
        <f>IF(AND(Table1[[#This Row],[Average attendance on class]]&lt;75,Table1[[#This Row],[How many hour do you study daily?]]&lt;1),"At Risk","Normal")</f>
        <v>Normal</v>
      </c>
      <c r="AH81">
        <f>(Table1[[#This Row],[Average attendance on class]]*0.4)+(Table1[[#This Row],[How many hour do you study daily?]]*10*0.3)+(Table1[[#This Row],[How many hour do you spent daily on your skill development?]]*10*0.3)</f>
        <v>41</v>
      </c>
    </row>
    <row r="82" spans="1:34" x14ac:dyDescent="0.25">
      <c r="A82">
        <v>2020</v>
      </c>
      <c r="B82" t="s">
        <v>34</v>
      </c>
      <c r="C82">
        <v>21</v>
      </c>
      <c r="D82">
        <v>2019</v>
      </c>
      <c r="E82" t="s">
        <v>35</v>
      </c>
      <c r="F82">
        <v>8</v>
      </c>
      <c r="G82" t="s">
        <v>37</v>
      </c>
      <c r="H82" t="s">
        <v>37</v>
      </c>
      <c r="I82">
        <v>4</v>
      </c>
      <c r="J82">
        <v>1</v>
      </c>
      <c r="K82" t="s">
        <v>44</v>
      </c>
      <c r="L82" t="s">
        <v>36</v>
      </c>
      <c r="M82" t="s">
        <v>36</v>
      </c>
      <c r="N82">
        <v>2</v>
      </c>
      <c r="O82" t="s">
        <v>39</v>
      </c>
      <c r="P82">
        <v>100</v>
      </c>
      <c r="Q82" t="s">
        <v>37</v>
      </c>
      <c r="R82" t="s">
        <v>37</v>
      </c>
      <c r="S82" t="s">
        <v>36</v>
      </c>
      <c r="T82" t="s">
        <v>40</v>
      </c>
      <c r="U82">
        <v>2</v>
      </c>
      <c r="V82" t="s">
        <v>51</v>
      </c>
      <c r="W82" t="s">
        <v>42</v>
      </c>
      <c r="X82" t="s">
        <v>37</v>
      </c>
      <c r="Y82" t="s">
        <v>43</v>
      </c>
      <c r="Z82" t="s">
        <v>37</v>
      </c>
      <c r="AA82">
        <v>3.07</v>
      </c>
      <c r="AB82" t="s">
        <v>37</v>
      </c>
      <c r="AC82">
        <v>2.74</v>
      </c>
      <c r="AD82">
        <v>85</v>
      </c>
      <c r="AE82">
        <v>20000</v>
      </c>
      <c r="AF82" t="str">
        <f>IF(Table1[[#This Row],[What is your current CGPA?]]&gt;=3.5,"High",IF(Table1[[#This Row],[What is your current CGPA?]]&gt;=2.5,"Medium","Low"))</f>
        <v>Medium</v>
      </c>
      <c r="AG82" t="str">
        <f>IF(AND(Table1[[#This Row],[Average attendance on class]]&lt;75,Table1[[#This Row],[How many hour do you study daily?]]&lt;1),"At Risk","Normal")</f>
        <v>Normal</v>
      </c>
      <c r="AH82">
        <f>(Table1[[#This Row],[Average attendance on class]]*0.4)+(Table1[[#This Row],[How many hour do you study daily?]]*10*0.3)+(Table1[[#This Row],[How many hour do you spent daily on your skill development?]]*10*0.3)</f>
        <v>58</v>
      </c>
    </row>
    <row r="83" spans="1:34" x14ac:dyDescent="0.25">
      <c r="A83">
        <v>2019</v>
      </c>
      <c r="B83" t="s">
        <v>34</v>
      </c>
      <c r="C83">
        <v>21</v>
      </c>
      <c r="D83">
        <v>2019</v>
      </c>
      <c r="E83" t="s">
        <v>35</v>
      </c>
      <c r="F83">
        <v>8</v>
      </c>
      <c r="G83" t="s">
        <v>37</v>
      </c>
      <c r="H83" t="s">
        <v>36</v>
      </c>
      <c r="I83">
        <v>3</v>
      </c>
      <c r="J83">
        <v>1</v>
      </c>
      <c r="K83" t="s">
        <v>38</v>
      </c>
      <c r="L83" t="s">
        <v>36</v>
      </c>
      <c r="M83" t="s">
        <v>36</v>
      </c>
      <c r="N83">
        <v>8</v>
      </c>
      <c r="O83" t="s">
        <v>39</v>
      </c>
      <c r="P83">
        <v>85</v>
      </c>
      <c r="Q83" t="s">
        <v>37</v>
      </c>
      <c r="R83" t="s">
        <v>37</v>
      </c>
      <c r="S83" t="s">
        <v>36</v>
      </c>
      <c r="T83" t="s">
        <v>58</v>
      </c>
      <c r="U83">
        <v>1</v>
      </c>
      <c r="V83" t="s">
        <v>51</v>
      </c>
      <c r="W83" t="s">
        <v>42</v>
      </c>
      <c r="X83" t="s">
        <v>37</v>
      </c>
      <c r="Y83" t="s">
        <v>47</v>
      </c>
      <c r="Z83" t="s">
        <v>37</v>
      </c>
      <c r="AA83">
        <v>2.68</v>
      </c>
      <c r="AB83" t="s">
        <v>37</v>
      </c>
      <c r="AC83">
        <v>3.15</v>
      </c>
      <c r="AD83">
        <v>88</v>
      </c>
      <c r="AE83">
        <v>20000</v>
      </c>
      <c r="AF83" t="str">
        <f>IF(Table1[[#This Row],[What is your current CGPA?]]&gt;=3.5,"High",IF(Table1[[#This Row],[What is your current CGPA?]]&gt;=2.5,"Medium","Low"))</f>
        <v>Medium</v>
      </c>
      <c r="AG83" t="str">
        <f>IF(AND(Table1[[#This Row],[Average attendance on class]]&lt;75,Table1[[#This Row],[How many hour do you study daily?]]&lt;1),"At Risk","Normal")</f>
        <v>Normal</v>
      </c>
      <c r="AH83">
        <f>(Table1[[#This Row],[Average attendance on class]]*0.4)+(Table1[[#This Row],[How many hour do you study daily?]]*10*0.3)+(Table1[[#This Row],[How many hour do you spent daily on your skill development?]]*10*0.3)</f>
        <v>46</v>
      </c>
    </row>
    <row r="84" spans="1:34" x14ac:dyDescent="0.25">
      <c r="A84">
        <v>2019</v>
      </c>
      <c r="B84" t="s">
        <v>48</v>
      </c>
      <c r="C84">
        <v>21</v>
      </c>
      <c r="D84">
        <v>2019</v>
      </c>
      <c r="E84" t="s">
        <v>35</v>
      </c>
      <c r="F84">
        <v>8</v>
      </c>
      <c r="G84" t="s">
        <v>37</v>
      </c>
      <c r="H84" t="s">
        <v>36</v>
      </c>
      <c r="I84">
        <v>3</v>
      </c>
      <c r="J84">
        <v>1</v>
      </c>
      <c r="K84" t="s">
        <v>38</v>
      </c>
      <c r="L84" t="s">
        <v>36</v>
      </c>
      <c r="M84" t="s">
        <v>36</v>
      </c>
      <c r="N84">
        <v>1</v>
      </c>
      <c r="O84" t="s">
        <v>39</v>
      </c>
      <c r="P84">
        <v>95</v>
      </c>
      <c r="Q84" t="s">
        <v>37</v>
      </c>
      <c r="R84" t="s">
        <v>37</v>
      </c>
      <c r="S84" t="s">
        <v>36</v>
      </c>
      <c r="T84" t="s">
        <v>40</v>
      </c>
      <c r="U84">
        <v>1</v>
      </c>
      <c r="V84" t="s">
        <v>51</v>
      </c>
      <c r="W84" t="s">
        <v>42</v>
      </c>
      <c r="X84" t="s">
        <v>37</v>
      </c>
      <c r="Y84" t="s">
        <v>47</v>
      </c>
      <c r="Z84" t="s">
        <v>37</v>
      </c>
      <c r="AA84">
        <v>3.76</v>
      </c>
      <c r="AB84" t="s">
        <v>37</v>
      </c>
      <c r="AC84">
        <v>3.5</v>
      </c>
      <c r="AD84">
        <v>83</v>
      </c>
      <c r="AE84">
        <v>92000</v>
      </c>
      <c r="AF84" t="str">
        <f>IF(Table1[[#This Row],[What is your current CGPA?]]&gt;=3.5,"High",IF(Table1[[#This Row],[What is your current CGPA?]]&gt;=2.5,"Medium","Low"))</f>
        <v>High</v>
      </c>
      <c r="AG84" t="str">
        <f>IF(AND(Table1[[#This Row],[Average attendance on class]]&lt;75,Table1[[#This Row],[How many hour do you study daily?]]&lt;1),"At Risk","Normal")</f>
        <v>Normal</v>
      </c>
      <c r="AH84">
        <f>(Table1[[#This Row],[Average attendance on class]]*0.4)+(Table1[[#This Row],[How many hour do you study daily?]]*10*0.3)+(Table1[[#This Row],[How many hour do you spent daily on your skill development?]]*10*0.3)</f>
        <v>50</v>
      </c>
    </row>
    <row r="85" spans="1:34" x14ac:dyDescent="0.25">
      <c r="A85">
        <v>2020</v>
      </c>
      <c r="B85" t="s">
        <v>34</v>
      </c>
      <c r="C85">
        <v>22</v>
      </c>
      <c r="D85">
        <v>2019</v>
      </c>
      <c r="E85" t="s">
        <v>35</v>
      </c>
      <c r="F85">
        <v>8</v>
      </c>
      <c r="G85" t="s">
        <v>37</v>
      </c>
      <c r="H85" t="s">
        <v>36</v>
      </c>
      <c r="I85">
        <v>3</v>
      </c>
      <c r="J85">
        <v>1</v>
      </c>
      <c r="K85" t="s">
        <v>38</v>
      </c>
      <c r="L85" t="s">
        <v>37</v>
      </c>
      <c r="M85" t="s">
        <v>36</v>
      </c>
      <c r="N85">
        <v>1</v>
      </c>
      <c r="O85" t="s">
        <v>39</v>
      </c>
      <c r="P85">
        <v>98</v>
      </c>
      <c r="Q85" t="s">
        <v>37</v>
      </c>
      <c r="R85" t="s">
        <v>37</v>
      </c>
      <c r="S85" t="s">
        <v>37</v>
      </c>
      <c r="T85" t="s">
        <v>40</v>
      </c>
      <c r="U85">
        <v>2</v>
      </c>
      <c r="V85" t="s">
        <v>40</v>
      </c>
      <c r="W85" t="s">
        <v>42</v>
      </c>
      <c r="X85" t="s">
        <v>37</v>
      </c>
      <c r="Y85" t="s">
        <v>47</v>
      </c>
      <c r="Z85" t="s">
        <v>37</v>
      </c>
      <c r="AA85">
        <v>2.7</v>
      </c>
      <c r="AB85" t="s">
        <v>37</v>
      </c>
      <c r="AC85">
        <v>2.8</v>
      </c>
      <c r="AD85">
        <v>80</v>
      </c>
      <c r="AE85">
        <v>35000</v>
      </c>
      <c r="AF85" t="str">
        <f>IF(Table1[[#This Row],[What is your current CGPA?]]&gt;=3.5,"High",IF(Table1[[#This Row],[What is your current CGPA?]]&gt;=2.5,"Medium","Low"))</f>
        <v>Medium</v>
      </c>
      <c r="AG85" t="str">
        <f>IF(AND(Table1[[#This Row],[Average attendance on class]]&lt;75,Table1[[#This Row],[How many hour do you study daily?]]&lt;1),"At Risk","Normal")</f>
        <v>Normal</v>
      </c>
      <c r="AH85">
        <f>(Table1[[#This Row],[Average attendance on class]]*0.4)+(Table1[[#This Row],[How many hour do you study daily?]]*10*0.3)+(Table1[[#This Row],[How many hour do you spent daily on your skill development?]]*10*0.3)</f>
        <v>54.2</v>
      </c>
    </row>
    <row r="86" spans="1:34" x14ac:dyDescent="0.25">
      <c r="A86">
        <v>2020</v>
      </c>
      <c r="B86" t="s">
        <v>34</v>
      </c>
      <c r="C86">
        <v>22</v>
      </c>
      <c r="D86">
        <v>2019</v>
      </c>
      <c r="E86" t="s">
        <v>35</v>
      </c>
      <c r="F86">
        <v>8</v>
      </c>
      <c r="G86" t="s">
        <v>37</v>
      </c>
      <c r="H86" t="s">
        <v>37</v>
      </c>
      <c r="I86">
        <v>2</v>
      </c>
      <c r="J86">
        <v>1</v>
      </c>
      <c r="K86" t="s">
        <v>38</v>
      </c>
      <c r="L86" t="s">
        <v>36</v>
      </c>
      <c r="M86" t="s">
        <v>36</v>
      </c>
      <c r="N86">
        <v>2</v>
      </c>
      <c r="O86" t="s">
        <v>39</v>
      </c>
      <c r="P86">
        <v>95</v>
      </c>
      <c r="Q86" t="s">
        <v>37</v>
      </c>
      <c r="R86" t="s">
        <v>37</v>
      </c>
      <c r="S86" t="s">
        <v>37</v>
      </c>
      <c r="T86" t="s">
        <v>40</v>
      </c>
      <c r="U86">
        <v>2</v>
      </c>
      <c r="V86" t="s">
        <v>51</v>
      </c>
      <c r="W86" t="s">
        <v>42</v>
      </c>
      <c r="X86" t="s">
        <v>37</v>
      </c>
      <c r="Y86" t="s">
        <v>43</v>
      </c>
      <c r="Z86" t="s">
        <v>37</v>
      </c>
      <c r="AA86">
        <v>2.68</v>
      </c>
      <c r="AB86" t="s">
        <v>37</v>
      </c>
      <c r="AC86">
        <v>3.15</v>
      </c>
      <c r="AD86">
        <v>88</v>
      </c>
      <c r="AE86">
        <v>20000</v>
      </c>
      <c r="AF86" t="str">
        <f>IF(Table1[[#This Row],[What is your current CGPA?]]&gt;=3.5,"High",IF(Table1[[#This Row],[What is your current CGPA?]]&gt;=2.5,"Medium","Low"))</f>
        <v>Medium</v>
      </c>
      <c r="AG86" t="str">
        <f>IF(AND(Table1[[#This Row],[Average attendance on class]]&lt;75,Table1[[#This Row],[How many hour do you study daily?]]&lt;1),"At Risk","Normal")</f>
        <v>Normal</v>
      </c>
      <c r="AH86">
        <f>(Table1[[#This Row],[Average attendance on class]]*0.4)+(Table1[[#This Row],[How many hour do you study daily?]]*10*0.3)+(Table1[[#This Row],[How many hour do you spent daily on your skill development?]]*10*0.3)</f>
        <v>50</v>
      </c>
    </row>
    <row r="87" spans="1:34" x14ac:dyDescent="0.25">
      <c r="A87">
        <v>2020</v>
      </c>
      <c r="B87" t="s">
        <v>34</v>
      </c>
      <c r="C87">
        <v>23</v>
      </c>
      <c r="D87">
        <v>2017</v>
      </c>
      <c r="E87" t="s">
        <v>35</v>
      </c>
      <c r="F87">
        <v>8</v>
      </c>
      <c r="G87" t="s">
        <v>37</v>
      </c>
      <c r="H87" t="s">
        <v>36</v>
      </c>
      <c r="I87">
        <v>1</v>
      </c>
      <c r="J87">
        <v>1</v>
      </c>
      <c r="K87" t="s">
        <v>44</v>
      </c>
      <c r="L87" t="s">
        <v>36</v>
      </c>
      <c r="M87" t="s">
        <v>36</v>
      </c>
      <c r="N87">
        <v>1</v>
      </c>
      <c r="O87" t="s">
        <v>39</v>
      </c>
      <c r="P87">
        <v>99</v>
      </c>
      <c r="Q87" t="s">
        <v>37</v>
      </c>
      <c r="R87" t="s">
        <v>37</v>
      </c>
      <c r="S87" t="s">
        <v>36</v>
      </c>
      <c r="T87" t="s">
        <v>40</v>
      </c>
      <c r="U87">
        <v>2</v>
      </c>
      <c r="V87" t="s">
        <v>40</v>
      </c>
      <c r="W87" t="s">
        <v>42</v>
      </c>
      <c r="X87" t="s">
        <v>36</v>
      </c>
      <c r="Y87" t="s">
        <v>47</v>
      </c>
      <c r="Z87" t="s">
        <v>37</v>
      </c>
      <c r="AA87">
        <v>2.68</v>
      </c>
      <c r="AB87" t="s">
        <v>37</v>
      </c>
      <c r="AC87">
        <v>3.15</v>
      </c>
      <c r="AD87">
        <v>88</v>
      </c>
      <c r="AE87">
        <v>15000</v>
      </c>
      <c r="AF87" t="str">
        <f>IF(Table1[[#This Row],[What is your current CGPA?]]&gt;=3.5,"High",IF(Table1[[#This Row],[What is your current CGPA?]]&gt;=2.5,"Medium","Low"))</f>
        <v>Medium</v>
      </c>
      <c r="AG87" t="str">
        <f>IF(AND(Table1[[#This Row],[Average attendance on class]]&lt;75,Table1[[#This Row],[How many hour do you study daily?]]&lt;1),"At Risk","Normal")</f>
        <v>Normal</v>
      </c>
      <c r="AH87">
        <f>(Table1[[#This Row],[Average attendance on class]]*0.4)+(Table1[[#This Row],[How many hour do you study daily?]]*10*0.3)+(Table1[[#This Row],[How many hour do you spent daily on your skill development?]]*10*0.3)</f>
        <v>48.6</v>
      </c>
    </row>
    <row r="88" spans="1:34" x14ac:dyDescent="0.25">
      <c r="A88">
        <v>2020</v>
      </c>
      <c r="B88" t="s">
        <v>34</v>
      </c>
      <c r="C88">
        <v>23</v>
      </c>
      <c r="D88">
        <v>2017</v>
      </c>
      <c r="E88" t="s">
        <v>35</v>
      </c>
      <c r="F88">
        <v>8</v>
      </c>
      <c r="G88" t="s">
        <v>36</v>
      </c>
      <c r="H88" t="s">
        <v>36</v>
      </c>
      <c r="I88">
        <v>2</v>
      </c>
      <c r="J88">
        <v>1</v>
      </c>
      <c r="K88" t="s">
        <v>44</v>
      </c>
      <c r="L88" t="s">
        <v>36</v>
      </c>
      <c r="M88" t="s">
        <v>36</v>
      </c>
      <c r="N88">
        <v>1</v>
      </c>
      <c r="O88" t="s">
        <v>39</v>
      </c>
      <c r="P88">
        <v>96</v>
      </c>
      <c r="Q88" t="s">
        <v>37</v>
      </c>
      <c r="R88" t="s">
        <v>37</v>
      </c>
      <c r="S88" t="s">
        <v>37</v>
      </c>
      <c r="T88" t="s">
        <v>51</v>
      </c>
      <c r="U88">
        <v>2</v>
      </c>
      <c r="V88" t="s">
        <v>51</v>
      </c>
      <c r="W88" t="s">
        <v>42</v>
      </c>
      <c r="X88" t="s">
        <v>36</v>
      </c>
      <c r="Y88" t="s">
        <v>47</v>
      </c>
      <c r="Z88" t="s">
        <v>37</v>
      </c>
      <c r="AA88">
        <v>2.68</v>
      </c>
      <c r="AB88" t="s">
        <v>37</v>
      </c>
      <c r="AC88">
        <v>3.15</v>
      </c>
      <c r="AD88">
        <v>88</v>
      </c>
      <c r="AE88">
        <v>30000</v>
      </c>
      <c r="AF88" t="str">
        <f>IF(Table1[[#This Row],[What is your current CGPA?]]&gt;=3.5,"High",IF(Table1[[#This Row],[What is your current CGPA?]]&gt;=2.5,"Medium","Low"))</f>
        <v>Medium</v>
      </c>
      <c r="AG88" t="str">
        <f>IF(AND(Table1[[#This Row],[Average attendance on class]]&lt;75,Table1[[#This Row],[How many hour do you study daily?]]&lt;1),"At Risk","Normal")</f>
        <v>Normal</v>
      </c>
      <c r="AH88">
        <f>(Table1[[#This Row],[Average attendance on class]]*0.4)+(Table1[[#This Row],[How many hour do you study daily?]]*10*0.3)+(Table1[[#This Row],[How many hour do you spent daily on your skill development?]]*10*0.3)</f>
        <v>50.400000000000006</v>
      </c>
    </row>
    <row r="89" spans="1:34" x14ac:dyDescent="0.25">
      <c r="A89">
        <v>2022</v>
      </c>
      <c r="B89" t="s">
        <v>34</v>
      </c>
      <c r="C89">
        <v>21</v>
      </c>
      <c r="D89">
        <v>2020</v>
      </c>
      <c r="E89" t="s">
        <v>35</v>
      </c>
      <c r="F89">
        <v>2</v>
      </c>
      <c r="G89" t="s">
        <v>37</v>
      </c>
      <c r="H89" t="s">
        <v>36</v>
      </c>
      <c r="I89">
        <v>3</v>
      </c>
      <c r="J89">
        <v>1</v>
      </c>
      <c r="K89" t="s">
        <v>38</v>
      </c>
      <c r="L89" t="s">
        <v>36</v>
      </c>
      <c r="M89" t="s">
        <v>36</v>
      </c>
      <c r="N89">
        <v>1</v>
      </c>
      <c r="O89" t="s">
        <v>39</v>
      </c>
      <c r="P89">
        <v>95</v>
      </c>
      <c r="Q89" t="s">
        <v>37</v>
      </c>
      <c r="R89" t="s">
        <v>37</v>
      </c>
      <c r="S89" t="s">
        <v>36</v>
      </c>
      <c r="T89" t="s">
        <v>40</v>
      </c>
      <c r="U89">
        <v>2</v>
      </c>
      <c r="V89" t="s">
        <v>40</v>
      </c>
      <c r="W89" t="s">
        <v>42</v>
      </c>
      <c r="X89" t="s">
        <v>36</v>
      </c>
      <c r="Y89" t="s">
        <v>47</v>
      </c>
      <c r="Z89" t="s">
        <v>37</v>
      </c>
      <c r="AA89">
        <v>3.65</v>
      </c>
      <c r="AB89" t="s">
        <v>37</v>
      </c>
      <c r="AC89">
        <v>3.15</v>
      </c>
      <c r="AD89">
        <v>11</v>
      </c>
      <c r="AE89">
        <v>45000</v>
      </c>
      <c r="AF89" t="str">
        <f>IF(Table1[[#This Row],[What is your current CGPA?]]&gt;=3.5,"High",IF(Table1[[#This Row],[What is your current CGPA?]]&gt;=2.5,"Medium","Low"))</f>
        <v>Medium</v>
      </c>
      <c r="AG89" t="str">
        <f>IF(AND(Table1[[#This Row],[Average attendance on class]]&lt;75,Table1[[#This Row],[How many hour do you study daily?]]&lt;1),"At Risk","Normal")</f>
        <v>Normal</v>
      </c>
      <c r="AH89">
        <f>(Table1[[#This Row],[Average attendance on class]]*0.4)+(Table1[[#This Row],[How many hour do you study daily?]]*10*0.3)+(Table1[[#This Row],[How many hour do you spent daily on your skill development?]]*10*0.3)</f>
        <v>53</v>
      </c>
    </row>
    <row r="90" spans="1:34" x14ac:dyDescent="0.25">
      <c r="A90">
        <v>2020</v>
      </c>
      <c r="B90" t="s">
        <v>34</v>
      </c>
      <c r="C90">
        <v>22</v>
      </c>
      <c r="D90">
        <v>2019</v>
      </c>
      <c r="E90" t="s">
        <v>35</v>
      </c>
      <c r="F90">
        <v>8</v>
      </c>
      <c r="G90" t="s">
        <v>37</v>
      </c>
      <c r="H90" t="s">
        <v>36</v>
      </c>
      <c r="I90">
        <v>1</v>
      </c>
      <c r="J90">
        <v>1</v>
      </c>
      <c r="K90" t="s">
        <v>38</v>
      </c>
      <c r="L90" t="s">
        <v>36</v>
      </c>
      <c r="M90" t="s">
        <v>36</v>
      </c>
      <c r="N90">
        <v>15</v>
      </c>
      <c r="O90" t="s">
        <v>39</v>
      </c>
      <c r="P90">
        <v>100</v>
      </c>
      <c r="Q90" t="s">
        <v>37</v>
      </c>
      <c r="R90" t="s">
        <v>37</v>
      </c>
      <c r="S90" t="s">
        <v>36</v>
      </c>
      <c r="T90" t="s">
        <v>40</v>
      </c>
      <c r="U90">
        <v>1</v>
      </c>
      <c r="V90" t="s">
        <v>59</v>
      </c>
      <c r="W90" t="s">
        <v>50</v>
      </c>
      <c r="X90" t="s">
        <v>37</v>
      </c>
      <c r="Y90" t="s">
        <v>47</v>
      </c>
      <c r="Z90" t="s">
        <v>37</v>
      </c>
      <c r="AA90">
        <v>2.68</v>
      </c>
      <c r="AB90" t="s">
        <v>37</v>
      </c>
      <c r="AC90">
        <v>3.15</v>
      </c>
      <c r="AD90">
        <v>88</v>
      </c>
      <c r="AE90">
        <v>90000</v>
      </c>
      <c r="AF90" t="str">
        <f>IF(Table1[[#This Row],[What is your current CGPA?]]&gt;=3.5,"High",IF(Table1[[#This Row],[What is your current CGPA?]]&gt;=2.5,"Medium","Low"))</f>
        <v>Medium</v>
      </c>
      <c r="AG90" t="str">
        <f>IF(AND(Table1[[#This Row],[Average attendance on class]]&lt;75,Table1[[#This Row],[How many hour do you study daily?]]&lt;1),"At Risk","Normal")</f>
        <v>Normal</v>
      </c>
      <c r="AH90">
        <f>(Table1[[#This Row],[Average attendance on class]]*0.4)+(Table1[[#This Row],[How many hour do you study daily?]]*10*0.3)+(Table1[[#This Row],[How many hour do you spent daily on your skill development?]]*10*0.3)</f>
        <v>46</v>
      </c>
    </row>
    <row r="91" spans="1:34" x14ac:dyDescent="0.25">
      <c r="A91">
        <v>2020</v>
      </c>
      <c r="B91" t="s">
        <v>48</v>
      </c>
      <c r="C91">
        <v>21</v>
      </c>
      <c r="D91">
        <v>2019</v>
      </c>
      <c r="E91" t="s">
        <v>35</v>
      </c>
      <c r="F91">
        <v>8</v>
      </c>
      <c r="G91" t="s">
        <v>37</v>
      </c>
      <c r="H91" t="s">
        <v>37</v>
      </c>
      <c r="I91">
        <v>2</v>
      </c>
      <c r="J91">
        <v>2</v>
      </c>
      <c r="K91" t="s">
        <v>38</v>
      </c>
      <c r="L91" t="s">
        <v>36</v>
      </c>
      <c r="M91" t="s">
        <v>36</v>
      </c>
      <c r="N91">
        <v>2</v>
      </c>
      <c r="O91" t="s">
        <v>45</v>
      </c>
      <c r="P91">
        <v>80</v>
      </c>
      <c r="Q91" t="s">
        <v>37</v>
      </c>
      <c r="R91" t="s">
        <v>37</v>
      </c>
      <c r="S91" t="s">
        <v>37</v>
      </c>
      <c r="T91" t="s">
        <v>40</v>
      </c>
      <c r="U91">
        <v>1</v>
      </c>
      <c r="V91" t="s">
        <v>52</v>
      </c>
      <c r="W91" t="s">
        <v>42</v>
      </c>
      <c r="X91" t="s">
        <v>37</v>
      </c>
      <c r="Y91" t="s">
        <v>47</v>
      </c>
      <c r="Z91" t="s">
        <v>37</v>
      </c>
      <c r="AA91">
        <v>2.68</v>
      </c>
      <c r="AB91" t="s">
        <v>37</v>
      </c>
      <c r="AC91">
        <v>3.15</v>
      </c>
      <c r="AD91">
        <v>88</v>
      </c>
      <c r="AE91">
        <v>35000</v>
      </c>
      <c r="AF91" t="str">
        <f>IF(Table1[[#This Row],[What is your current CGPA?]]&gt;=3.5,"High",IF(Table1[[#This Row],[What is your current CGPA?]]&gt;=2.5,"Medium","Low"))</f>
        <v>Medium</v>
      </c>
      <c r="AG91" t="str">
        <f>IF(AND(Table1[[#This Row],[Average attendance on class]]&lt;75,Table1[[#This Row],[How many hour do you study daily?]]&lt;1),"At Risk","Normal")</f>
        <v>Normal</v>
      </c>
      <c r="AH91">
        <f>(Table1[[#This Row],[Average attendance on class]]*0.4)+(Table1[[#This Row],[How many hour do you study daily?]]*10*0.3)+(Table1[[#This Row],[How many hour do you spent daily on your skill development?]]*10*0.3)</f>
        <v>41</v>
      </c>
    </row>
    <row r="92" spans="1:34" x14ac:dyDescent="0.25">
      <c r="A92">
        <v>2020</v>
      </c>
      <c r="B92" t="s">
        <v>34</v>
      </c>
      <c r="C92">
        <v>20</v>
      </c>
      <c r="D92">
        <v>2019</v>
      </c>
      <c r="E92" t="s">
        <v>35</v>
      </c>
      <c r="F92">
        <v>8</v>
      </c>
      <c r="G92" t="s">
        <v>36</v>
      </c>
      <c r="H92" t="s">
        <v>36</v>
      </c>
      <c r="I92">
        <v>2</v>
      </c>
      <c r="J92">
        <v>1</v>
      </c>
      <c r="K92" t="s">
        <v>44</v>
      </c>
      <c r="L92" t="s">
        <v>36</v>
      </c>
      <c r="M92" t="s">
        <v>36</v>
      </c>
      <c r="N92">
        <v>3</v>
      </c>
      <c r="O92" t="s">
        <v>45</v>
      </c>
      <c r="P92">
        <v>95</v>
      </c>
      <c r="Q92" t="s">
        <v>37</v>
      </c>
      <c r="R92" t="s">
        <v>37</v>
      </c>
      <c r="S92" t="s">
        <v>37</v>
      </c>
      <c r="T92" t="s">
        <v>40</v>
      </c>
      <c r="U92">
        <v>3</v>
      </c>
      <c r="V92" t="s">
        <v>40</v>
      </c>
      <c r="W92" t="s">
        <v>42</v>
      </c>
      <c r="X92" t="s">
        <v>37</v>
      </c>
      <c r="Y92" t="s">
        <v>43</v>
      </c>
      <c r="Z92" t="s">
        <v>37</v>
      </c>
      <c r="AA92">
        <v>2.68</v>
      </c>
      <c r="AB92" t="s">
        <v>37</v>
      </c>
      <c r="AC92">
        <v>3.15</v>
      </c>
      <c r="AD92">
        <v>88</v>
      </c>
      <c r="AE92">
        <v>20000</v>
      </c>
      <c r="AF92" t="str">
        <f>IF(Table1[[#This Row],[What is your current CGPA?]]&gt;=3.5,"High",IF(Table1[[#This Row],[What is your current CGPA?]]&gt;=2.5,"Medium","Low"))</f>
        <v>Medium</v>
      </c>
      <c r="AG92" t="str">
        <f>IF(AND(Table1[[#This Row],[Average attendance on class]]&lt;75,Table1[[#This Row],[How many hour do you study daily?]]&lt;1),"At Risk","Normal")</f>
        <v>Normal</v>
      </c>
      <c r="AH92">
        <f>(Table1[[#This Row],[Average attendance on class]]*0.4)+(Table1[[#This Row],[How many hour do you study daily?]]*10*0.3)+(Table1[[#This Row],[How many hour do you spent daily on your skill development?]]*10*0.3)</f>
        <v>53</v>
      </c>
    </row>
    <row r="93" spans="1:34" x14ac:dyDescent="0.25">
      <c r="A93">
        <v>2021</v>
      </c>
      <c r="B93" t="s">
        <v>34</v>
      </c>
      <c r="C93">
        <v>21</v>
      </c>
      <c r="D93">
        <v>2020</v>
      </c>
      <c r="E93" t="s">
        <v>35</v>
      </c>
      <c r="F93">
        <v>2</v>
      </c>
      <c r="G93" t="s">
        <v>36</v>
      </c>
      <c r="H93" t="s">
        <v>36</v>
      </c>
      <c r="I93">
        <v>4</v>
      </c>
      <c r="J93">
        <v>2</v>
      </c>
      <c r="K93" t="s">
        <v>38</v>
      </c>
      <c r="L93" t="s">
        <v>36</v>
      </c>
      <c r="M93" t="s">
        <v>36</v>
      </c>
      <c r="N93">
        <v>2</v>
      </c>
      <c r="O93" t="s">
        <v>39</v>
      </c>
      <c r="P93">
        <v>88</v>
      </c>
      <c r="Q93" t="s">
        <v>37</v>
      </c>
      <c r="R93" t="s">
        <v>37</v>
      </c>
      <c r="S93" t="s">
        <v>36</v>
      </c>
      <c r="T93" t="s">
        <v>40</v>
      </c>
      <c r="U93">
        <v>2</v>
      </c>
      <c r="V93" t="s">
        <v>40</v>
      </c>
      <c r="W93" t="s">
        <v>42</v>
      </c>
      <c r="X93" t="s">
        <v>36</v>
      </c>
      <c r="Y93" t="s">
        <v>43</v>
      </c>
      <c r="Z93" t="s">
        <v>37</v>
      </c>
      <c r="AA93">
        <v>2.68</v>
      </c>
      <c r="AB93" t="s">
        <v>37</v>
      </c>
      <c r="AC93">
        <v>3.15</v>
      </c>
      <c r="AD93">
        <v>11</v>
      </c>
      <c r="AE93">
        <v>100000</v>
      </c>
      <c r="AF93" t="str">
        <f>IF(Table1[[#This Row],[What is your current CGPA?]]&gt;=3.5,"High",IF(Table1[[#This Row],[What is your current CGPA?]]&gt;=2.5,"Medium","Low"))</f>
        <v>Medium</v>
      </c>
      <c r="AG93" t="str">
        <f>IF(AND(Table1[[#This Row],[Average attendance on class]]&lt;75,Table1[[#This Row],[How many hour do you study daily?]]&lt;1),"At Risk","Normal")</f>
        <v>Normal</v>
      </c>
      <c r="AH93">
        <f>(Table1[[#This Row],[Average attendance on class]]*0.4)+(Table1[[#This Row],[How many hour do you study daily?]]*10*0.3)+(Table1[[#This Row],[How many hour do you spent daily on your skill development?]]*10*0.3)</f>
        <v>53.2</v>
      </c>
    </row>
    <row r="94" spans="1:34" x14ac:dyDescent="0.25">
      <c r="A94">
        <v>2019</v>
      </c>
      <c r="B94" t="s">
        <v>34</v>
      </c>
      <c r="C94">
        <v>23</v>
      </c>
      <c r="D94">
        <v>2018</v>
      </c>
      <c r="E94" t="s">
        <v>35</v>
      </c>
      <c r="F94">
        <v>11</v>
      </c>
      <c r="G94" t="s">
        <v>36</v>
      </c>
      <c r="H94" t="s">
        <v>37</v>
      </c>
      <c r="I94">
        <v>6</v>
      </c>
      <c r="J94">
        <v>2</v>
      </c>
      <c r="K94" t="s">
        <v>38</v>
      </c>
      <c r="L94" t="s">
        <v>36</v>
      </c>
      <c r="M94" t="s">
        <v>36</v>
      </c>
      <c r="N94">
        <v>3</v>
      </c>
      <c r="O94" t="s">
        <v>39</v>
      </c>
      <c r="P94">
        <v>100</v>
      </c>
      <c r="Q94" t="s">
        <v>37</v>
      </c>
      <c r="R94" t="s">
        <v>37</v>
      </c>
      <c r="S94" t="s">
        <v>37</v>
      </c>
      <c r="T94" t="s">
        <v>40</v>
      </c>
      <c r="U94">
        <v>2</v>
      </c>
      <c r="V94" t="s">
        <v>40</v>
      </c>
      <c r="W94" t="s">
        <v>42</v>
      </c>
      <c r="X94" t="s">
        <v>36</v>
      </c>
      <c r="Y94" t="s">
        <v>43</v>
      </c>
      <c r="Z94" t="s">
        <v>37</v>
      </c>
      <c r="AA94">
        <v>3.84</v>
      </c>
      <c r="AB94" t="s">
        <v>37</v>
      </c>
      <c r="AC94">
        <v>3.1</v>
      </c>
      <c r="AD94">
        <v>73</v>
      </c>
      <c r="AE94">
        <v>30000</v>
      </c>
      <c r="AF94" t="str">
        <f>IF(Table1[[#This Row],[What is your current CGPA?]]&gt;=3.5,"High",IF(Table1[[#This Row],[What is your current CGPA?]]&gt;=2.5,"Medium","Low"))</f>
        <v>Medium</v>
      </c>
      <c r="AG94" t="str">
        <f>IF(AND(Table1[[#This Row],[Average attendance on class]]&lt;75,Table1[[#This Row],[How many hour do you study daily?]]&lt;1),"At Risk","Normal")</f>
        <v>Normal</v>
      </c>
      <c r="AH94">
        <f>(Table1[[#This Row],[Average attendance on class]]*0.4)+(Table1[[#This Row],[How many hour do you study daily?]]*10*0.3)+(Table1[[#This Row],[How many hour do you spent daily on your skill development?]]*10*0.3)</f>
        <v>64</v>
      </c>
    </row>
    <row r="95" spans="1:34" x14ac:dyDescent="0.25">
      <c r="A95">
        <v>2022</v>
      </c>
      <c r="B95" t="s">
        <v>48</v>
      </c>
      <c r="C95">
        <v>20</v>
      </c>
      <c r="D95">
        <v>2020</v>
      </c>
      <c r="E95" t="s">
        <v>35</v>
      </c>
      <c r="F95">
        <v>2</v>
      </c>
      <c r="G95" t="s">
        <v>37</v>
      </c>
      <c r="H95" t="s">
        <v>37</v>
      </c>
      <c r="I95">
        <v>2</v>
      </c>
      <c r="J95">
        <v>1</v>
      </c>
      <c r="K95" t="s">
        <v>38</v>
      </c>
      <c r="L95" t="s">
        <v>36</v>
      </c>
      <c r="M95" t="s">
        <v>36</v>
      </c>
      <c r="N95">
        <v>6</v>
      </c>
      <c r="O95" t="s">
        <v>39</v>
      </c>
      <c r="P95">
        <v>80</v>
      </c>
      <c r="Q95" t="s">
        <v>36</v>
      </c>
      <c r="R95" t="s">
        <v>37</v>
      </c>
      <c r="S95" t="s">
        <v>37</v>
      </c>
      <c r="T95" t="s">
        <v>40</v>
      </c>
      <c r="U95">
        <v>2</v>
      </c>
      <c r="V95" t="s">
        <v>40</v>
      </c>
      <c r="W95" t="s">
        <v>42</v>
      </c>
      <c r="X95" t="s">
        <v>37</v>
      </c>
      <c r="Y95" t="s">
        <v>43</v>
      </c>
      <c r="Z95" t="s">
        <v>37</v>
      </c>
      <c r="AA95">
        <v>2.68</v>
      </c>
      <c r="AB95" t="s">
        <v>37</v>
      </c>
      <c r="AC95">
        <v>3.15</v>
      </c>
      <c r="AD95">
        <v>11</v>
      </c>
      <c r="AE95">
        <v>70000</v>
      </c>
      <c r="AF95" t="str">
        <f>IF(Table1[[#This Row],[What is your current CGPA?]]&gt;=3.5,"High",IF(Table1[[#This Row],[What is your current CGPA?]]&gt;=2.5,"Medium","Low"))</f>
        <v>Medium</v>
      </c>
      <c r="AG95" t="str">
        <f>IF(AND(Table1[[#This Row],[Average attendance on class]]&lt;75,Table1[[#This Row],[How many hour do you study daily?]]&lt;1),"At Risk","Normal")</f>
        <v>Normal</v>
      </c>
      <c r="AH95">
        <f>(Table1[[#This Row],[Average attendance on class]]*0.4)+(Table1[[#This Row],[How many hour do you study daily?]]*10*0.3)+(Table1[[#This Row],[How many hour do you spent daily on your skill development?]]*10*0.3)</f>
        <v>44</v>
      </c>
    </row>
    <row r="96" spans="1:34" x14ac:dyDescent="0.25">
      <c r="A96">
        <v>2018</v>
      </c>
      <c r="B96" t="s">
        <v>48</v>
      </c>
      <c r="C96">
        <v>24</v>
      </c>
      <c r="D96">
        <v>2016</v>
      </c>
      <c r="E96" t="s">
        <v>35</v>
      </c>
      <c r="F96">
        <v>10</v>
      </c>
      <c r="G96" t="s">
        <v>37</v>
      </c>
      <c r="H96" t="s">
        <v>36</v>
      </c>
      <c r="I96">
        <v>2</v>
      </c>
      <c r="J96">
        <v>1</v>
      </c>
      <c r="K96" t="s">
        <v>44</v>
      </c>
      <c r="L96" t="s">
        <v>36</v>
      </c>
      <c r="M96" t="s">
        <v>36</v>
      </c>
      <c r="N96">
        <v>4</v>
      </c>
      <c r="O96" t="s">
        <v>45</v>
      </c>
      <c r="P96">
        <v>90</v>
      </c>
      <c r="Q96" t="s">
        <v>36</v>
      </c>
      <c r="R96" t="s">
        <v>37</v>
      </c>
      <c r="S96" t="s">
        <v>37</v>
      </c>
      <c r="T96" t="s">
        <v>40</v>
      </c>
      <c r="U96">
        <v>4</v>
      </c>
      <c r="V96" t="s">
        <v>40</v>
      </c>
      <c r="W96" t="s">
        <v>42</v>
      </c>
      <c r="X96" t="s">
        <v>37</v>
      </c>
      <c r="Y96" t="s">
        <v>47</v>
      </c>
      <c r="Z96" t="s">
        <v>37</v>
      </c>
      <c r="AA96">
        <v>2.68</v>
      </c>
      <c r="AB96" t="s">
        <v>37</v>
      </c>
      <c r="AC96">
        <v>3.15</v>
      </c>
      <c r="AD96">
        <v>113</v>
      </c>
      <c r="AE96">
        <v>40000</v>
      </c>
      <c r="AF96" t="str">
        <f>IF(Table1[[#This Row],[What is your current CGPA?]]&gt;=3.5,"High",IF(Table1[[#This Row],[What is your current CGPA?]]&gt;=2.5,"Medium","Low"))</f>
        <v>Medium</v>
      </c>
      <c r="AG96" t="str">
        <f>IF(AND(Table1[[#This Row],[Average attendance on class]]&lt;75,Table1[[#This Row],[How many hour do you study daily?]]&lt;1),"At Risk","Normal")</f>
        <v>Normal</v>
      </c>
      <c r="AH96">
        <f>(Table1[[#This Row],[Average attendance on class]]*0.4)+(Table1[[#This Row],[How many hour do you study daily?]]*10*0.3)+(Table1[[#This Row],[How many hour do you spent daily on your skill development?]]*10*0.3)</f>
        <v>54</v>
      </c>
    </row>
    <row r="97" spans="1:34" x14ac:dyDescent="0.25">
      <c r="A97">
        <v>2022</v>
      </c>
      <c r="B97" t="s">
        <v>48</v>
      </c>
      <c r="C97">
        <v>21</v>
      </c>
      <c r="D97">
        <v>2020</v>
      </c>
      <c r="E97" t="s">
        <v>35</v>
      </c>
      <c r="F97">
        <v>2</v>
      </c>
      <c r="G97" t="s">
        <v>36</v>
      </c>
      <c r="H97" t="s">
        <v>37</v>
      </c>
      <c r="I97">
        <v>2</v>
      </c>
      <c r="J97">
        <v>4</v>
      </c>
      <c r="K97" t="s">
        <v>38</v>
      </c>
      <c r="L97" t="s">
        <v>36</v>
      </c>
      <c r="M97" t="s">
        <v>36</v>
      </c>
      <c r="N97">
        <v>1</v>
      </c>
      <c r="O97" t="s">
        <v>45</v>
      </c>
      <c r="P97">
        <v>100</v>
      </c>
      <c r="Q97" t="s">
        <v>37</v>
      </c>
      <c r="R97" t="s">
        <v>37</v>
      </c>
      <c r="S97" t="s">
        <v>36</v>
      </c>
      <c r="T97" t="s">
        <v>40</v>
      </c>
      <c r="U97">
        <v>2</v>
      </c>
      <c r="V97" t="s">
        <v>40</v>
      </c>
      <c r="W97" t="s">
        <v>57</v>
      </c>
      <c r="X97" t="s">
        <v>36</v>
      </c>
      <c r="Y97" t="s">
        <v>43</v>
      </c>
      <c r="Z97" t="s">
        <v>37</v>
      </c>
      <c r="AA97">
        <v>2.68</v>
      </c>
      <c r="AB97" t="s">
        <v>37</v>
      </c>
      <c r="AC97">
        <v>3.15</v>
      </c>
      <c r="AD97">
        <v>11</v>
      </c>
      <c r="AE97">
        <v>10000</v>
      </c>
      <c r="AF97" t="str">
        <f>IF(Table1[[#This Row],[What is your current CGPA?]]&gt;=3.5,"High",IF(Table1[[#This Row],[What is your current CGPA?]]&gt;=2.5,"Medium","Low"))</f>
        <v>Medium</v>
      </c>
      <c r="AG97" t="str">
        <f>IF(AND(Table1[[#This Row],[Average attendance on class]]&lt;75,Table1[[#This Row],[How many hour do you study daily?]]&lt;1),"At Risk","Normal")</f>
        <v>Normal</v>
      </c>
      <c r="AH97">
        <f>(Table1[[#This Row],[Average attendance on class]]*0.4)+(Table1[[#This Row],[How many hour do you study daily?]]*10*0.3)+(Table1[[#This Row],[How many hour do you spent daily on your skill development?]]*10*0.3)</f>
        <v>52</v>
      </c>
    </row>
    <row r="98" spans="1:34" x14ac:dyDescent="0.25">
      <c r="A98">
        <v>2021</v>
      </c>
      <c r="B98" t="s">
        <v>34</v>
      </c>
      <c r="C98">
        <v>20</v>
      </c>
      <c r="D98">
        <v>2020</v>
      </c>
      <c r="E98" t="s">
        <v>35</v>
      </c>
      <c r="F98">
        <v>4</v>
      </c>
      <c r="G98" t="s">
        <v>36</v>
      </c>
      <c r="H98" t="s">
        <v>36</v>
      </c>
      <c r="I98">
        <v>2</v>
      </c>
      <c r="J98">
        <v>1</v>
      </c>
      <c r="K98" t="s">
        <v>38</v>
      </c>
      <c r="L98" t="s">
        <v>36</v>
      </c>
      <c r="M98" t="s">
        <v>36</v>
      </c>
      <c r="N98">
        <v>2</v>
      </c>
      <c r="O98" t="s">
        <v>53</v>
      </c>
      <c r="P98">
        <v>82</v>
      </c>
      <c r="Q98" t="s">
        <v>37</v>
      </c>
      <c r="R98" t="s">
        <v>37</v>
      </c>
      <c r="S98" t="s">
        <v>36</v>
      </c>
      <c r="T98" t="s">
        <v>40</v>
      </c>
      <c r="U98">
        <v>4</v>
      </c>
      <c r="V98" t="s">
        <v>40</v>
      </c>
      <c r="W98" t="s">
        <v>50</v>
      </c>
      <c r="X98" t="s">
        <v>37</v>
      </c>
      <c r="Y98" t="s">
        <v>43</v>
      </c>
      <c r="Z98" t="s">
        <v>37</v>
      </c>
      <c r="AA98">
        <v>2.68</v>
      </c>
      <c r="AB98" t="s">
        <v>37</v>
      </c>
      <c r="AC98">
        <v>3.15</v>
      </c>
      <c r="AD98">
        <v>36</v>
      </c>
      <c r="AE98">
        <v>40000</v>
      </c>
      <c r="AF98" t="str">
        <f>IF(Table1[[#This Row],[What is your current CGPA?]]&gt;=3.5,"High",IF(Table1[[#This Row],[What is your current CGPA?]]&gt;=2.5,"Medium","Low"))</f>
        <v>Medium</v>
      </c>
      <c r="AG98" t="str">
        <f>IF(AND(Table1[[#This Row],[Average attendance on class]]&lt;75,Table1[[#This Row],[How many hour do you study daily?]]&lt;1),"At Risk","Normal")</f>
        <v>Normal</v>
      </c>
      <c r="AH98">
        <f>(Table1[[#This Row],[Average attendance on class]]*0.4)+(Table1[[#This Row],[How many hour do you study daily?]]*10*0.3)+(Table1[[#This Row],[How many hour do you spent daily on your skill development?]]*10*0.3)</f>
        <v>50.800000000000004</v>
      </c>
    </row>
    <row r="99" spans="1:34" x14ac:dyDescent="0.25">
      <c r="A99">
        <v>2021</v>
      </c>
      <c r="B99" t="s">
        <v>34</v>
      </c>
      <c r="C99">
        <v>22</v>
      </c>
      <c r="D99">
        <v>2020</v>
      </c>
      <c r="E99" t="s">
        <v>35</v>
      </c>
      <c r="F99">
        <v>4</v>
      </c>
      <c r="G99" t="s">
        <v>36</v>
      </c>
      <c r="H99" t="s">
        <v>36</v>
      </c>
      <c r="I99">
        <v>1</v>
      </c>
      <c r="J99">
        <v>1</v>
      </c>
      <c r="K99" t="s">
        <v>38</v>
      </c>
      <c r="L99" t="s">
        <v>36</v>
      </c>
      <c r="M99" t="s">
        <v>36</v>
      </c>
      <c r="N99">
        <v>1</v>
      </c>
      <c r="O99" t="s">
        <v>39</v>
      </c>
      <c r="P99">
        <v>90</v>
      </c>
      <c r="Q99" t="s">
        <v>37</v>
      </c>
      <c r="R99" t="s">
        <v>37</v>
      </c>
      <c r="S99" t="s">
        <v>37</v>
      </c>
      <c r="T99" t="s">
        <v>40</v>
      </c>
      <c r="U99">
        <v>0</v>
      </c>
      <c r="V99" t="s">
        <v>40</v>
      </c>
      <c r="W99" t="s">
        <v>42</v>
      </c>
      <c r="X99" t="s">
        <v>37</v>
      </c>
      <c r="Y99" t="s">
        <v>47</v>
      </c>
      <c r="Z99" t="s">
        <v>37</v>
      </c>
      <c r="AA99">
        <v>2.68</v>
      </c>
      <c r="AB99" t="s">
        <v>37</v>
      </c>
      <c r="AC99">
        <v>3.15</v>
      </c>
      <c r="AD99">
        <v>36</v>
      </c>
      <c r="AE99">
        <v>20000</v>
      </c>
      <c r="AF99" t="str">
        <f>IF(Table1[[#This Row],[What is your current CGPA?]]&gt;=3.5,"High",IF(Table1[[#This Row],[What is your current CGPA?]]&gt;=2.5,"Medium","Low"))</f>
        <v>Medium</v>
      </c>
      <c r="AG99" t="str">
        <f>IF(AND(Table1[[#This Row],[Average attendance on class]]&lt;75,Table1[[#This Row],[How many hour do you study daily?]]&lt;1),"At Risk","Normal")</f>
        <v>Normal</v>
      </c>
      <c r="AH99">
        <f>(Table1[[#This Row],[Average attendance on class]]*0.4)+(Table1[[#This Row],[How many hour do you study daily?]]*10*0.3)+(Table1[[#This Row],[How many hour do you spent daily on your skill development?]]*10*0.3)</f>
        <v>39</v>
      </c>
    </row>
    <row r="100" spans="1:34" x14ac:dyDescent="0.25">
      <c r="A100">
        <v>2021</v>
      </c>
      <c r="B100" t="s">
        <v>34</v>
      </c>
      <c r="C100">
        <v>20</v>
      </c>
      <c r="D100">
        <v>2019</v>
      </c>
      <c r="E100" t="s">
        <v>35</v>
      </c>
      <c r="F100">
        <v>5</v>
      </c>
      <c r="G100" t="s">
        <v>37</v>
      </c>
      <c r="H100" t="s">
        <v>37</v>
      </c>
      <c r="I100">
        <v>3</v>
      </c>
      <c r="J100">
        <v>2</v>
      </c>
      <c r="K100" t="s">
        <v>38</v>
      </c>
      <c r="L100" t="s">
        <v>36</v>
      </c>
      <c r="M100" t="s">
        <v>36</v>
      </c>
      <c r="N100">
        <v>1</v>
      </c>
      <c r="O100" t="s">
        <v>39</v>
      </c>
      <c r="P100">
        <v>98</v>
      </c>
      <c r="Q100" t="s">
        <v>37</v>
      </c>
      <c r="R100" t="s">
        <v>37</v>
      </c>
      <c r="S100" t="s">
        <v>37</v>
      </c>
      <c r="T100" t="s">
        <v>40</v>
      </c>
      <c r="U100">
        <v>8</v>
      </c>
      <c r="V100" t="s">
        <v>52</v>
      </c>
      <c r="W100" t="s">
        <v>42</v>
      </c>
      <c r="X100" t="s">
        <v>36</v>
      </c>
      <c r="Y100" t="s">
        <v>43</v>
      </c>
      <c r="Z100" t="s">
        <v>37</v>
      </c>
      <c r="AA100">
        <v>2.68</v>
      </c>
      <c r="AB100" t="s">
        <v>37</v>
      </c>
      <c r="AC100">
        <v>3.15</v>
      </c>
      <c r="AD100">
        <v>50</v>
      </c>
      <c r="AE100">
        <v>22000</v>
      </c>
      <c r="AF100" t="str">
        <f>IF(Table1[[#This Row],[What is your current CGPA?]]&gt;=3.5,"High",IF(Table1[[#This Row],[What is your current CGPA?]]&gt;=2.5,"Medium","Low"))</f>
        <v>Medium</v>
      </c>
      <c r="AG100" t="str">
        <f>IF(AND(Table1[[#This Row],[Average attendance on class]]&lt;75,Table1[[#This Row],[How many hour do you study daily?]]&lt;1),"At Risk","Normal")</f>
        <v>Normal</v>
      </c>
      <c r="AH100">
        <f>(Table1[[#This Row],[Average attendance on class]]*0.4)+(Table1[[#This Row],[How many hour do you study daily?]]*10*0.3)+(Table1[[#This Row],[How many hour do you spent daily on your skill development?]]*10*0.3)</f>
        <v>72.2</v>
      </c>
    </row>
    <row r="101" spans="1:34" x14ac:dyDescent="0.25">
      <c r="A101">
        <v>2019</v>
      </c>
      <c r="B101" t="s">
        <v>34</v>
      </c>
      <c r="C101">
        <v>23</v>
      </c>
      <c r="D101">
        <v>2017</v>
      </c>
      <c r="E101" t="s">
        <v>35</v>
      </c>
      <c r="F101">
        <v>11</v>
      </c>
      <c r="G101" t="s">
        <v>37</v>
      </c>
      <c r="H101" t="s">
        <v>36</v>
      </c>
      <c r="I101">
        <v>3</v>
      </c>
      <c r="J101">
        <v>2</v>
      </c>
      <c r="K101" t="s">
        <v>44</v>
      </c>
      <c r="L101" t="s">
        <v>36</v>
      </c>
      <c r="M101" t="s">
        <v>36</v>
      </c>
      <c r="N101">
        <v>1</v>
      </c>
      <c r="O101" t="s">
        <v>39</v>
      </c>
      <c r="P101">
        <v>85</v>
      </c>
      <c r="Q101" t="s">
        <v>36</v>
      </c>
      <c r="R101" t="s">
        <v>37</v>
      </c>
      <c r="S101" t="s">
        <v>36</v>
      </c>
      <c r="T101" t="s">
        <v>40</v>
      </c>
      <c r="U101">
        <v>2</v>
      </c>
      <c r="V101" t="s">
        <v>40</v>
      </c>
      <c r="W101" t="s">
        <v>42</v>
      </c>
      <c r="X101" t="s">
        <v>37</v>
      </c>
      <c r="Y101" t="s">
        <v>43</v>
      </c>
      <c r="Z101" t="s">
        <v>36</v>
      </c>
      <c r="AA101">
        <v>2.68</v>
      </c>
      <c r="AB101" t="s">
        <v>37</v>
      </c>
      <c r="AC101">
        <v>3.15</v>
      </c>
      <c r="AD101">
        <v>126</v>
      </c>
      <c r="AE101">
        <v>45000</v>
      </c>
      <c r="AF101" t="str">
        <f>IF(Table1[[#This Row],[What is your current CGPA?]]&gt;=3.5,"High",IF(Table1[[#This Row],[What is your current CGPA?]]&gt;=2.5,"Medium","Low"))</f>
        <v>Medium</v>
      </c>
      <c r="AG101" t="str">
        <f>IF(AND(Table1[[#This Row],[Average attendance on class]]&lt;75,Table1[[#This Row],[How many hour do you study daily?]]&lt;1),"At Risk","Normal")</f>
        <v>Normal</v>
      </c>
      <c r="AH101">
        <f>(Table1[[#This Row],[Average attendance on class]]*0.4)+(Table1[[#This Row],[How many hour do you study daily?]]*10*0.3)+(Table1[[#This Row],[How many hour do you spent daily on your skill development?]]*10*0.3)</f>
        <v>49</v>
      </c>
    </row>
    <row r="102" spans="1:34" x14ac:dyDescent="0.25">
      <c r="A102">
        <v>2020</v>
      </c>
      <c r="B102" t="s">
        <v>48</v>
      </c>
      <c r="C102">
        <v>21</v>
      </c>
      <c r="D102">
        <v>2019</v>
      </c>
      <c r="E102" t="s">
        <v>35</v>
      </c>
      <c r="F102">
        <v>8</v>
      </c>
      <c r="G102" t="s">
        <v>37</v>
      </c>
      <c r="H102" t="s">
        <v>36</v>
      </c>
      <c r="I102">
        <v>4</v>
      </c>
      <c r="J102">
        <v>1</v>
      </c>
      <c r="K102" t="s">
        <v>38</v>
      </c>
      <c r="L102" t="s">
        <v>36</v>
      </c>
      <c r="M102" t="s">
        <v>36</v>
      </c>
      <c r="N102">
        <v>3</v>
      </c>
      <c r="O102" t="s">
        <v>39</v>
      </c>
      <c r="P102">
        <v>90</v>
      </c>
      <c r="Q102" t="s">
        <v>37</v>
      </c>
      <c r="R102" t="s">
        <v>37</v>
      </c>
      <c r="S102" t="s">
        <v>36</v>
      </c>
      <c r="T102" t="s">
        <v>40</v>
      </c>
      <c r="U102">
        <v>1</v>
      </c>
      <c r="V102" t="s">
        <v>40</v>
      </c>
      <c r="W102" t="s">
        <v>42</v>
      </c>
      <c r="X102" t="s">
        <v>37</v>
      </c>
      <c r="Y102" t="s">
        <v>47</v>
      </c>
      <c r="Z102" t="s">
        <v>37</v>
      </c>
      <c r="AA102">
        <v>2.68</v>
      </c>
      <c r="AB102" t="s">
        <v>37</v>
      </c>
      <c r="AC102">
        <v>3.15</v>
      </c>
      <c r="AD102">
        <v>88</v>
      </c>
      <c r="AE102">
        <v>40000</v>
      </c>
      <c r="AF102" t="str">
        <f>IF(Table1[[#This Row],[What is your current CGPA?]]&gt;=3.5,"High",IF(Table1[[#This Row],[What is your current CGPA?]]&gt;=2.5,"Medium","Low"))</f>
        <v>Medium</v>
      </c>
      <c r="AG102" t="str">
        <f>IF(AND(Table1[[#This Row],[Average attendance on class]]&lt;75,Table1[[#This Row],[How many hour do you study daily?]]&lt;1),"At Risk","Normal")</f>
        <v>Normal</v>
      </c>
      <c r="AH102">
        <f>(Table1[[#This Row],[Average attendance on class]]*0.4)+(Table1[[#This Row],[How many hour do you study daily?]]*10*0.3)+(Table1[[#This Row],[How many hour do you spent daily on your skill development?]]*10*0.3)</f>
        <v>51</v>
      </c>
    </row>
    <row r="103" spans="1:34" x14ac:dyDescent="0.25">
      <c r="A103">
        <v>2022</v>
      </c>
      <c r="B103" t="s">
        <v>48</v>
      </c>
      <c r="C103">
        <v>20</v>
      </c>
      <c r="D103">
        <v>2020</v>
      </c>
      <c r="E103" t="s">
        <v>35</v>
      </c>
      <c r="F103">
        <v>2</v>
      </c>
      <c r="G103" t="s">
        <v>36</v>
      </c>
      <c r="H103" t="s">
        <v>36</v>
      </c>
      <c r="I103">
        <v>2</v>
      </c>
      <c r="J103">
        <v>1</v>
      </c>
      <c r="K103" t="s">
        <v>38</v>
      </c>
      <c r="L103" t="s">
        <v>36</v>
      </c>
      <c r="M103" t="s">
        <v>36</v>
      </c>
      <c r="N103">
        <v>5</v>
      </c>
      <c r="O103" t="s">
        <v>39</v>
      </c>
      <c r="P103">
        <v>90</v>
      </c>
      <c r="Q103" t="s">
        <v>37</v>
      </c>
      <c r="R103" t="s">
        <v>37</v>
      </c>
      <c r="S103" t="s">
        <v>36</v>
      </c>
      <c r="T103" t="s">
        <v>40</v>
      </c>
      <c r="U103">
        <v>1</v>
      </c>
      <c r="V103" t="s">
        <v>40</v>
      </c>
      <c r="W103" t="s">
        <v>42</v>
      </c>
      <c r="X103" t="s">
        <v>37</v>
      </c>
      <c r="Y103" t="s">
        <v>47</v>
      </c>
      <c r="Z103" t="s">
        <v>36</v>
      </c>
      <c r="AA103">
        <v>2.68</v>
      </c>
      <c r="AB103" t="s">
        <v>37</v>
      </c>
      <c r="AC103">
        <v>3.15</v>
      </c>
      <c r="AD103">
        <v>11</v>
      </c>
      <c r="AE103">
        <v>50000</v>
      </c>
      <c r="AF103" t="str">
        <f>IF(Table1[[#This Row],[What is your current CGPA?]]&gt;=3.5,"High",IF(Table1[[#This Row],[What is your current CGPA?]]&gt;=2.5,"Medium","Low"))</f>
        <v>Medium</v>
      </c>
      <c r="AG103" t="str">
        <f>IF(AND(Table1[[#This Row],[Average attendance on class]]&lt;75,Table1[[#This Row],[How many hour do you study daily?]]&lt;1),"At Risk","Normal")</f>
        <v>Normal</v>
      </c>
      <c r="AH103">
        <f>(Table1[[#This Row],[Average attendance on class]]*0.4)+(Table1[[#This Row],[How many hour do you study daily?]]*10*0.3)+(Table1[[#This Row],[How many hour do you spent daily on your skill development?]]*10*0.3)</f>
        <v>45</v>
      </c>
    </row>
    <row r="104" spans="1:34" x14ac:dyDescent="0.25">
      <c r="A104">
        <v>2020</v>
      </c>
      <c r="B104" t="s">
        <v>48</v>
      </c>
      <c r="C104">
        <v>22</v>
      </c>
      <c r="D104">
        <v>2019</v>
      </c>
      <c r="E104" t="s">
        <v>35</v>
      </c>
      <c r="F104">
        <v>8</v>
      </c>
      <c r="G104" t="s">
        <v>36</v>
      </c>
      <c r="H104" t="s">
        <v>37</v>
      </c>
      <c r="I104">
        <v>3</v>
      </c>
      <c r="J104">
        <v>1</v>
      </c>
      <c r="K104" t="s">
        <v>38</v>
      </c>
      <c r="L104" t="s">
        <v>36</v>
      </c>
      <c r="M104" t="s">
        <v>36</v>
      </c>
      <c r="N104">
        <v>4</v>
      </c>
      <c r="O104" t="s">
        <v>39</v>
      </c>
      <c r="P104">
        <v>90</v>
      </c>
      <c r="Q104" t="s">
        <v>37</v>
      </c>
      <c r="R104" t="s">
        <v>37</v>
      </c>
      <c r="S104" t="s">
        <v>36</v>
      </c>
      <c r="T104" t="s">
        <v>40</v>
      </c>
      <c r="U104">
        <v>2</v>
      </c>
      <c r="V104" t="s">
        <v>40</v>
      </c>
      <c r="W104" t="s">
        <v>42</v>
      </c>
      <c r="X104" t="s">
        <v>37</v>
      </c>
      <c r="Y104" t="s">
        <v>43</v>
      </c>
      <c r="Z104" t="s">
        <v>37</v>
      </c>
      <c r="AA104">
        <v>2.68</v>
      </c>
      <c r="AB104" t="s">
        <v>37</v>
      </c>
      <c r="AC104">
        <v>3.15</v>
      </c>
      <c r="AD104">
        <v>88</v>
      </c>
      <c r="AE104">
        <v>50000</v>
      </c>
      <c r="AF104" t="str">
        <f>IF(Table1[[#This Row],[What is your current CGPA?]]&gt;=3.5,"High",IF(Table1[[#This Row],[What is your current CGPA?]]&gt;=2.5,"Medium","Low"))</f>
        <v>Medium</v>
      </c>
      <c r="AG104" t="str">
        <f>IF(AND(Table1[[#This Row],[Average attendance on class]]&lt;75,Table1[[#This Row],[How many hour do you study daily?]]&lt;1),"At Risk","Normal")</f>
        <v>Normal</v>
      </c>
      <c r="AH104">
        <f>(Table1[[#This Row],[Average attendance on class]]*0.4)+(Table1[[#This Row],[How many hour do you study daily?]]*10*0.3)+(Table1[[#This Row],[How many hour do you spent daily on your skill development?]]*10*0.3)</f>
        <v>51</v>
      </c>
    </row>
    <row r="105" spans="1:34" x14ac:dyDescent="0.25">
      <c r="A105">
        <v>2018</v>
      </c>
      <c r="B105" t="s">
        <v>34</v>
      </c>
      <c r="C105">
        <v>23</v>
      </c>
      <c r="D105">
        <v>2017</v>
      </c>
      <c r="E105" t="s">
        <v>35</v>
      </c>
      <c r="F105">
        <v>13</v>
      </c>
      <c r="G105" t="s">
        <v>37</v>
      </c>
      <c r="H105" t="s">
        <v>37</v>
      </c>
      <c r="I105">
        <v>2</v>
      </c>
      <c r="J105">
        <v>4</v>
      </c>
      <c r="K105" t="s">
        <v>38</v>
      </c>
      <c r="L105" t="s">
        <v>36</v>
      </c>
      <c r="M105" t="s">
        <v>36</v>
      </c>
      <c r="N105">
        <v>6</v>
      </c>
      <c r="O105" t="s">
        <v>45</v>
      </c>
      <c r="P105">
        <v>88</v>
      </c>
      <c r="Q105" t="s">
        <v>36</v>
      </c>
      <c r="R105" t="s">
        <v>37</v>
      </c>
      <c r="S105" t="s">
        <v>36</v>
      </c>
      <c r="T105" t="s">
        <v>51</v>
      </c>
      <c r="U105">
        <v>1</v>
      </c>
      <c r="V105" t="s">
        <v>40</v>
      </c>
      <c r="W105" t="s">
        <v>50</v>
      </c>
      <c r="X105" t="s">
        <v>37</v>
      </c>
      <c r="Y105" t="s">
        <v>43</v>
      </c>
      <c r="Z105" t="s">
        <v>37</v>
      </c>
      <c r="AA105">
        <v>2.68</v>
      </c>
      <c r="AB105" t="s">
        <v>37</v>
      </c>
      <c r="AC105">
        <v>3.15</v>
      </c>
      <c r="AD105">
        <v>112</v>
      </c>
      <c r="AE105">
        <v>30000</v>
      </c>
      <c r="AF105" t="str">
        <f>IF(Table1[[#This Row],[What is your current CGPA?]]&gt;=3.5,"High",IF(Table1[[#This Row],[What is your current CGPA?]]&gt;=2.5,"Medium","Low"))</f>
        <v>Medium</v>
      </c>
      <c r="AG105" t="str">
        <f>IF(AND(Table1[[#This Row],[Average attendance on class]]&lt;75,Table1[[#This Row],[How many hour do you study daily?]]&lt;1),"At Risk","Normal")</f>
        <v>Normal</v>
      </c>
      <c r="AH105">
        <f>(Table1[[#This Row],[Average attendance on class]]*0.4)+(Table1[[#This Row],[How many hour do you study daily?]]*10*0.3)+(Table1[[#This Row],[How many hour do you spent daily on your skill development?]]*10*0.3)</f>
        <v>44.2</v>
      </c>
    </row>
    <row r="106" spans="1:34" x14ac:dyDescent="0.25">
      <c r="A106">
        <v>2022</v>
      </c>
      <c r="B106" t="s">
        <v>34</v>
      </c>
      <c r="C106">
        <v>20</v>
      </c>
      <c r="D106">
        <v>2020</v>
      </c>
      <c r="E106" t="s">
        <v>35</v>
      </c>
      <c r="F106">
        <v>2</v>
      </c>
      <c r="G106" t="s">
        <v>36</v>
      </c>
      <c r="H106" t="s">
        <v>37</v>
      </c>
      <c r="I106">
        <v>3</v>
      </c>
      <c r="J106">
        <v>4</v>
      </c>
      <c r="K106" t="s">
        <v>38</v>
      </c>
      <c r="L106" t="s">
        <v>36</v>
      </c>
      <c r="M106" t="s">
        <v>36</v>
      </c>
      <c r="N106">
        <v>1</v>
      </c>
      <c r="O106" t="s">
        <v>45</v>
      </c>
      <c r="P106">
        <v>95</v>
      </c>
      <c r="Q106" t="s">
        <v>37</v>
      </c>
      <c r="R106" t="s">
        <v>37</v>
      </c>
      <c r="S106" t="s">
        <v>36</v>
      </c>
      <c r="T106" t="s">
        <v>40</v>
      </c>
      <c r="U106">
        <v>5</v>
      </c>
      <c r="V106" t="s">
        <v>40</v>
      </c>
      <c r="W106" t="s">
        <v>42</v>
      </c>
      <c r="X106" t="s">
        <v>37</v>
      </c>
      <c r="Y106" t="s">
        <v>43</v>
      </c>
      <c r="Z106" t="s">
        <v>37</v>
      </c>
      <c r="AA106">
        <v>2.68</v>
      </c>
      <c r="AB106" t="s">
        <v>37</v>
      </c>
      <c r="AC106">
        <v>3.15</v>
      </c>
      <c r="AD106">
        <v>11</v>
      </c>
      <c r="AE106">
        <v>40000</v>
      </c>
      <c r="AF106" t="str">
        <f>IF(Table1[[#This Row],[What is your current CGPA?]]&gt;=3.5,"High",IF(Table1[[#This Row],[What is your current CGPA?]]&gt;=2.5,"Medium","Low"))</f>
        <v>Medium</v>
      </c>
      <c r="AG106" t="str">
        <f>IF(AND(Table1[[#This Row],[Average attendance on class]]&lt;75,Table1[[#This Row],[How many hour do you study daily?]]&lt;1),"At Risk","Normal")</f>
        <v>Normal</v>
      </c>
      <c r="AH106">
        <f>(Table1[[#This Row],[Average attendance on class]]*0.4)+(Table1[[#This Row],[How many hour do you study daily?]]*10*0.3)+(Table1[[#This Row],[How many hour do you spent daily on your skill development?]]*10*0.3)</f>
        <v>62</v>
      </c>
    </row>
    <row r="107" spans="1:34" x14ac:dyDescent="0.25">
      <c r="A107">
        <v>2021</v>
      </c>
      <c r="B107" t="s">
        <v>34</v>
      </c>
      <c r="C107">
        <v>19</v>
      </c>
      <c r="D107">
        <v>2020</v>
      </c>
      <c r="E107" t="s">
        <v>35</v>
      </c>
      <c r="F107">
        <v>4</v>
      </c>
      <c r="G107" t="s">
        <v>36</v>
      </c>
      <c r="H107" t="s">
        <v>37</v>
      </c>
      <c r="I107">
        <v>1</v>
      </c>
      <c r="J107">
        <v>1</v>
      </c>
      <c r="K107" t="s">
        <v>38</v>
      </c>
      <c r="L107" t="s">
        <v>36</v>
      </c>
      <c r="M107" t="s">
        <v>37</v>
      </c>
      <c r="N107">
        <v>1</v>
      </c>
      <c r="O107" t="s">
        <v>39</v>
      </c>
      <c r="P107">
        <v>95</v>
      </c>
      <c r="Q107" t="s">
        <v>37</v>
      </c>
      <c r="R107" t="s">
        <v>37</v>
      </c>
      <c r="S107" t="s">
        <v>36</v>
      </c>
      <c r="T107" t="s">
        <v>40</v>
      </c>
      <c r="U107">
        <v>1</v>
      </c>
      <c r="V107" t="s">
        <v>40</v>
      </c>
      <c r="W107" t="s">
        <v>42</v>
      </c>
      <c r="X107" t="s">
        <v>36</v>
      </c>
      <c r="Y107" t="s">
        <v>47</v>
      </c>
      <c r="Z107" t="s">
        <v>37</v>
      </c>
      <c r="AA107">
        <v>3.5</v>
      </c>
      <c r="AB107" t="s">
        <v>37</v>
      </c>
      <c r="AC107">
        <v>3.58</v>
      </c>
      <c r="AD107">
        <v>35</v>
      </c>
      <c r="AE107">
        <v>30000</v>
      </c>
      <c r="AF107" t="str">
        <f>IF(Table1[[#This Row],[What is your current CGPA?]]&gt;=3.5,"High",IF(Table1[[#This Row],[What is your current CGPA?]]&gt;=2.5,"Medium","Low"))</f>
        <v>High</v>
      </c>
      <c r="AG107" t="str">
        <f>IF(AND(Table1[[#This Row],[Average attendance on class]]&lt;75,Table1[[#This Row],[How many hour do you study daily?]]&lt;1),"At Risk","Normal")</f>
        <v>Normal</v>
      </c>
      <c r="AH107">
        <f>(Table1[[#This Row],[Average attendance on class]]*0.4)+(Table1[[#This Row],[How many hour do you study daily?]]*10*0.3)+(Table1[[#This Row],[How many hour do you spent daily on your skill development?]]*10*0.3)</f>
        <v>44</v>
      </c>
    </row>
    <row r="108" spans="1:34" x14ac:dyDescent="0.25">
      <c r="A108">
        <v>2021</v>
      </c>
      <c r="B108" t="s">
        <v>34</v>
      </c>
      <c r="C108">
        <v>21</v>
      </c>
      <c r="D108">
        <v>2019</v>
      </c>
      <c r="E108" t="s">
        <v>35</v>
      </c>
      <c r="F108">
        <v>4</v>
      </c>
      <c r="G108" t="s">
        <v>36</v>
      </c>
      <c r="H108" t="s">
        <v>36</v>
      </c>
      <c r="I108">
        <v>4</v>
      </c>
      <c r="J108">
        <v>2</v>
      </c>
      <c r="K108" t="s">
        <v>38</v>
      </c>
      <c r="L108" t="s">
        <v>36</v>
      </c>
      <c r="M108" t="s">
        <v>36</v>
      </c>
      <c r="N108">
        <v>1</v>
      </c>
      <c r="O108" t="s">
        <v>39</v>
      </c>
      <c r="P108">
        <v>90</v>
      </c>
      <c r="Q108" t="s">
        <v>37</v>
      </c>
      <c r="R108" t="s">
        <v>37</v>
      </c>
      <c r="S108" t="s">
        <v>37</v>
      </c>
      <c r="T108" t="s">
        <v>40</v>
      </c>
      <c r="U108">
        <v>2</v>
      </c>
      <c r="V108" t="s">
        <v>40</v>
      </c>
      <c r="W108" t="s">
        <v>42</v>
      </c>
      <c r="X108" t="s">
        <v>36</v>
      </c>
      <c r="Y108" t="s">
        <v>47</v>
      </c>
      <c r="Z108" t="s">
        <v>37</v>
      </c>
      <c r="AA108">
        <v>3.38</v>
      </c>
      <c r="AB108" t="s">
        <v>37</v>
      </c>
      <c r="AC108">
        <v>3.82</v>
      </c>
      <c r="AD108">
        <v>27</v>
      </c>
      <c r="AE108">
        <v>40000</v>
      </c>
      <c r="AF108" t="str">
        <f>IF(Table1[[#This Row],[What is your current CGPA?]]&gt;=3.5,"High",IF(Table1[[#This Row],[What is your current CGPA?]]&gt;=2.5,"Medium","Low"))</f>
        <v>High</v>
      </c>
      <c r="AG108" t="str">
        <f>IF(AND(Table1[[#This Row],[Average attendance on class]]&lt;75,Table1[[#This Row],[How many hour do you study daily?]]&lt;1),"At Risk","Normal")</f>
        <v>Normal</v>
      </c>
      <c r="AH108">
        <f>(Table1[[#This Row],[Average attendance on class]]*0.4)+(Table1[[#This Row],[How many hour do you study daily?]]*10*0.3)+(Table1[[#This Row],[How many hour do you spent daily on your skill development?]]*10*0.3)</f>
        <v>54</v>
      </c>
    </row>
    <row r="109" spans="1:34" x14ac:dyDescent="0.25">
      <c r="A109">
        <v>2020</v>
      </c>
      <c r="B109" t="s">
        <v>34</v>
      </c>
      <c r="C109">
        <v>21</v>
      </c>
      <c r="D109">
        <v>2019</v>
      </c>
      <c r="E109" t="s">
        <v>35</v>
      </c>
      <c r="F109">
        <v>8</v>
      </c>
      <c r="G109" t="s">
        <v>37</v>
      </c>
      <c r="H109" t="s">
        <v>37</v>
      </c>
      <c r="I109">
        <v>2</v>
      </c>
      <c r="J109">
        <v>2</v>
      </c>
      <c r="K109" t="s">
        <v>38</v>
      </c>
      <c r="L109" t="s">
        <v>36</v>
      </c>
      <c r="M109" t="s">
        <v>36</v>
      </c>
      <c r="N109">
        <v>1</v>
      </c>
      <c r="O109" t="s">
        <v>39</v>
      </c>
      <c r="P109">
        <v>90</v>
      </c>
      <c r="Q109" t="s">
        <v>36</v>
      </c>
      <c r="R109" t="s">
        <v>36</v>
      </c>
      <c r="S109" t="s">
        <v>36</v>
      </c>
      <c r="T109" t="s">
        <v>40</v>
      </c>
      <c r="U109">
        <v>1</v>
      </c>
      <c r="V109" t="s">
        <v>52</v>
      </c>
      <c r="W109" t="s">
        <v>42</v>
      </c>
      <c r="X109" t="s">
        <v>37</v>
      </c>
      <c r="Y109" t="s">
        <v>43</v>
      </c>
      <c r="Z109" t="s">
        <v>37</v>
      </c>
      <c r="AA109">
        <v>2.68</v>
      </c>
      <c r="AB109" t="s">
        <v>37</v>
      </c>
      <c r="AC109">
        <v>3.15</v>
      </c>
      <c r="AD109">
        <v>88</v>
      </c>
      <c r="AE109">
        <v>30000</v>
      </c>
      <c r="AF109" t="str">
        <f>IF(Table1[[#This Row],[What is your current CGPA?]]&gt;=3.5,"High",IF(Table1[[#This Row],[What is your current CGPA?]]&gt;=2.5,"Medium","Low"))</f>
        <v>Medium</v>
      </c>
      <c r="AG109" t="str">
        <f>IF(AND(Table1[[#This Row],[Average attendance on class]]&lt;75,Table1[[#This Row],[How many hour do you study daily?]]&lt;1),"At Risk","Normal")</f>
        <v>Normal</v>
      </c>
      <c r="AH109">
        <f>(Table1[[#This Row],[Average attendance on class]]*0.4)+(Table1[[#This Row],[How many hour do you study daily?]]*10*0.3)+(Table1[[#This Row],[How many hour do you spent daily on your skill development?]]*10*0.3)</f>
        <v>45</v>
      </c>
    </row>
    <row r="110" spans="1:34" x14ac:dyDescent="0.25">
      <c r="A110">
        <v>2019</v>
      </c>
      <c r="B110" t="s">
        <v>48</v>
      </c>
      <c r="C110">
        <v>22</v>
      </c>
      <c r="D110">
        <v>2017</v>
      </c>
      <c r="E110" t="s">
        <v>35</v>
      </c>
      <c r="F110">
        <v>10</v>
      </c>
      <c r="G110" t="s">
        <v>37</v>
      </c>
      <c r="H110" t="s">
        <v>37</v>
      </c>
      <c r="I110">
        <v>9</v>
      </c>
      <c r="J110">
        <v>3</v>
      </c>
      <c r="K110" t="s">
        <v>44</v>
      </c>
      <c r="L110" t="s">
        <v>36</v>
      </c>
      <c r="M110" t="s">
        <v>36</v>
      </c>
      <c r="N110">
        <v>1</v>
      </c>
      <c r="O110" t="s">
        <v>39</v>
      </c>
      <c r="P110">
        <v>88</v>
      </c>
      <c r="Q110" t="s">
        <v>36</v>
      </c>
      <c r="R110" t="s">
        <v>37</v>
      </c>
      <c r="S110" t="s">
        <v>37</v>
      </c>
      <c r="T110" t="s">
        <v>60</v>
      </c>
      <c r="U110">
        <v>1</v>
      </c>
      <c r="V110" t="s">
        <v>59</v>
      </c>
      <c r="W110" t="s">
        <v>42</v>
      </c>
      <c r="X110" t="s">
        <v>37</v>
      </c>
      <c r="Y110" t="s">
        <v>43</v>
      </c>
      <c r="Z110" t="s">
        <v>37</v>
      </c>
      <c r="AA110">
        <v>2.68</v>
      </c>
      <c r="AB110" t="s">
        <v>37</v>
      </c>
      <c r="AC110">
        <v>3.15</v>
      </c>
      <c r="AD110">
        <v>113</v>
      </c>
      <c r="AE110">
        <v>62488</v>
      </c>
      <c r="AF110" t="str">
        <f>IF(Table1[[#This Row],[What is your current CGPA?]]&gt;=3.5,"High",IF(Table1[[#This Row],[What is your current CGPA?]]&gt;=2.5,"Medium","Low"))</f>
        <v>Medium</v>
      </c>
      <c r="AG110" t="str">
        <f>IF(AND(Table1[[#This Row],[Average attendance on class]]&lt;75,Table1[[#This Row],[How many hour do you study daily?]]&lt;1),"At Risk","Normal")</f>
        <v>Normal</v>
      </c>
      <c r="AH110">
        <f>(Table1[[#This Row],[Average attendance on class]]*0.4)+(Table1[[#This Row],[How many hour do you study daily?]]*10*0.3)+(Table1[[#This Row],[How many hour do you spent daily on your skill development?]]*10*0.3)</f>
        <v>65.2</v>
      </c>
    </row>
    <row r="111" spans="1:34" x14ac:dyDescent="0.25">
      <c r="A111">
        <v>2022</v>
      </c>
      <c r="B111" t="s">
        <v>48</v>
      </c>
      <c r="C111">
        <v>19</v>
      </c>
      <c r="D111">
        <v>2020</v>
      </c>
      <c r="E111" t="s">
        <v>35</v>
      </c>
      <c r="F111">
        <v>2</v>
      </c>
      <c r="G111" t="s">
        <v>36</v>
      </c>
      <c r="H111" t="s">
        <v>36</v>
      </c>
      <c r="I111">
        <v>3</v>
      </c>
      <c r="J111">
        <v>2</v>
      </c>
      <c r="K111" t="s">
        <v>38</v>
      </c>
      <c r="L111" t="s">
        <v>36</v>
      </c>
      <c r="M111" t="s">
        <v>36</v>
      </c>
      <c r="N111">
        <v>2</v>
      </c>
      <c r="O111" t="s">
        <v>45</v>
      </c>
      <c r="P111">
        <v>100</v>
      </c>
      <c r="Q111" t="s">
        <v>37</v>
      </c>
      <c r="R111" t="s">
        <v>37</v>
      </c>
      <c r="S111" t="s">
        <v>36</v>
      </c>
      <c r="T111" t="s">
        <v>40</v>
      </c>
      <c r="U111">
        <v>3</v>
      </c>
      <c r="V111" t="s">
        <v>40</v>
      </c>
      <c r="W111" t="s">
        <v>42</v>
      </c>
      <c r="X111" t="s">
        <v>36</v>
      </c>
      <c r="Y111" t="s">
        <v>47</v>
      </c>
      <c r="Z111" t="s">
        <v>37</v>
      </c>
      <c r="AA111">
        <v>2.68</v>
      </c>
      <c r="AB111" t="s">
        <v>37</v>
      </c>
      <c r="AC111">
        <v>3.15</v>
      </c>
      <c r="AD111">
        <v>11</v>
      </c>
      <c r="AE111">
        <v>35000</v>
      </c>
      <c r="AF111" t="str">
        <f>IF(Table1[[#This Row],[What is your current CGPA?]]&gt;=3.5,"High",IF(Table1[[#This Row],[What is your current CGPA?]]&gt;=2.5,"Medium","Low"))</f>
        <v>Medium</v>
      </c>
      <c r="AG111" t="str">
        <f>IF(AND(Table1[[#This Row],[Average attendance on class]]&lt;75,Table1[[#This Row],[How many hour do you study daily?]]&lt;1),"At Risk","Normal")</f>
        <v>Normal</v>
      </c>
      <c r="AH111">
        <f>(Table1[[#This Row],[Average attendance on class]]*0.4)+(Table1[[#This Row],[How many hour do you study daily?]]*10*0.3)+(Table1[[#This Row],[How many hour do you spent daily on your skill development?]]*10*0.3)</f>
        <v>58</v>
      </c>
    </row>
    <row r="112" spans="1:34" x14ac:dyDescent="0.25">
      <c r="A112">
        <v>2022</v>
      </c>
      <c r="B112" t="s">
        <v>48</v>
      </c>
      <c r="C112">
        <v>22</v>
      </c>
      <c r="D112">
        <v>2022</v>
      </c>
      <c r="E112" t="s">
        <v>35</v>
      </c>
      <c r="F112">
        <v>4</v>
      </c>
      <c r="G112" t="s">
        <v>36</v>
      </c>
      <c r="H112" t="s">
        <v>37</v>
      </c>
      <c r="I112">
        <v>1</v>
      </c>
      <c r="J112">
        <v>1</v>
      </c>
      <c r="K112" t="s">
        <v>38</v>
      </c>
      <c r="L112" t="s">
        <v>36</v>
      </c>
      <c r="M112" t="s">
        <v>36</v>
      </c>
      <c r="N112">
        <v>10</v>
      </c>
      <c r="O112" t="s">
        <v>45</v>
      </c>
      <c r="P112">
        <v>80</v>
      </c>
      <c r="Q112" t="s">
        <v>36</v>
      </c>
      <c r="R112" t="s">
        <v>37</v>
      </c>
      <c r="S112" t="s">
        <v>37</v>
      </c>
      <c r="T112" t="s">
        <v>40</v>
      </c>
      <c r="U112">
        <v>2</v>
      </c>
      <c r="V112" t="s">
        <v>40</v>
      </c>
      <c r="W112" t="s">
        <v>42</v>
      </c>
      <c r="X112" t="s">
        <v>37</v>
      </c>
      <c r="Y112" t="s">
        <v>47</v>
      </c>
      <c r="Z112" t="s">
        <v>37</v>
      </c>
      <c r="AA112">
        <v>2.68</v>
      </c>
      <c r="AB112" t="s">
        <v>37</v>
      </c>
      <c r="AC112">
        <v>3.15</v>
      </c>
      <c r="AD112">
        <v>36</v>
      </c>
      <c r="AE112">
        <v>100000</v>
      </c>
      <c r="AF112" t="str">
        <f>IF(Table1[[#This Row],[What is your current CGPA?]]&gt;=3.5,"High",IF(Table1[[#This Row],[What is your current CGPA?]]&gt;=2.5,"Medium","Low"))</f>
        <v>Medium</v>
      </c>
      <c r="AG112" t="str">
        <f>IF(AND(Table1[[#This Row],[Average attendance on class]]&lt;75,Table1[[#This Row],[How many hour do you study daily?]]&lt;1),"At Risk","Normal")</f>
        <v>Normal</v>
      </c>
      <c r="AH112">
        <f>(Table1[[#This Row],[Average attendance on class]]*0.4)+(Table1[[#This Row],[How many hour do you study daily?]]*10*0.3)+(Table1[[#This Row],[How many hour do you spent daily on your skill development?]]*10*0.3)</f>
        <v>41</v>
      </c>
    </row>
    <row r="113" spans="1:34" x14ac:dyDescent="0.25">
      <c r="A113">
        <v>2021</v>
      </c>
      <c r="B113" t="s">
        <v>34</v>
      </c>
      <c r="C113">
        <v>22</v>
      </c>
      <c r="D113">
        <v>2018</v>
      </c>
      <c r="E113" t="s">
        <v>35</v>
      </c>
      <c r="F113">
        <v>4</v>
      </c>
      <c r="G113" t="s">
        <v>36</v>
      </c>
      <c r="H113" t="s">
        <v>37</v>
      </c>
      <c r="I113">
        <v>3</v>
      </c>
      <c r="J113">
        <v>2</v>
      </c>
      <c r="K113" t="s">
        <v>38</v>
      </c>
      <c r="L113" t="s">
        <v>36</v>
      </c>
      <c r="M113" t="s">
        <v>36</v>
      </c>
      <c r="N113">
        <v>3</v>
      </c>
      <c r="O113" t="s">
        <v>39</v>
      </c>
      <c r="P113">
        <v>80</v>
      </c>
      <c r="Q113" t="s">
        <v>37</v>
      </c>
      <c r="R113" t="s">
        <v>37</v>
      </c>
      <c r="S113" t="s">
        <v>36</v>
      </c>
      <c r="T113" t="s">
        <v>51</v>
      </c>
      <c r="U113">
        <v>3</v>
      </c>
      <c r="V113" t="s">
        <v>52</v>
      </c>
      <c r="W113" t="s">
        <v>42</v>
      </c>
      <c r="X113" t="s">
        <v>37</v>
      </c>
      <c r="Y113" t="s">
        <v>43</v>
      </c>
      <c r="Z113" t="s">
        <v>37</v>
      </c>
      <c r="AA113">
        <v>2.68</v>
      </c>
      <c r="AB113" t="s">
        <v>37</v>
      </c>
      <c r="AC113">
        <v>3.15</v>
      </c>
      <c r="AD113">
        <v>36</v>
      </c>
      <c r="AE113">
        <v>30000</v>
      </c>
      <c r="AF113" t="str">
        <f>IF(Table1[[#This Row],[What is your current CGPA?]]&gt;=3.5,"High",IF(Table1[[#This Row],[What is your current CGPA?]]&gt;=2.5,"Medium","Low"))</f>
        <v>Medium</v>
      </c>
      <c r="AG113" t="str">
        <f>IF(AND(Table1[[#This Row],[Average attendance on class]]&lt;75,Table1[[#This Row],[How many hour do you study daily?]]&lt;1),"At Risk","Normal")</f>
        <v>Normal</v>
      </c>
      <c r="AH113">
        <f>(Table1[[#This Row],[Average attendance on class]]*0.4)+(Table1[[#This Row],[How many hour do you study daily?]]*10*0.3)+(Table1[[#This Row],[How many hour do you spent daily on your skill development?]]*10*0.3)</f>
        <v>50</v>
      </c>
    </row>
    <row r="114" spans="1:34" x14ac:dyDescent="0.25">
      <c r="A114">
        <v>2019</v>
      </c>
      <c r="B114" t="s">
        <v>48</v>
      </c>
      <c r="C114">
        <v>21</v>
      </c>
      <c r="D114">
        <v>2019</v>
      </c>
      <c r="E114" t="s">
        <v>35</v>
      </c>
      <c r="F114">
        <v>9</v>
      </c>
      <c r="G114" t="s">
        <v>37</v>
      </c>
      <c r="H114" t="s">
        <v>37</v>
      </c>
      <c r="I114">
        <v>2</v>
      </c>
      <c r="J114">
        <v>3</v>
      </c>
      <c r="K114" t="s">
        <v>38</v>
      </c>
      <c r="L114" t="s">
        <v>36</v>
      </c>
      <c r="M114" t="s">
        <v>36</v>
      </c>
      <c r="N114">
        <v>3</v>
      </c>
      <c r="O114" t="s">
        <v>45</v>
      </c>
      <c r="P114">
        <v>92</v>
      </c>
      <c r="Q114" t="s">
        <v>36</v>
      </c>
      <c r="R114" t="s">
        <v>37</v>
      </c>
      <c r="S114" t="s">
        <v>36</v>
      </c>
      <c r="T114" t="s">
        <v>40</v>
      </c>
      <c r="U114">
        <v>1</v>
      </c>
      <c r="V114" t="s">
        <v>40</v>
      </c>
      <c r="W114" t="s">
        <v>42</v>
      </c>
      <c r="X114" t="s">
        <v>36</v>
      </c>
      <c r="Y114" t="s">
        <v>43</v>
      </c>
      <c r="Z114" t="s">
        <v>37</v>
      </c>
      <c r="AA114">
        <v>1.89</v>
      </c>
      <c r="AB114" t="s">
        <v>37</v>
      </c>
      <c r="AC114">
        <v>2.69</v>
      </c>
      <c r="AD114">
        <v>86</v>
      </c>
      <c r="AE114">
        <v>20000</v>
      </c>
      <c r="AF114" t="str">
        <f>IF(Table1[[#This Row],[What is your current CGPA?]]&gt;=3.5,"High",IF(Table1[[#This Row],[What is your current CGPA?]]&gt;=2.5,"Medium","Low"))</f>
        <v>Medium</v>
      </c>
      <c r="AG114" t="str">
        <f>IF(AND(Table1[[#This Row],[Average attendance on class]]&lt;75,Table1[[#This Row],[How many hour do you study daily?]]&lt;1),"At Risk","Normal")</f>
        <v>Normal</v>
      </c>
      <c r="AH114">
        <f>(Table1[[#This Row],[Average attendance on class]]*0.4)+(Table1[[#This Row],[How many hour do you study daily?]]*10*0.3)+(Table1[[#This Row],[How many hour do you spent daily on your skill development?]]*10*0.3)</f>
        <v>45.800000000000004</v>
      </c>
    </row>
    <row r="115" spans="1:34" x14ac:dyDescent="0.25">
      <c r="A115">
        <v>2021</v>
      </c>
      <c r="B115" t="s">
        <v>48</v>
      </c>
      <c r="C115">
        <v>19</v>
      </c>
      <c r="D115">
        <v>2020</v>
      </c>
      <c r="E115" t="s">
        <v>35</v>
      </c>
      <c r="F115">
        <v>4</v>
      </c>
      <c r="G115" t="s">
        <v>36</v>
      </c>
      <c r="H115" t="s">
        <v>37</v>
      </c>
      <c r="I115">
        <v>7</v>
      </c>
      <c r="J115">
        <v>3</v>
      </c>
      <c r="K115" t="s">
        <v>38</v>
      </c>
      <c r="L115" t="s">
        <v>36</v>
      </c>
      <c r="M115" t="s">
        <v>37</v>
      </c>
      <c r="N115">
        <v>3</v>
      </c>
      <c r="O115" t="s">
        <v>53</v>
      </c>
      <c r="P115">
        <v>90</v>
      </c>
      <c r="Q115" t="s">
        <v>37</v>
      </c>
      <c r="R115" t="s">
        <v>37</v>
      </c>
      <c r="S115" t="s">
        <v>36</v>
      </c>
      <c r="T115" t="s">
        <v>40</v>
      </c>
      <c r="U115">
        <v>1</v>
      </c>
      <c r="V115" t="s">
        <v>40</v>
      </c>
      <c r="W115" t="s">
        <v>42</v>
      </c>
      <c r="X115" t="s">
        <v>36</v>
      </c>
      <c r="Y115" t="s">
        <v>47</v>
      </c>
      <c r="Z115" t="s">
        <v>37</v>
      </c>
      <c r="AA115">
        <v>3.7</v>
      </c>
      <c r="AB115" t="s">
        <v>37</v>
      </c>
      <c r="AC115">
        <v>3.77</v>
      </c>
      <c r="AD115">
        <v>35</v>
      </c>
      <c r="AE115">
        <v>62488</v>
      </c>
      <c r="AF115" t="str">
        <f>IF(Table1[[#This Row],[What is your current CGPA?]]&gt;=3.5,"High",IF(Table1[[#This Row],[What is your current CGPA?]]&gt;=2.5,"Medium","Low"))</f>
        <v>High</v>
      </c>
      <c r="AG115" t="str">
        <f>IF(AND(Table1[[#This Row],[Average attendance on class]]&lt;75,Table1[[#This Row],[How many hour do you study daily?]]&lt;1),"At Risk","Normal")</f>
        <v>Normal</v>
      </c>
      <c r="AH115">
        <f>(Table1[[#This Row],[Average attendance on class]]*0.4)+(Table1[[#This Row],[How many hour do you study daily?]]*10*0.3)+(Table1[[#This Row],[How many hour do you spent daily on your skill development?]]*10*0.3)</f>
        <v>60</v>
      </c>
    </row>
    <row r="116" spans="1:34" x14ac:dyDescent="0.25">
      <c r="A116">
        <v>2022</v>
      </c>
      <c r="B116" t="s">
        <v>34</v>
      </c>
      <c r="C116">
        <v>19</v>
      </c>
      <c r="D116">
        <v>2020</v>
      </c>
      <c r="E116" t="s">
        <v>35</v>
      </c>
      <c r="F116">
        <v>2</v>
      </c>
      <c r="G116" t="s">
        <v>36</v>
      </c>
      <c r="H116" t="s">
        <v>37</v>
      </c>
      <c r="I116">
        <v>4</v>
      </c>
      <c r="J116">
        <v>2</v>
      </c>
      <c r="K116" t="s">
        <v>38</v>
      </c>
      <c r="L116" t="s">
        <v>36</v>
      </c>
      <c r="M116" t="s">
        <v>36</v>
      </c>
      <c r="N116">
        <v>2</v>
      </c>
      <c r="O116" t="s">
        <v>39</v>
      </c>
      <c r="P116">
        <v>95</v>
      </c>
      <c r="Q116" t="s">
        <v>37</v>
      </c>
      <c r="R116" t="s">
        <v>37</v>
      </c>
      <c r="S116" t="s">
        <v>36</v>
      </c>
      <c r="T116" t="s">
        <v>40</v>
      </c>
      <c r="U116">
        <v>2</v>
      </c>
      <c r="V116" t="s">
        <v>40</v>
      </c>
      <c r="W116" t="s">
        <v>42</v>
      </c>
      <c r="X116" t="s">
        <v>36</v>
      </c>
      <c r="Y116" t="s">
        <v>47</v>
      </c>
      <c r="Z116" t="s">
        <v>37</v>
      </c>
      <c r="AA116">
        <v>2.68</v>
      </c>
      <c r="AB116" t="s">
        <v>37</v>
      </c>
      <c r="AC116">
        <v>3.15</v>
      </c>
      <c r="AD116">
        <v>11</v>
      </c>
      <c r="AE116">
        <v>30000</v>
      </c>
      <c r="AF116" t="str">
        <f>IF(Table1[[#This Row],[What is your current CGPA?]]&gt;=3.5,"High",IF(Table1[[#This Row],[What is your current CGPA?]]&gt;=2.5,"Medium","Low"))</f>
        <v>Medium</v>
      </c>
      <c r="AG116" t="str">
        <f>IF(AND(Table1[[#This Row],[Average attendance on class]]&lt;75,Table1[[#This Row],[How many hour do you study daily?]]&lt;1),"At Risk","Normal")</f>
        <v>Normal</v>
      </c>
      <c r="AH116">
        <f>(Table1[[#This Row],[Average attendance on class]]*0.4)+(Table1[[#This Row],[How many hour do you study daily?]]*10*0.3)+(Table1[[#This Row],[How many hour do you spent daily on your skill development?]]*10*0.3)</f>
        <v>56</v>
      </c>
    </row>
    <row r="117" spans="1:34" x14ac:dyDescent="0.25">
      <c r="A117">
        <v>2022</v>
      </c>
      <c r="B117" t="s">
        <v>34</v>
      </c>
      <c r="C117">
        <v>21</v>
      </c>
      <c r="D117">
        <v>2019</v>
      </c>
      <c r="E117" t="s">
        <v>35</v>
      </c>
      <c r="F117">
        <v>2</v>
      </c>
      <c r="G117" t="s">
        <v>36</v>
      </c>
      <c r="H117" t="s">
        <v>37</v>
      </c>
      <c r="I117">
        <v>5</v>
      </c>
      <c r="J117">
        <v>2</v>
      </c>
      <c r="K117" t="s">
        <v>38</v>
      </c>
      <c r="L117" t="s">
        <v>36</v>
      </c>
      <c r="M117" t="s">
        <v>36</v>
      </c>
      <c r="N117">
        <v>3</v>
      </c>
      <c r="O117" t="s">
        <v>39</v>
      </c>
      <c r="P117">
        <v>95</v>
      </c>
      <c r="Q117" t="s">
        <v>37</v>
      </c>
      <c r="R117" t="s">
        <v>37</v>
      </c>
      <c r="S117" t="s">
        <v>37</v>
      </c>
      <c r="T117" t="s">
        <v>40</v>
      </c>
      <c r="U117">
        <v>2</v>
      </c>
      <c r="V117" t="s">
        <v>40</v>
      </c>
      <c r="W117" t="s">
        <v>42</v>
      </c>
      <c r="X117" t="s">
        <v>37</v>
      </c>
      <c r="Y117" t="s">
        <v>43</v>
      </c>
      <c r="Z117" t="s">
        <v>37</v>
      </c>
      <c r="AA117">
        <v>2.68</v>
      </c>
      <c r="AB117" t="s">
        <v>37</v>
      </c>
      <c r="AC117">
        <v>3.15</v>
      </c>
      <c r="AD117">
        <v>11</v>
      </c>
      <c r="AE117">
        <v>20000</v>
      </c>
      <c r="AF117" t="str">
        <f>IF(Table1[[#This Row],[What is your current CGPA?]]&gt;=3.5,"High",IF(Table1[[#This Row],[What is your current CGPA?]]&gt;=2.5,"Medium","Low"))</f>
        <v>Medium</v>
      </c>
      <c r="AG117" t="str">
        <f>IF(AND(Table1[[#This Row],[Average attendance on class]]&lt;75,Table1[[#This Row],[How many hour do you study daily?]]&lt;1),"At Risk","Normal")</f>
        <v>Normal</v>
      </c>
      <c r="AH117">
        <f>(Table1[[#This Row],[Average attendance on class]]*0.4)+(Table1[[#This Row],[How many hour do you study daily?]]*10*0.3)+(Table1[[#This Row],[How many hour do you spent daily on your skill development?]]*10*0.3)</f>
        <v>59</v>
      </c>
    </row>
    <row r="118" spans="1:34" x14ac:dyDescent="0.25">
      <c r="A118">
        <v>2019</v>
      </c>
      <c r="B118" t="s">
        <v>34</v>
      </c>
      <c r="C118">
        <v>25</v>
      </c>
      <c r="D118">
        <v>2018</v>
      </c>
      <c r="E118" t="s">
        <v>35</v>
      </c>
      <c r="F118">
        <v>11</v>
      </c>
      <c r="G118" t="s">
        <v>36</v>
      </c>
      <c r="H118" t="s">
        <v>37</v>
      </c>
      <c r="I118">
        <v>2</v>
      </c>
      <c r="J118">
        <v>1</v>
      </c>
      <c r="K118" t="s">
        <v>38</v>
      </c>
      <c r="L118" t="s">
        <v>36</v>
      </c>
      <c r="M118" t="s">
        <v>36</v>
      </c>
      <c r="N118">
        <v>2</v>
      </c>
      <c r="O118" t="s">
        <v>39</v>
      </c>
      <c r="P118">
        <v>70</v>
      </c>
      <c r="Q118" t="s">
        <v>36</v>
      </c>
      <c r="R118" t="s">
        <v>37</v>
      </c>
      <c r="S118" t="s">
        <v>37</v>
      </c>
      <c r="T118" t="s">
        <v>40</v>
      </c>
      <c r="U118">
        <v>4</v>
      </c>
      <c r="V118" t="s">
        <v>40</v>
      </c>
      <c r="W118" t="s">
        <v>42</v>
      </c>
      <c r="X118" t="s">
        <v>37</v>
      </c>
      <c r="Y118" t="s">
        <v>43</v>
      </c>
      <c r="Z118" t="s">
        <v>36</v>
      </c>
      <c r="AA118">
        <v>0</v>
      </c>
      <c r="AB118" t="s">
        <v>37</v>
      </c>
      <c r="AC118">
        <v>2.5299999999999998</v>
      </c>
      <c r="AD118">
        <v>91</v>
      </c>
      <c r="AE118">
        <v>30000</v>
      </c>
      <c r="AF118" t="str">
        <f>IF(Table1[[#This Row],[What is your current CGPA?]]&gt;=3.5,"High",IF(Table1[[#This Row],[What is your current CGPA?]]&gt;=2.5,"Medium","Low"))</f>
        <v>Medium</v>
      </c>
      <c r="AG118" t="str">
        <f>IF(AND(Table1[[#This Row],[Average attendance on class]]&lt;75,Table1[[#This Row],[How many hour do you study daily?]]&lt;1),"At Risk","Normal")</f>
        <v>Normal</v>
      </c>
      <c r="AH118">
        <f>(Table1[[#This Row],[Average attendance on class]]*0.4)+(Table1[[#This Row],[How many hour do you study daily?]]*10*0.3)+(Table1[[#This Row],[How many hour do you spent daily on your skill development?]]*10*0.3)</f>
        <v>46</v>
      </c>
    </row>
    <row r="119" spans="1:34" x14ac:dyDescent="0.25">
      <c r="A119">
        <v>2019</v>
      </c>
      <c r="B119" t="s">
        <v>48</v>
      </c>
      <c r="C119">
        <v>22</v>
      </c>
      <c r="D119">
        <v>2019</v>
      </c>
      <c r="E119" t="s">
        <v>35</v>
      </c>
      <c r="F119">
        <v>9</v>
      </c>
      <c r="G119" t="s">
        <v>37</v>
      </c>
      <c r="H119" t="s">
        <v>36</v>
      </c>
      <c r="I119">
        <v>3</v>
      </c>
      <c r="J119">
        <v>3</v>
      </c>
      <c r="K119" t="s">
        <v>44</v>
      </c>
      <c r="L119" t="s">
        <v>36</v>
      </c>
      <c r="M119" t="s">
        <v>37</v>
      </c>
      <c r="N119">
        <v>2</v>
      </c>
      <c r="O119" t="s">
        <v>45</v>
      </c>
      <c r="P119">
        <v>99</v>
      </c>
      <c r="Q119" t="s">
        <v>37</v>
      </c>
      <c r="R119" t="s">
        <v>37</v>
      </c>
      <c r="S119" t="s">
        <v>36</v>
      </c>
      <c r="T119" t="s">
        <v>40</v>
      </c>
      <c r="U119">
        <v>2</v>
      </c>
      <c r="V119" t="s">
        <v>41</v>
      </c>
      <c r="W119" t="s">
        <v>42</v>
      </c>
      <c r="X119" t="s">
        <v>37</v>
      </c>
      <c r="Y119" t="s">
        <v>47</v>
      </c>
      <c r="Z119" t="s">
        <v>36</v>
      </c>
      <c r="AA119">
        <v>2.68</v>
      </c>
      <c r="AB119" t="s">
        <v>37</v>
      </c>
      <c r="AC119">
        <v>3.15</v>
      </c>
      <c r="AD119">
        <v>100</v>
      </c>
      <c r="AE119">
        <v>20000</v>
      </c>
      <c r="AF119" t="str">
        <f>IF(Table1[[#This Row],[What is your current CGPA?]]&gt;=3.5,"High",IF(Table1[[#This Row],[What is your current CGPA?]]&gt;=2.5,"Medium","Low"))</f>
        <v>Medium</v>
      </c>
      <c r="AG119" t="str">
        <f>IF(AND(Table1[[#This Row],[Average attendance on class]]&lt;75,Table1[[#This Row],[How many hour do you study daily?]]&lt;1),"At Risk","Normal")</f>
        <v>Normal</v>
      </c>
      <c r="AH119">
        <f>(Table1[[#This Row],[Average attendance on class]]*0.4)+(Table1[[#This Row],[How many hour do you study daily?]]*10*0.3)+(Table1[[#This Row],[How many hour do you spent daily on your skill development?]]*10*0.3)</f>
        <v>54.6</v>
      </c>
    </row>
    <row r="120" spans="1:34" x14ac:dyDescent="0.25">
      <c r="A120">
        <v>2018</v>
      </c>
      <c r="B120" t="s">
        <v>34</v>
      </c>
      <c r="C120">
        <v>24</v>
      </c>
      <c r="D120">
        <v>2017</v>
      </c>
      <c r="E120" t="s">
        <v>35</v>
      </c>
      <c r="F120">
        <v>13</v>
      </c>
      <c r="G120" t="s">
        <v>37</v>
      </c>
      <c r="H120" t="s">
        <v>37</v>
      </c>
      <c r="I120">
        <v>2</v>
      </c>
      <c r="J120">
        <v>2</v>
      </c>
      <c r="K120" t="s">
        <v>38</v>
      </c>
      <c r="L120" t="s">
        <v>36</v>
      </c>
      <c r="M120" t="s">
        <v>36</v>
      </c>
      <c r="N120">
        <v>4</v>
      </c>
      <c r="O120" t="s">
        <v>45</v>
      </c>
      <c r="P120">
        <v>50</v>
      </c>
      <c r="Q120" t="s">
        <v>36</v>
      </c>
      <c r="R120" t="s">
        <v>36</v>
      </c>
      <c r="S120" t="s">
        <v>36</v>
      </c>
      <c r="T120" t="s">
        <v>40</v>
      </c>
      <c r="U120">
        <v>5</v>
      </c>
      <c r="V120" t="s">
        <v>40</v>
      </c>
      <c r="W120" t="s">
        <v>56</v>
      </c>
      <c r="X120" t="s">
        <v>36</v>
      </c>
      <c r="Y120" t="s">
        <v>43</v>
      </c>
      <c r="Z120" t="s">
        <v>37</v>
      </c>
      <c r="AA120">
        <v>2.2000000000000002</v>
      </c>
      <c r="AB120" t="s">
        <v>37</v>
      </c>
      <c r="AC120">
        <v>2.66</v>
      </c>
      <c r="AD120">
        <v>110</v>
      </c>
      <c r="AE120">
        <v>60000</v>
      </c>
      <c r="AF120" t="str">
        <f>IF(Table1[[#This Row],[What is your current CGPA?]]&gt;=3.5,"High",IF(Table1[[#This Row],[What is your current CGPA?]]&gt;=2.5,"Medium","Low"))</f>
        <v>Medium</v>
      </c>
      <c r="AG120" t="str">
        <f>IF(AND(Table1[[#This Row],[Average attendance on class]]&lt;75,Table1[[#This Row],[How many hour do you study daily?]]&lt;1),"At Risk","Normal")</f>
        <v>Normal</v>
      </c>
      <c r="AH120">
        <f>(Table1[[#This Row],[Average attendance on class]]*0.4)+(Table1[[#This Row],[How many hour do you study daily?]]*10*0.3)+(Table1[[#This Row],[How many hour do you spent daily on your skill development?]]*10*0.3)</f>
        <v>41</v>
      </c>
    </row>
    <row r="121" spans="1:34" x14ac:dyDescent="0.25">
      <c r="A121">
        <v>2017</v>
      </c>
      <c r="B121" t="s">
        <v>34</v>
      </c>
      <c r="C121">
        <v>22</v>
      </c>
      <c r="D121">
        <v>2017</v>
      </c>
      <c r="E121" t="s">
        <v>35</v>
      </c>
      <c r="F121">
        <v>15</v>
      </c>
      <c r="G121" t="s">
        <v>36</v>
      </c>
      <c r="H121" t="s">
        <v>37</v>
      </c>
      <c r="I121">
        <v>1</v>
      </c>
      <c r="J121">
        <v>1</v>
      </c>
      <c r="K121" t="s">
        <v>38</v>
      </c>
      <c r="L121" t="s">
        <v>36</v>
      </c>
      <c r="M121" t="s">
        <v>36</v>
      </c>
      <c r="N121">
        <v>4</v>
      </c>
      <c r="O121" t="s">
        <v>53</v>
      </c>
      <c r="P121">
        <v>100</v>
      </c>
      <c r="Q121" t="s">
        <v>36</v>
      </c>
      <c r="R121" t="s">
        <v>37</v>
      </c>
      <c r="S121" t="s">
        <v>36</v>
      </c>
      <c r="T121" t="s">
        <v>40</v>
      </c>
      <c r="U121">
        <v>4</v>
      </c>
      <c r="V121" t="s">
        <v>40</v>
      </c>
      <c r="W121" t="s">
        <v>42</v>
      </c>
      <c r="X121" t="s">
        <v>37</v>
      </c>
      <c r="Y121" t="s">
        <v>43</v>
      </c>
      <c r="Z121" t="s">
        <v>36</v>
      </c>
      <c r="AA121">
        <v>2.6</v>
      </c>
      <c r="AB121" t="s">
        <v>37</v>
      </c>
      <c r="AC121">
        <v>2.6</v>
      </c>
      <c r="AD121">
        <v>90</v>
      </c>
      <c r="AE121">
        <v>62488</v>
      </c>
      <c r="AF121" t="str">
        <f>IF(Table1[[#This Row],[What is your current CGPA?]]&gt;=3.5,"High",IF(Table1[[#This Row],[What is your current CGPA?]]&gt;=2.5,"Medium","Low"))</f>
        <v>Medium</v>
      </c>
      <c r="AG121" t="str">
        <f>IF(AND(Table1[[#This Row],[Average attendance on class]]&lt;75,Table1[[#This Row],[How many hour do you study daily?]]&lt;1),"At Risk","Normal")</f>
        <v>Normal</v>
      </c>
      <c r="AH121">
        <f>(Table1[[#This Row],[Average attendance on class]]*0.4)+(Table1[[#This Row],[How many hour do you study daily?]]*10*0.3)+(Table1[[#This Row],[How many hour do you spent daily on your skill development?]]*10*0.3)</f>
        <v>55</v>
      </c>
    </row>
    <row r="122" spans="1:34" x14ac:dyDescent="0.25">
      <c r="A122">
        <v>2019</v>
      </c>
      <c r="B122" t="s">
        <v>48</v>
      </c>
      <c r="C122">
        <v>22</v>
      </c>
      <c r="D122">
        <v>2018</v>
      </c>
      <c r="E122" t="s">
        <v>35</v>
      </c>
      <c r="F122">
        <v>11</v>
      </c>
      <c r="G122" t="s">
        <v>37</v>
      </c>
      <c r="H122" t="s">
        <v>36</v>
      </c>
      <c r="I122">
        <v>3</v>
      </c>
      <c r="J122">
        <v>1</v>
      </c>
      <c r="K122" t="s">
        <v>38</v>
      </c>
      <c r="L122" t="s">
        <v>36</v>
      </c>
      <c r="M122" t="s">
        <v>36</v>
      </c>
      <c r="N122">
        <v>3</v>
      </c>
      <c r="O122" t="s">
        <v>39</v>
      </c>
      <c r="P122">
        <v>95</v>
      </c>
      <c r="Q122" t="s">
        <v>37</v>
      </c>
      <c r="R122" t="s">
        <v>37</v>
      </c>
      <c r="S122" t="s">
        <v>36</v>
      </c>
      <c r="T122" t="s">
        <v>51</v>
      </c>
      <c r="U122">
        <v>0</v>
      </c>
      <c r="V122" t="s">
        <v>40</v>
      </c>
      <c r="W122" t="s">
        <v>56</v>
      </c>
      <c r="X122" t="s">
        <v>37</v>
      </c>
      <c r="Y122" t="s">
        <v>47</v>
      </c>
      <c r="Z122" t="s">
        <v>36</v>
      </c>
      <c r="AA122">
        <v>2.7</v>
      </c>
      <c r="AB122" t="s">
        <v>37</v>
      </c>
      <c r="AC122">
        <v>2.91</v>
      </c>
      <c r="AD122">
        <v>120</v>
      </c>
      <c r="AE122">
        <v>150000</v>
      </c>
      <c r="AF122" t="str">
        <f>IF(Table1[[#This Row],[What is your current CGPA?]]&gt;=3.5,"High",IF(Table1[[#This Row],[What is your current CGPA?]]&gt;=2.5,"Medium","Low"))</f>
        <v>Medium</v>
      </c>
      <c r="AG122" t="str">
        <f>IF(AND(Table1[[#This Row],[Average attendance on class]]&lt;75,Table1[[#This Row],[How many hour do you study daily?]]&lt;1),"At Risk","Normal")</f>
        <v>Normal</v>
      </c>
      <c r="AH122">
        <f>(Table1[[#This Row],[Average attendance on class]]*0.4)+(Table1[[#This Row],[How many hour do you study daily?]]*10*0.3)+(Table1[[#This Row],[How many hour do you spent daily on your skill development?]]*10*0.3)</f>
        <v>47</v>
      </c>
    </row>
    <row r="123" spans="1:34" x14ac:dyDescent="0.25">
      <c r="A123">
        <v>2018</v>
      </c>
      <c r="B123" t="s">
        <v>34</v>
      </c>
      <c r="C123">
        <v>23</v>
      </c>
      <c r="D123">
        <v>2017</v>
      </c>
      <c r="E123" t="s">
        <v>35</v>
      </c>
      <c r="F123">
        <v>14</v>
      </c>
      <c r="G123" t="s">
        <v>37</v>
      </c>
      <c r="H123" t="s">
        <v>37</v>
      </c>
      <c r="I123">
        <v>2</v>
      </c>
      <c r="J123">
        <v>2</v>
      </c>
      <c r="K123" t="s">
        <v>44</v>
      </c>
      <c r="L123" t="s">
        <v>36</v>
      </c>
      <c r="M123" t="s">
        <v>36</v>
      </c>
      <c r="N123">
        <v>1</v>
      </c>
      <c r="O123" t="s">
        <v>39</v>
      </c>
      <c r="P123">
        <v>90</v>
      </c>
      <c r="Q123" t="s">
        <v>36</v>
      </c>
      <c r="R123" t="s">
        <v>36</v>
      </c>
      <c r="S123" t="s">
        <v>36</v>
      </c>
      <c r="T123" t="s">
        <v>40</v>
      </c>
      <c r="U123">
        <v>2</v>
      </c>
      <c r="V123" t="s">
        <v>40</v>
      </c>
      <c r="W123" t="s">
        <v>42</v>
      </c>
      <c r="X123" t="s">
        <v>36</v>
      </c>
      <c r="Y123" t="s">
        <v>47</v>
      </c>
      <c r="Z123" t="s">
        <v>37</v>
      </c>
      <c r="AA123">
        <v>2.87</v>
      </c>
      <c r="AB123" t="s">
        <v>37</v>
      </c>
      <c r="AC123">
        <v>2.99</v>
      </c>
      <c r="AD123">
        <v>120</v>
      </c>
      <c r="AE123">
        <v>30000</v>
      </c>
      <c r="AF123" t="str">
        <f>IF(Table1[[#This Row],[What is your current CGPA?]]&gt;=3.5,"High",IF(Table1[[#This Row],[What is your current CGPA?]]&gt;=2.5,"Medium","Low"))</f>
        <v>Medium</v>
      </c>
      <c r="AG123" t="str">
        <f>IF(AND(Table1[[#This Row],[Average attendance on class]]&lt;75,Table1[[#This Row],[How many hour do you study daily?]]&lt;1),"At Risk","Normal")</f>
        <v>Normal</v>
      </c>
      <c r="AH123">
        <f>(Table1[[#This Row],[Average attendance on class]]*0.4)+(Table1[[#This Row],[How many hour do you study daily?]]*10*0.3)+(Table1[[#This Row],[How many hour do you spent daily on your skill development?]]*10*0.3)</f>
        <v>48</v>
      </c>
    </row>
    <row r="124" spans="1:34" x14ac:dyDescent="0.25">
      <c r="A124">
        <v>2021</v>
      </c>
      <c r="B124" t="s">
        <v>34</v>
      </c>
      <c r="C124">
        <v>20</v>
      </c>
      <c r="D124">
        <v>2019</v>
      </c>
      <c r="E124" t="s">
        <v>35</v>
      </c>
      <c r="F124">
        <v>5</v>
      </c>
      <c r="G124" t="s">
        <v>37</v>
      </c>
      <c r="H124" t="s">
        <v>37</v>
      </c>
      <c r="I124">
        <v>4</v>
      </c>
      <c r="J124">
        <v>4</v>
      </c>
      <c r="K124" t="s">
        <v>38</v>
      </c>
      <c r="L124" t="s">
        <v>36</v>
      </c>
      <c r="M124" t="s">
        <v>36</v>
      </c>
      <c r="N124">
        <v>1</v>
      </c>
      <c r="O124" t="s">
        <v>39</v>
      </c>
      <c r="P124">
        <v>95</v>
      </c>
      <c r="Q124" t="s">
        <v>36</v>
      </c>
      <c r="R124" t="s">
        <v>37</v>
      </c>
      <c r="S124" t="s">
        <v>37</v>
      </c>
      <c r="T124" t="s">
        <v>40</v>
      </c>
      <c r="U124">
        <v>4</v>
      </c>
      <c r="V124" t="s">
        <v>40</v>
      </c>
      <c r="W124" t="s">
        <v>42</v>
      </c>
      <c r="X124" t="s">
        <v>37</v>
      </c>
      <c r="Y124" t="s">
        <v>43</v>
      </c>
      <c r="Z124" t="s">
        <v>37</v>
      </c>
      <c r="AA124">
        <v>2.68</v>
      </c>
      <c r="AB124" t="s">
        <v>37</v>
      </c>
      <c r="AC124">
        <v>3.15</v>
      </c>
      <c r="AD124">
        <v>50</v>
      </c>
      <c r="AE124">
        <v>25000</v>
      </c>
      <c r="AF124" t="str">
        <f>IF(Table1[[#This Row],[What is your current CGPA?]]&gt;=3.5,"High",IF(Table1[[#This Row],[What is your current CGPA?]]&gt;=2.5,"Medium","Low"))</f>
        <v>Medium</v>
      </c>
      <c r="AG124" t="str">
        <f>IF(AND(Table1[[#This Row],[Average attendance on class]]&lt;75,Table1[[#This Row],[How many hour do you study daily?]]&lt;1),"At Risk","Normal")</f>
        <v>Normal</v>
      </c>
      <c r="AH124">
        <f>(Table1[[#This Row],[Average attendance on class]]*0.4)+(Table1[[#This Row],[How many hour do you study daily?]]*10*0.3)+(Table1[[#This Row],[How many hour do you spent daily on your skill development?]]*10*0.3)</f>
        <v>62</v>
      </c>
    </row>
    <row r="125" spans="1:34" x14ac:dyDescent="0.25">
      <c r="A125">
        <v>2019</v>
      </c>
      <c r="B125" t="s">
        <v>34</v>
      </c>
      <c r="C125">
        <v>23</v>
      </c>
      <c r="D125">
        <v>2017</v>
      </c>
      <c r="E125" t="s">
        <v>35</v>
      </c>
      <c r="F125">
        <v>9</v>
      </c>
      <c r="G125" t="s">
        <v>37</v>
      </c>
      <c r="H125" t="s">
        <v>36</v>
      </c>
      <c r="I125">
        <v>2</v>
      </c>
      <c r="J125">
        <v>1</v>
      </c>
      <c r="K125" t="s">
        <v>44</v>
      </c>
      <c r="L125" t="s">
        <v>36</v>
      </c>
      <c r="M125" t="s">
        <v>36</v>
      </c>
      <c r="N125">
        <v>4</v>
      </c>
      <c r="O125" t="s">
        <v>39</v>
      </c>
      <c r="P125">
        <v>70</v>
      </c>
      <c r="Q125" t="s">
        <v>37</v>
      </c>
      <c r="R125" t="s">
        <v>37</v>
      </c>
      <c r="S125" t="s">
        <v>36</v>
      </c>
      <c r="T125" t="s">
        <v>61</v>
      </c>
      <c r="U125">
        <v>4</v>
      </c>
      <c r="V125" t="s">
        <v>51</v>
      </c>
      <c r="W125" t="s">
        <v>50</v>
      </c>
      <c r="X125" t="s">
        <v>36</v>
      </c>
      <c r="Y125" t="s">
        <v>47</v>
      </c>
      <c r="Z125" t="s">
        <v>37</v>
      </c>
      <c r="AA125">
        <v>2.68</v>
      </c>
      <c r="AB125" t="s">
        <v>37</v>
      </c>
      <c r="AC125">
        <v>3.15</v>
      </c>
      <c r="AD125">
        <v>100</v>
      </c>
      <c r="AE125">
        <v>200000</v>
      </c>
      <c r="AF125" t="str">
        <f>IF(Table1[[#This Row],[What is your current CGPA?]]&gt;=3.5,"High",IF(Table1[[#This Row],[What is your current CGPA?]]&gt;=2.5,"Medium","Low"))</f>
        <v>Medium</v>
      </c>
      <c r="AG125" t="str">
        <f>IF(AND(Table1[[#This Row],[Average attendance on class]]&lt;75,Table1[[#This Row],[How many hour do you study daily?]]&lt;1),"At Risk","Normal")</f>
        <v>Normal</v>
      </c>
      <c r="AH125">
        <f>(Table1[[#This Row],[Average attendance on class]]*0.4)+(Table1[[#This Row],[How many hour do you study daily?]]*10*0.3)+(Table1[[#This Row],[How many hour do you spent daily on your skill development?]]*10*0.3)</f>
        <v>46</v>
      </c>
    </row>
    <row r="126" spans="1:34" x14ac:dyDescent="0.25">
      <c r="A126">
        <v>2015</v>
      </c>
      <c r="B126" t="s">
        <v>34</v>
      </c>
      <c r="C126">
        <v>26</v>
      </c>
      <c r="D126">
        <v>2012</v>
      </c>
      <c r="E126" t="s">
        <v>35</v>
      </c>
      <c r="F126">
        <v>21</v>
      </c>
      <c r="G126" t="s">
        <v>37</v>
      </c>
      <c r="H126" t="s">
        <v>37</v>
      </c>
      <c r="I126">
        <v>1</v>
      </c>
      <c r="J126">
        <v>1</v>
      </c>
      <c r="K126" t="s">
        <v>38</v>
      </c>
      <c r="L126" t="s">
        <v>36</v>
      </c>
      <c r="M126" t="s">
        <v>36</v>
      </c>
      <c r="N126">
        <v>1</v>
      </c>
      <c r="O126" t="s">
        <v>45</v>
      </c>
      <c r="P126">
        <v>85</v>
      </c>
      <c r="Q126" t="s">
        <v>36</v>
      </c>
      <c r="R126" t="s">
        <v>37</v>
      </c>
      <c r="S126" t="s">
        <v>37</v>
      </c>
      <c r="T126" t="s">
        <v>40</v>
      </c>
      <c r="U126">
        <v>1</v>
      </c>
      <c r="V126" t="s">
        <v>59</v>
      </c>
      <c r="W126" t="s">
        <v>42</v>
      </c>
      <c r="X126" t="s">
        <v>37</v>
      </c>
      <c r="Y126" t="s">
        <v>43</v>
      </c>
      <c r="Z126" t="s">
        <v>36</v>
      </c>
      <c r="AA126">
        <v>2.68</v>
      </c>
      <c r="AB126" t="s">
        <v>36</v>
      </c>
      <c r="AC126">
        <v>3.15</v>
      </c>
      <c r="AD126">
        <v>77</v>
      </c>
      <c r="AE126">
        <v>50000</v>
      </c>
      <c r="AF126" t="str">
        <f>IF(Table1[[#This Row],[What is your current CGPA?]]&gt;=3.5,"High",IF(Table1[[#This Row],[What is your current CGPA?]]&gt;=2.5,"Medium","Low"))</f>
        <v>Medium</v>
      </c>
      <c r="AG126" t="str">
        <f>IF(AND(Table1[[#This Row],[Average attendance on class]]&lt;75,Table1[[#This Row],[How many hour do you study daily?]]&lt;1),"At Risk","Normal")</f>
        <v>Normal</v>
      </c>
      <c r="AH126">
        <f>(Table1[[#This Row],[Average attendance on class]]*0.4)+(Table1[[#This Row],[How many hour do you study daily?]]*10*0.3)+(Table1[[#This Row],[How many hour do you spent daily on your skill development?]]*10*0.3)</f>
        <v>40</v>
      </c>
    </row>
    <row r="127" spans="1:34" x14ac:dyDescent="0.25">
      <c r="A127">
        <v>2019</v>
      </c>
      <c r="B127" t="s">
        <v>34</v>
      </c>
      <c r="C127">
        <v>22</v>
      </c>
      <c r="D127">
        <v>2019</v>
      </c>
      <c r="E127" t="s">
        <v>35</v>
      </c>
      <c r="F127">
        <v>9</v>
      </c>
      <c r="G127" t="s">
        <v>37</v>
      </c>
      <c r="H127" t="s">
        <v>37</v>
      </c>
      <c r="I127">
        <v>3</v>
      </c>
      <c r="J127">
        <v>5</v>
      </c>
      <c r="K127" t="s">
        <v>44</v>
      </c>
      <c r="L127" t="s">
        <v>36</v>
      </c>
      <c r="M127" t="s">
        <v>36</v>
      </c>
      <c r="N127">
        <v>1</v>
      </c>
      <c r="O127" t="s">
        <v>39</v>
      </c>
      <c r="P127">
        <v>99</v>
      </c>
      <c r="Q127" t="s">
        <v>37</v>
      </c>
      <c r="R127" t="s">
        <v>37</v>
      </c>
      <c r="S127" t="s">
        <v>37</v>
      </c>
      <c r="T127" t="s">
        <v>40</v>
      </c>
      <c r="U127">
        <v>3</v>
      </c>
      <c r="V127" t="s">
        <v>40</v>
      </c>
      <c r="W127" t="s">
        <v>42</v>
      </c>
      <c r="X127" t="s">
        <v>37</v>
      </c>
      <c r="Y127" t="s">
        <v>43</v>
      </c>
      <c r="Z127" t="s">
        <v>37</v>
      </c>
      <c r="AA127">
        <v>2.68</v>
      </c>
      <c r="AB127" t="s">
        <v>37</v>
      </c>
      <c r="AC127">
        <v>3.15</v>
      </c>
      <c r="AD127">
        <v>100</v>
      </c>
      <c r="AE127">
        <v>40000</v>
      </c>
      <c r="AF127" t="str">
        <f>IF(Table1[[#This Row],[What is your current CGPA?]]&gt;=3.5,"High",IF(Table1[[#This Row],[What is your current CGPA?]]&gt;=2.5,"Medium","Low"))</f>
        <v>Medium</v>
      </c>
      <c r="AG127" t="str">
        <f>IF(AND(Table1[[#This Row],[Average attendance on class]]&lt;75,Table1[[#This Row],[How many hour do you study daily?]]&lt;1),"At Risk","Normal")</f>
        <v>Normal</v>
      </c>
      <c r="AH127">
        <f>(Table1[[#This Row],[Average attendance on class]]*0.4)+(Table1[[#This Row],[How many hour do you study daily?]]*10*0.3)+(Table1[[#This Row],[How many hour do you spent daily on your skill development?]]*10*0.3)</f>
        <v>57.6</v>
      </c>
    </row>
    <row r="128" spans="1:34" x14ac:dyDescent="0.25">
      <c r="A128">
        <v>2019</v>
      </c>
      <c r="B128" t="s">
        <v>34</v>
      </c>
      <c r="C128">
        <v>23</v>
      </c>
      <c r="D128">
        <v>2018</v>
      </c>
      <c r="E128" t="s">
        <v>35</v>
      </c>
      <c r="F128">
        <v>9</v>
      </c>
      <c r="G128" t="s">
        <v>37</v>
      </c>
      <c r="H128" t="s">
        <v>36</v>
      </c>
      <c r="I128">
        <v>1</v>
      </c>
      <c r="J128">
        <v>1</v>
      </c>
      <c r="K128" t="s">
        <v>38</v>
      </c>
      <c r="L128" t="s">
        <v>36</v>
      </c>
      <c r="M128" t="s">
        <v>36</v>
      </c>
      <c r="N128">
        <v>1</v>
      </c>
      <c r="O128" t="s">
        <v>39</v>
      </c>
      <c r="P128">
        <v>70</v>
      </c>
      <c r="Q128" t="s">
        <v>37</v>
      </c>
      <c r="R128" t="s">
        <v>37</v>
      </c>
      <c r="S128" t="s">
        <v>37</v>
      </c>
      <c r="T128" t="s">
        <v>40</v>
      </c>
      <c r="U128">
        <v>1</v>
      </c>
      <c r="V128" t="s">
        <v>59</v>
      </c>
      <c r="W128" t="s">
        <v>50</v>
      </c>
      <c r="X128" t="s">
        <v>36</v>
      </c>
      <c r="Y128" t="s">
        <v>47</v>
      </c>
      <c r="Z128" t="s">
        <v>36</v>
      </c>
      <c r="AA128">
        <v>2.7</v>
      </c>
      <c r="AB128" t="s">
        <v>37</v>
      </c>
      <c r="AC128">
        <v>2.92</v>
      </c>
      <c r="AD128">
        <v>76</v>
      </c>
      <c r="AE128">
        <v>15000</v>
      </c>
      <c r="AF128" t="str">
        <f>IF(Table1[[#This Row],[What is your current CGPA?]]&gt;=3.5,"High",IF(Table1[[#This Row],[What is your current CGPA?]]&gt;=2.5,"Medium","Low"))</f>
        <v>Medium</v>
      </c>
      <c r="AG128" t="str">
        <f>IF(AND(Table1[[#This Row],[Average attendance on class]]&lt;75,Table1[[#This Row],[How many hour do you study daily?]]&lt;1),"At Risk","Normal")</f>
        <v>Normal</v>
      </c>
      <c r="AH128">
        <f>(Table1[[#This Row],[Average attendance on class]]*0.4)+(Table1[[#This Row],[How many hour do you study daily?]]*10*0.3)+(Table1[[#This Row],[How many hour do you spent daily on your skill development?]]*10*0.3)</f>
        <v>34</v>
      </c>
    </row>
    <row r="129" spans="1:34" x14ac:dyDescent="0.25">
      <c r="A129">
        <v>2019</v>
      </c>
      <c r="B129" t="s">
        <v>34</v>
      </c>
      <c r="C129">
        <v>21</v>
      </c>
      <c r="D129">
        <v>2018</v>
      </c>
      <c r="E129" t="s">
        <v>35</v>
      </c>
      <c r="F129">
        <v>11</v>
      </c>
      <c r="G129" t="s">
        <v>37</v>
      </c>
      <c r="H129" t="s">
        <v>36</v>
      </c>
      <c r="I129">
        <v>2</v>
      </c>
      <c r="J129">
        <v>1</v>
      </c>
      <c r="K129" t="s">
        <v>38</v>
      </c>
      <c r="L129" t="s">
        <v>36</v>
      </c>
      <c r="M129" t="s">
        <v>36</v>
      </c>
      <c r="N129">
        <v>1</v>
      </c>
      <c r="O129" t="s">
        <v>39</v>
      </c>
      <c r="P129">
        <v>73</v>
      </c>
      <c r="Q129" t="s">
        <v>37</v>
      </c>
      <c r="R129" t="s">
        <v>37</v>
      </c>
      <c r="S129" t="s">
        <v>36</v>
      </c>
      <c r="T129" t="s">
        <v>40</v>
      </c>
      <c r="U129">
        <v>2</v>
      </c>
      <c r="V129" t="s">
        <v>51</v>
      </c>
      <c r="W129" t="s">
        <v>42</v>
      </c>
      <c r="X129" t="s">
        <v>37</v>
      </c>
      <c r="Y129" t="s">
        <v>47</v>
      </c>
      <c r="Z129" t="s">
        <v>37</v>
      </c>
      <c r="AA129">
        <v>2.68</v>
      </c>
      <c r="AB129" t="s">
        <v>37</v>
      </c>
      <c r="AC129">
        <v>3.15</v>
      </c>
      <c r="AD129">
        <v>126</v>
      </c>
      <c r="AE129">
        <v>75000</v>
      </c>
      <c r="AF129" t="str">
        <f>IF(Table1[[#This Row],[What is your current CGPA?]]&gt;=3.5,"High",IF(Table1[[#This Row],[What is your current CGPA?]]&gt;=2.5,"Medium","Low"))</f>
        <v>Medium</v>
      </c>
      <c r="AG129" t="str">
        <f>IF(AND(Table1[[#This Row],[Average attendance on class]]&lt;75,Table1[[#This Row],[How many hour do you study daily?]]&lt;1),"At Risk","Normal")</f>
        <v>Normal</v>
      </c>
      <c r="AH129">
        <f>(Table1[[#This Row],[Average attendance on class]]*0.4)+(Table1[[#This Row],[How many hour do you study daily?]]*10*0.3)+(Table1[[#This Row],[How many hour do you spent daily on your skill development?]]*10*0.3)</f>
        <v>41.2</v>
      </c>
    </row>
    <row r="130" spans="1:34" x14ac:dyDescent="0.25">
      <c r="A130">
        <v>2019</v>
      </c>
      <c r="B130" t="s">
        <v>34</v>
      </c>
      <c r="C130">
        <v>22</v>
      </c>
      <c r="D130">
        <v>2018</v>
      </c>
      <c r="E130" t="s">
        <v>35</v>
      </c>
      <c r="F130">
        <v>11</v>
      </c>
      <c r="G130" t="s">
        <v>37</v>
      </c>
      <c r="H130" t="s">
        <v>37</v>
      </c>
      <c r="I130">
        <v>2</v>
      </c>
      <c r="J130">
        <v>2</v>
      </c>
      <c r="K130" t="s">
        <v>44</v>
      </c>
      <c r="L130" t="s">
        <v>36</v>
      </c>
      <c r="M130" t="s">
        <v>36</v>
      </c>
      <c r="N130">
        <v>1</v>
      </c>
      <c r="O130" t="s">
        <v>39</v>
      </c>
      <c r="P130">
        <v>100</v>
      </c>
      <c r="Q130" t="s">
        <v>36</v>
      </c>
      <c r="R130" t="s">
        <v>36</v>
      </c>
      <c r="S130" t="s">
        <v>36</v>
      </c>
      <c r="T130" t="s">
        <v>40</v>
      </c>
      <c r="U130">
        <v>2</v>
      </c>
      <c r="V130" t="s">
        <v>40</v>
      </c>
      <c r="W130" t="s">
        <v>42</v>
      </c>
      <c r="X130" t="s">
        <v>37</v>
      </c>
      <c r="Y130" t="s">
        <v>43</v>
      </c>
      <c r="Z130" t="s">
        <v>36</v>
      </c>
      <c r="AA130">
        <v>2.68</v>
      </c>
      <c r="AB130" t="s">
        <v>37</v>
      </c>
      <c r="AC130">
        <v>3.15</v>
      </c>
      <c r="AD130">
        <v>126</v>
      </c>
      <c r="AE130">
        <v>40000</v>
      </c>
      <c r="AF130" t="str">
        <f>IF(Table1[[#This Row],[What is your current CGPA?]]&gt;=3.5,"High",IF(Table1[[#This Row],[What is your current CGPA?]]&gt;=2.5,"Medium","Low"))</f>
        <v>Medium</v>
      </c>
      <c r="AG130" t="str">
        <f>IF(AND(Table1[[#This Row],[Average attendance on class]]&lt;75,Table1[[#This Row],[How many hour do you study daily?]]&lt;1),"At Risk","Normal")</f>
        <v>Normal</v>
      </c>
      <c r="AH130">
        <f>(Table1[[#This Row],[Average attendance on class]]*0.4)+(Table1[[#This Row],[How many hour do you study daily?]]*10*0.3)+(Table1[[#This Row],[How many hour do you spent daily on your skill development?]]*10*0.3)</f>
        <v>52</v>
      </c>
    </row>
    <row r="131" spans="1:34" x14ac:dyDescent="0.25">
      <c r="A131">
        <v>2018</v>
      </c>
      <c r="B131" t="s">
        <v>48</v>
      </c>
      <c r="C131">
        <v>23</v>
      </c>
      <c r="D131">
        <v>2016</v>
      </c>
      <c r="E131" t="s">
        <v>35</v>
      </c>
      <c r="F131">
        <v>14</v>
      </c>
      <c r="G131" t="s">
        <v>37</v>
      </c>
      <c r="H131" t="s">
        <v>36</v>
      </c>
      <c r="I131">
        <v>3</v>
      </c>
      <c r="J131">
        <v>2</v>
      </c>
      <c r="K131" t="s">
        <v>38</v>
      </c>
      <c r="L131" t="s">
        <v>36</v>
      </c>
      <c r="M131" t="s">
        <v>36</v>
      </c>
      <c r="N131">
        <v>1</v>
      </c>
      <c r="O131" t="s">
        <v>45</v>
      </c>
      <c r="P131">
        <v>70</v>
      </c>
      <c r="Q131" t="s">
        <v>36</v>
      </c>
      <c r="R131" t="s">
        <v>37</v>
      </c>
      <c r="S131" t="s">
        <v>37</v>
      </c>
      <c r="T131" t="s">
        <v>40</v>
      </c>
      <c r="U131">
        <v>2</v>
      </c>
      <c r="V131" t="s">
        <v>59</v>
      </c>
      <c r="W131" t="s">
        <v>42</v>
      </c>
      <c r="X131" t="s">
        <v>37</v>
      </c>
      <c r="Y131" t="s">
        <v>43</v>
      </c>
      <c r="Z131" t="s">
        <v>36</v>
      </c>
      <c r="AA131">
        <v>2.98</v>
      </c>
      <c r="AB131" t="s">
        <v>36</v>
      </c>
      <c r="AC131">
        <v>2.96</v>
      </c>
      <c r="AD131">
        <v>118</v>
      </c>
      <c r="AE131">
        <v>20000</v>
      </c>
      <c r="AF131" t="str">
        <f>IF(Table1[[#This Row],[What is your current CGPA?]]&gt;=3.5,"High",IF(Table1[[#This Row],[What is your current CGPA?]]&gt;=2.5,"Medium","Low"))</f>
        <v>Medium</v>
      </c>
      <c r="AG131" t="str">
        <f>IF(AND(Table1[[#This Row],[Average attendance on class]]&lt;75,Table1[[#This Row],[How many hour do you study daily?]]&lt;1),"At Risk","Normal")</f>
        <v>Normal</v>
      </c>
      <c r="AH131">
        <f>(Table1[[#This Row],[Average attendance on class]]*0.4)+(Table1[[#This Row],[How many hour do you study daily?]]*10*0.3)+(Table1[[#This Row],[How many hour do you spent daily on your skill development?]]*10*0.3)</f>
        <v>43</v>
      </c>
    </row>
    <row r="132" spans="1:34" x14ac:dyDescent="0.25">
      <c r="A132">
        <v>2019</v>
      </c>
      <c r="B132" t="s">
        <v>48</v>
      </c>
      <c r="C132">
        <v>21</v>
      </c>
      <c r="D132">
        <v>2018</v>
      </c>
      <c r="E132" t="s">
        <v>35</v>
      </c>
      <c r="F132">
        <v>11</v>
      </c>
      <c r="G132" t="s">
        <v>37</v>
      </c>
      <c r="H132" t="s">
        <v>37</v>
      </c>
      <c r="I132">
        <v>1</v>
      </c>
      <c r="J132">
        <v>1</v>
      </c>
      <c r="K132" t="s">
        <v>38</v>
      </c>
      <c r="L132" t="s">
        <v>36</v>
      </c>
      <c r="M132" t="s">
        <v>36</v>
      </c>
      <c r="N132">
        <v>2</v>
      </c>
      <c r="O132" t="s">
        <v>53</v>
      </c>
      <c r="P132">
        <v>75</v>
      </c>
      <c r="Q132" t="s">
        <v>37</v>
      </c>
      <c r="R132" t="s">
        <v>37</v>
      </c>
      <c r="S132" t="s">
        <v>36</v>
      </c>
      <c r="T132" t="s">
        <v>40</v>
      </c>
      <c r="U132">
        <v>2</v>
      </c>
      <c r="V132" t="s">
        <v>40</v>
      </c>
      <c r="W132" t="s">
        <v>50</v>
      </c>
      <c r="X132" t="s">
        <v>37</v>
      </c>
      <c r="Y132" t="s">
        <v>47</v>
      </c>
      <c r="Z132" t="s">
        <v>37</v>
      </c>
      <c r="AA132">
        <v>2.68</v>
      </c>
      <c r="AB132" t="s">
        <v>37</v>
      </c>
      <c r="AC132">
        <v>3.15</v>
      </c>
      <c r="AD132">
        <v>126</v>
      </c>
      <c r="AE132">
        <v>40000</v>
      </c>
      <c r="AF132" t="str">
        <f>IF(Table1[[#This Row],[What is your current CGPA?]]&gt;=3.5,"High",IF(Table1[[#This Row],[What is your current CGPA?]]&gt;=2.5,"Medium","Low"))</f>
        <v>Medium</v>
      </c>
      <c r="AG132" t="str">
        <f>IF(AND(Table1[[#This Row],[Average attendance on class]]&lt;75,Table1[[#This Row],[How many hour do you study daily?]]&lt;1),"At Risk","Normal")</f>
        <v>Normal</v>
      </c>
      <c r="AH132">
        <f>(Table1[[#This Row],[Average attendance on class]]*0.4)+(Table1[[#This Row],[How many hour do you study daily?]]*10*0.3)+(Table1[[#This Row],[How many hour do you spent daily on your skill development?]]*10*0.3)</f>
        <v>39</v>
      </c>
    </row>
    <row r="133" spans="1:34" x14ac:dyDescent="0.25">
      <c r="A133">
        <v>2021</v>
      </c>
      <c r="B133" t="s">
        <v>48</v>
      </c>
      <c r="C133">
        <v>20</v>
      </c>
      <c r="D133">
        <v>2019</v>
      </c>
      <c r="E133" t="s">
        <v>35</v>
      </c>
      <c r="F133">
        <v>2</v>
      </c>
      <c r="G133" t="s">
        <v>36</v>
      </c>
      <c r="H133" t="s">
        <v>37</v>
      </c>
      <c r="I133">
        <v>5</v>
      </c>
      <c r="J133">
        <v>2</v>
      </c>
      <c r="K133" t="s">
        <v>38</v>
      </c>
      <c r="L133" t="s">
        <v>36</v>
      </c>
      <c r="M133" t="s">
        <v>36</v>
      </c>
      <c r="N133">
        <v>7</v>
      </c>
      <c r="O133" t="s">
        <v>45</v>
      </c>
      <c r="P133">
        <v>80</v>
      </c>
      <c r="Q133" t="s">
        <v>37</v>
      </c>
      <c r="R133" t="s">
        <v>37</v>
      </c>
      <c r="S133" t="s">
        <v>37</v>
      </c>
      <c r="T133" t="s">
        <v>40</v>
      </c>
      <c r="U133">
        <v>2</v>
      </c>
      <c r="V133" t="s">
        <v>40</v>
      </c>
      <c r="W133" t="s">
        <v>42</v>
      </c>
      <c r="X133" t="s">
        <v>36</v>
      </c>
      <c r="Y133" t="s">
        <v>43</v>
      </c>
      <c r="Z133" t="s">
        <v>36</v>
      </c>
      <c r="AA133">
        <v>2.68</v>
      </c>
      <c r="AB133" t="s">
        <v>37</v>
      </c>
      <c r="AC133">
        <v>3.15</v>
      </c>
      <c r="AD133">
        <v>11</v>
      </c>
      <c r="AE133">
        <v>62488</v>
      </c>
      <c r="AF133" t="str">
        <f>IF(Table1[[#This Row],[What is your current CGPA?]]&gt;=3.5,"High",IF(Table1[[#This Row],[What is your current CGPA?]]&gt;=2.5,"Medium","Low"))</f>
        <v>Medium</v>
      </c>
      <c r="AG133" t="str">
        <f>IF(AND(Table1[[#This Row],[Average attendance on class]]&lt;75,Table1[[#This Row],[How many hour do you study daily?]]&lt;1),"At Risk","Normal")</f>
        <v>Normal</v>
      </c>
      <c r="AH133">
        <f>(Table1[[#This Row],[Average attendance on class]]*0.4)+(Table1[[#This Row],[How many hour do you study daily?]]*10*0.3)+(Table1[[#This Row],[How many hour do you spent daily on your skill development?]]*10*0.3)</f>
        <v>53</v>
      </c>
    </row>
    <row r="134" spans="1:34" x14ac:dyDescent="0.25">
      <c r="A134">
        <v>2019</v>
      </c>
      <c r="B134" t="s">
        <v>48</v>
      </c>
      <c r="C134">
        <v>21</v>
      </c>
      <c r="D134">
        <v>2019</v>
      </c>
      <c r="E134" t="s">
        <v>35</v>
      </c>
      <c r="F134">
        <v>9</v>
      </c>
      <c r="G134" t="s">
        <v>37</v>
      </c>
      <c r="H134" t="s">
        <v>37</v>
      </c>
      <c r="I134">
        <v>6</v>
      </c>
      <c r="J134">
        <v>3</v>
      </c>
      <c r="K134" t="s">
        <v>38</v>
      </c>
      <c r="L134" t="s">
        <v>36</v>
      </c>
      <c r="M134" t="s">
        <v>36</v>
      </c>
      <c r="N134">
        <v>2</v>
      </c>
      <c r="O134" t="s">
        <v>39</v>
      </c>
      <c r="P134">
        <v>88</v>
      </c>
      <c r="Q134" t="s">
        <v>37</v>
      </c>
      <c r="R134" t="s">
        <v>37</v>
      </c>
      <c r="S134" t="s">
        <v>36</v>
      </c>
      <c r="T134" t="s">
        <v>40</v>
      </c>
      <c r="U134">
        <v>4</v>
      </c>
      <c r="V134" t="s">
        <v>40</v>
      </c>
      <c r="W134" t="s">
        <v>42</v>
      </c>
      <c r="X134" t="s">
        <v>37</v>
      </c>
      <c r="Y134" t="s">
        <v>43</v>
      </c>
      <c r="Z134" t="s">
        <v>37</v>
      </c>
      <c r="AA134">
        <v>2.68</v>
      </c>
      <c r="AB134" t="s">
        <v>37</v>
      </c>
      <c r="AC134">
        <v>3.15</v>
      </c>
      <c r="AD134">
        <v>100</v>
      </c>
      <c r="AE134">
        <v>62488</v>
      </c>
      <c r="AF134" t="str">
        <f>IF(Table1[[#This Row],[What is your current CGPA?]]&gt;=3.5,"High",IF(Table1[[#This Row],[What is your current CGPA?]]&gt;=2.5,"Medium","Low"))</f>
        <v>Medium</v>
      </c>
      <c r="AG134" t="str">
        <f>IF(AND(Table1[[#This Row],[Average attendance on class]]&lt;75,Table1[[#This Row],[How many hour do you study daily?]]&lt;1),"At Risk","Normal")</f>
        <v>Normal</v>
      </c>
      <c r="AH134">
        <f>(Table1[[#This Row],[Average attendance on class]]*0.4)+(Table1[[#This Row],[How many hour do you study daily?]]*10*0.3)+(Table1[[#This Row],[How many hour do you spent daily on your skill development?]]*10*0.3)</f>
        <v>65.2</v>
      </c>
    </row>
    <row r="135" spans="1:34" x14ac:dyDescent="0.25">
      <c r="A135">
        <v>2019</v>
      </c>
      <c r="B135" t="s">
        <v>34</v>
      </c>
      <c r="C135">
        <v>22</v>
      </c>
      <c r="D135">
        <v>2019</v>
      </c>
      <c r="E135" t="s">
        <v>35</v>
      </c>
      <c r="F135">
        <v>9</v>
      </c>
      <c r="G135" t="s">
        <v>37</v>
      </c>
      <c r="H135" t="s">
        <v>37</v>
      </c>
      <c r="I135">
        <v>3</v>
      </c>
      <c r="J135">
        <v>4</v>
      </c>
      <c r="K135" t="s">
        <v>38</v>
      </c>
      <c r="L135" t="s">
        <v>36</v>
      </c>
      <c r="M135" t="s">
        <v>36</v>
      </c>
      <c r="N135">
        <v>2</v>
      </c>
      <c r="O135" t="s">
        <v>39</v>
      </c>
      <c r="P135">
        <v>99</v>
      </c>
      <c r="Q135" t="s">
        <v>37</v>
      </c>
      <c r="R135" t="s">
        <v>37</v>
      </c>
      <c r="S135" t="s">
        <v>37</v>
      </c>
      <c r="T135" t="s">
        <v>40</v>
      </c>
      <c r="U135">
        <v>7</v>
      </c>
      <c r="V135" t="s">
        <v>40</v>
      </c>
      <c r="W135" t="s">
        <v>42</v>
      </c>
      <c r="X135" t="s">
        <v>37</v>
      </c>
      <c r="Y135" t="s">
        <v>43</v>
      </c>
      <c r="Z135" t="s">
        <v>37</v>
      </c>
      <c r="AA135">
        <v>3.52</v>
      </c>
      <c r="AB135" t="s">
        <v>37</v>
      </c>
      <c r="AC135">
        <v>2.9</v>
      </c>
      <c r="AD135">
        <v>100</v>
      </c>
      <c r="AE135">
        <v>15000</v>
      </c>
      <c r="AF135" t="str">
        <f>IF(Table1[[#This Row],[What is your current CGPA?]]&gt;=3.5,"High",IF(Table1[[#This Row],[What is your current CGPA?]]&gt;=2.5,"Medium","Low"))</f>
        <v>Medium</v>
      </c>
      <c r="AG135" t="str">
        <f>IF(AND(Table1[[#This Row],[Average attendance on class]]&lt;75,Table1[[#This Row],[How many hour do you study daily?]]&lt;1),"At Risk","Normal")</f>
        <v>Normal</v>
      </c>
      <c r="AH135">
        <f>(Table1[[#This Row],[Average attendance on class]]*0.4)+(Table1[[#This Row],[How many hour do you study daily?]]*10*0.3)+(Table1[[#This Row],[How many hour do you spent daily on your skill development?]]*10*0.3)</f>
        <v>69.599999999999994</v>
      </c>
    </row>
    <row r="136" spans="1:34" x14ac:dyDescent="0.25">
      <c r="A136">
        <v>2020</v>
      </c>
      <c r="B136" t="s">
        <v>34</v>
      </c>
      <c r="C136">
        <v>23</v>
      </c>
      <c r="D136">
        <v>2018</v>
      </c>
      <c r="E136" t="s">
        <v>35</v>
      </c>
      <c r="F136">
        <v>8</v>
      </c>
      <c r="G136" t="s">
        <v>36</v>
      </c>
      <c r="H136" t="s">
        <v>36</v>
      </c>
      <c r="I136">
        <v>4</v>
      </c>
      <c r="J136">
        <v>5</v>
      </c>
      <c r="K136" t="s">
        <v>38</v>
      </c>
      <c r="L136" t="s">
        <v>36</v>
      </c>
      <c r="M136" t="s">
        <v>36</v>
      </c>
      <c r="N136">
        <v>3</v>
      </c>
      <c r="O136" t="s">
        <v>39</v>
      </c>
      <c r="P136">
        <v>100</v>
      </c>
      <c r="Q136" t="s">
        <v>37</v>
      </c>
      <c r="R136" t="s">
        <v>37</v>
      </c>
      <c r="S136" t="s">
        <v>36</v>
      </c>
      <c r="T136" t="s">
        <v>40</v>
      </c>
      <c r="U136">
        <v>2</v>
      </c>
      <c r="V136" t="s">
        <v>40</v>
      </c>
      <c r="W136" t="s">
        <v>42</v>
      </c>
      <c r="X136" t="s">
        <v>36</v>
      </c>
      <c r="Y136" t="s">
        <v>43</v>
      </c>
      <c r="Z136" t="s">
        <v>37</v>
      </c>
      <c r="AA136">
        <v>3.48</v>
      </c>
      <c r="AB136" t="s">
        <v>37</v>
      </c>
      <c r="AC136">
        <v>3.08</v>
      </c>
      <c r="AD136">
        <v>68</v>
      </c>
      <c r="AE136">
        <v>20000</v>
      </c>
      <c r="AF136" t="str">
        <f>IF(Table1[[#This Row],[What is your current CGPA?]]&gt;=3.5,"High",IF(Table1[[#This Row],[What is your current CGPA?]]&gt;=2.5,"Medium","Low"))</f>
        <v>Medium</v>
      </c>
      <c r="AG136" t="str">
        <f>IF(AND(Table1[[#This Row],[Average attendance on class]]&lt;75,Table1[[#This Row],[How many hour do you study daily?]]&lt;1),"At Risk","Normal")</f>
        <v>Normal</v>
      </c>
      <c r="AH136">
        <f>(Table1[[#This Row],[Average attendance on class]]*0.4)+(Table1[[#This Row],[How many hour do you study daily?]]*10*0.3)+(Table1[[#This Row],[How many hour do you spent daily on your skill development?]]*10*0.3)</f>
        <v>58</v>
      </c>
    </row>
    <row r="137" spans="1:34" x14ac:dyDescent="0.25">
      <c r="A137">
        <v>2016</v>
      </c>
      <c r="B137" t="s">
        <v>34</v>
      </c>
      <c r="C137">
        <v>25</v>
      </c>
      <c r="D137">
        <v>2014</v>
      </c>
      <c r="E137" t="s">
        <v>35</v>
      </c>
      <c r="F137">
        <v>11</v>
      </c>
      <c r="G137" t="s">
        <v>36</v>
      </c>
      <c r="H137" t="s">
        <v>36</v>
      </c>
      <c r="I137">
        <v>2</v>
      </c>
      <c r="J137">
        <v>1</v>
      </c>
      <c r="K137" t="s">
        <v>44</v>
      </c>
      <c r="L137" t="s">
        <v>36</v>
      </c>
      <c r="M137" t="s">
        <v>36</v>
      </c>
      <c r="N137">
        <v>3</v>
      </c>
      <c r="O137" t="s">
        <v>53</v>
      </c>
      <c r="P137">
        <v>90</v>
      </c>
      <c r="Q137" t="s">
        <v>36</v>
      </c>
      <c r="R137" t="s">
        <v>37</v>
      </c>
      <c r="S137" t="s">
        <v>36</v>
      </c>
      <c r="T137" t="s">
        <v>40</v>
      </c>
      <c r="U137">
        <v>3</v>
      </c>
      <c r="V137" t="s">
        <v>40</v>
      </c>
      <c r="W137" t="s">
        <v>42</v>
      </c>
      <c r="X137" t="s">
        <v>36</v>
      </c>
      <c r="Y137" t="s">
        <v>47</v>
      </c>
      <c r="Z137" t="s">
        <v>37</v>
      </c>
      <c r="AA137">
        <v>2.68</v>
      </c>
      <c r="AB137" t="s">
        <v>37</v>
      </c>
      <c r="AC137">
        <v>3.15</v>
      </c>
      <c r="AD137">
        <v>126</v>
      </c>
      <c r="AE137">
        <v>63000</v>
      </c>
      <c r="AF137" t="str">
        <f>IF(Table1[[#This Row],[What is your current CGPA?]]&gt;=3.5,"High",IF(Table1[[#This Row],[What is your current CGPA?]]&gt;=2.5,"Medium","Low"))</f>
        <v>Medium</v>
      </c>
      <c r="AG137" t="str">
        <f>IF(AND(Table1[[#This Row],[Average attendance on class]]&lt;75,Table1[[#This Row],[How many hour do you study daily?]]&lt;1),"At Risk","Normal")</f>
        <v>Normal</v>
      </c>
      <c r="AH137">
        <f>(Table1[[#This Row],[Average attendance on class]]*0.4)+(Table1[[#This Row],[How many hour do you study daily?]]*10*0.3)+(Table1[[#This Row],[How many hour do you spent daily on your skill development?]]*10*0.3)</f>
        <v>51</v>
      </c>
    </row>
    <row r="138" spans="1:34" x14ac:dyDescent="0.25">
      <c r="A138">
        <v>2019</v>
      </c>
      <c r="B138" t="s">
        <v>48</v>
      </c>
      <c r="C138">
        <v>22</v>
      </c>
      <c r="D138">
        <v>2018</v>
      </c>
      <c r="E138" t="s">
        <v>35</v>
      </c>
      <c r="F138">
        <v>11</v>
      </c>
      <c r="G138" t="s">
        <v>36</v>
      </c>
      <c r="H138" t="s">
        <v>36</v>
      </c>
      <c r="I138">
        <v>1</v>
      </c>
      <c r="J138">
        <v>2</v>
      </c>
      <c r="K138" t="s">
        <v>44</v>
      </c>
      <c r="L138" t="s">
        <v>36</v>
      </c>
      <c r="M138" t="s">
        <v>36</v>
      </c>
      <c r="N138">
        <v>3</v>
      </c>
      <c r="O138" t="s">
        <v>45</v>
      </c>
      <c r="P138">
        <v>80</v>
      </c>
      <c r="Q138" t="s">
        <v>37</v>
      </c>
      <c r="R138" t="s">
        <v>37</v>
      </c>
      <c r="S138" t="s">
        <v>37</v>
      </c>
      <c r="T138" t="s">
        <v>40</v>
      </c>
      <c r="U138">
        <v>3</v>
      </c>
      <c r="V138" t="s">
        <v>51</v>
      </c>
      <c r="W138" t="s">
        <v>42</v>
      </c>
      <c r="X138" t="s">
        <v>37</v>
      </c>
      <c r="Y138" t="s">
        <v>47</v>
      </c>
      <c r="Z138" t="s">
        <v>37</v>
      </c>
      <c r="AA138">
        <v>2.68</v>
      </c>
      <c r="AB138" t="s">
        <v>37</v>
      </c>
      <c r="AC138">
        <v>3.15</v>
      </c>
      <c r="AD138">
        <v>126</v>
      </c>
      <c r="AE138">
        <v>50000</v>
      </c>
      <c r="AF138" t="str">
        <f>IF(Table1[[#This Row],[What is your current CGPA?]]&gt;=3.5,"High",IF(Table1[[#This Row],[What is your current CGPA?]]&gt;=2.5,"Medium","Low"))</f>
        <v>Medium</v>
      </c>
      <c r="AG138" t="str">
        <f>IF(AND(Table1[[#This Row],[Average attendance on class]]&lt;75,Table1[[#This Row],[How many hour do you study daily?]]&lt;1),"At Risk","Normal")</f>
        <v>Normal</v>
      </c>
      <c r="AH138">
        <f>(Table1[[#This Row],[Average attendance on class]]*0.4)+(Table1[[#This Row],[How many hour do you study daily?]]*10*0.3)+(Table1[[#This Row],[How many hour do you spent daily on your skill development?]]*10*0.3)</f>
        <v>44</v>
      </c>
    </row>
    <row r="139" spans="1:34" x14ac:dyDescent="0.25">
      <c r="A139">
        <v>2020</v>
      </c>
      <c r="B139" t="s">
        <v>34</v>
      </c>
      <c r="C139">
        <v>20</v>
      </c>
      <c r="D139">
        <v>2019</v>
      </c>
      <c r="E139" t="s">
        <v>35</v>
      </c>
      <c r="F139">
        <v>6</v>
      </c>
      <c r="G139" t="s">
        <v>37</v>
      </c>
      <c r="H139" t="s">
        <v>37</v>
      </c>
      <c r="I139">
        <v>2</v>
      </c>
      <c r="J139">
        <v>2</v>
      </c>
      <c r="K139" t="s">
        <v>44</v>
      </c>
      <c r="L139" t="s">
        <v>36</v>
      </c>
      <c r="M139" t="s">
        <v>36</v>
      </c>
      <c r="N139">
        <v>5</v>
      </c>
      <c r="O139" t="s">
        <v>45</v>
      </c>
      <c r="P139">
        <v>90</v>
      </c>
      <c r="Q139" t="s">
        <v>36</v>
      </c>
      <c r="R139" t="s">
        <v>37</v>
      </c>
      <c r="S139" t="s">
        <v>37</v>
      </c>
      <c r="T139" t="s">
        <v>51</v>
      </c>
      <c r="U139">
        <v>2</v>
      </c>
      <c r="V139" t="s">
        <v>51</v>
      </c>
      <c r="W139" t="s">
        <v>42</v>
      </c>
      <c r="X139" t="s">
        <v>37</v>
      </c>
      <c r="Y139" t="s">
        <v>47</v>
      </c>
      <c r="Z139" t="s">
        <v>37</v>
      </c>
      <c r="AA139">
        <v>2.68</v>
      </c>
      <c r="AB139" t="s">
        <v>37</v>
      </c>
      <c r="AC139">
        <v>3.15</v>
      </c>
      <c r="AD139">
        <v>65</v>
      </c>
      <c r="AE139">
        <v>40000</v>
      </c>
      <c r="AF139" t="str">
        <f>IF(Table1[[#This Row],[What is your current CGPA?]]&gt;=3.5,"High",IF(Table1[[#This Row],[What is your current CGPA?]]&gt;=2.5,"Medium","Low"))</f>
        <v>Medium</v>
      </c>
      <c r="AG139" t="str">
        <f>IF(AND(Table1[[#This Row],[Average attendance on class]]&lt;75,Table1[[#This Row],[How many hour do you study daily?]]&lt;1),"At Risk","Normal")</f>
        <v>Normal</v>
      </c>
      <c r="AH139">
        <f>(Table1[[#This Row],[Average attendance on class]]*0.4)+(Table1[[#This Row],[How many hour do you study daily?]]*10*0.3)+(Table1[[#This Row],[How many hour do you spent daily on your skill development?]]*10*0.3)</f>
        <v>48</v>
      </c>
    </row>
    <row r="140" spans="1:34" x14ac:dyDescent="0.25">
      <c r="A140">
        <v>2018</v>
      </c>
      <c r="B140" t="s">
        <v>34</v>
      </c>
      <c r="C140">
        <v>25</v>
      </c>
      <c r="D140">
        <v>2016</v>
      </c>
      <c r="E140" t="s">
        <v>35</v>
      </c>
      <c r="F140">
        <v>14</v>
      </c>
      <c r="G140" t="s">
        <v>37</v>
      </c>
      <c r="H140" t="s">
        <v>37</v>
      </c>
      <c r="I140">
        <v>6</v>
      </c>
      <c r="J140">
        <v>4</v>
      </c>
      <c r="K140" t="s">
        <v>44</v>
      </c>
      <c r="L140" t="s">
        <v>36</v>
      </c>
      <c r="M140" t="s">
        <v>36</v>
      </c>
      <c r="N140">
        <v>2</v>
      </c>
      <c r="O140" t="s">
        <v>53</v>
      </c>
      <c r="P140">
        <v>2</v>
      </c>
      <c r="Q140" t="s">
        <v>36</v>
      </c>
      <c r="R140" t="s">
        <v>37</v>
      </c>
      <c r="S140" t="s">
        <v>36</v>
      </c>
      <c r="T140" t="s">
        <v>40</v>
      </c>
      <c r="U140">
        <v>4</v>
      </c>
      <c r="V140" t="s">
        <v>40</v>
      </c>
      <c r="W140" t="s">
        <v>42</v>
      </c>
      <c r="X140" t="s">
        <v>36</v>
      </c>
      <c r="Y140" t="s">
        <v>47</v>
      </c>
      <c r="Z140" t="s">
        <v>37</v>
      </c>
      <c r="AA140">
        <v>3.16</v>
      </c>
      <c r="AB140" t="s">
        <v>37</v>
      </c>
      <c r="AC140">
        <v>2.68</v>
      </c>
      <c r="AD140">
        <v>121</v>
      </c>
      <c r="AE140">
        <v>60000</v>
      </c>
      <c r="AF140" t="str">
        <f>IF(Table1[[#This Row],[What is your current CGPA?]]&gt;=3.5,"High",IF(Table1[[#This Row],[What is your current CGPA?]]&gt;=2.5,"Medium","Low"))</f>
        <v>Medium</v>
      </c>
      <c r="AG140" t="str">
        <f>IF(AND(Table1[[#This Row],[Average attendance on class]]&lt;75,Table1[[#This Row],[How many hour do you study daily?]]&lt;1),"At Risk","Normal")</f>
        <v>Normal</v>
      </c>
      <c r="AH140">
        <f>(Table1[[#This Row],[Average attendance on class]]*0.4)+(Table1[[#This Row],[How many hour do you study daily?]]*10*0.3)+(Table1[[#This Row],[How many hour do you spent daily on your skill development?]]*10*0.3)</f>
        <v>30.8</v>
      </c>
    </row>
    <row r="141" spans="1:34" x14ac:dyDescent="0.25">
      <c r="A141">
        <v>2021</v>
      </c>
      <c r="B141" t="s">
        <v>48</v>
      </c>
      <c r="C141">
        <v>21</v>
      </c>
      <c r="D141">
        <v>2019</v>
      </c>
      <c r="E141" t="s">
        <v>35</v>
      </c>
      <c r="F141">
        <v>5</v>
      </c>
      <c r="G141" t="s">
        <v>37</v>
      </c>
      <c r="H141" t="s">
        <v>37</v>
      </c>
      <c r="I141">
        <v>2</v>
      </c>
      <c r="J141">
        <v>3</v>
      </c>
      <c r="K141" t="s">
        <v>38</v>
      </c>
      <c r="L141" t="s">
        <v>36</v>
      </c>
      <c r="M141" t="s">
        <v>36</v>
      </c>
      <c r="N141">
        <v>1</v>
      </c>
      <c r="O141" t="s">
        <v>45</v>
      </c>
      <c r="P141">
        <v>87</v>
      </c>
      <c r="Q141" t="s">
        <v>36</v>
      </c>
      <c r="R141" t="s">
        <v>37</v>
      </c>
      <c r="S141" t="s">
        <v>36</v>
      </c>
      <c r="T141" t="s">
        <v>40</v>
      </c>
      <c r="U141">
        <v>1</v>
      </c>
      <c r="V141" t="s">
        <v>62</v>
      </c>
      <c r="W141" t="s">
        <v>56</v>
      </c>
      <c r="X141" t="s">
        <v>37</v>
      </c>
      <c r="Y141" t="s">
        <v>47</v>
      </c>
      <c r="Z141" t="s">
        <v>37</v>
      </c>
      <c r="AA141">
        <v>1.92</v>
      </c>
      <c r="AB141" t="s">
        <v>37</v>
      </c>
      <c r="AC141">
        <v>2.42</v>
      </c>
      <c r="AD141">
        <v>39</v>
      </c>
      <c r="AE141">
        <v>60000</v>
      </c>
      <c r="AF141" t="str">
        <f>IF(Table1[[#This Row],[What is your current CGPA?]]&gt;=3.5,"High",IF(Table1[[#This Row],[What is your current CGPA?]]&gt;=2.5,"Medium","Low"))</f>
        <v>Low</v>
      </c>
      <c r="AG141" t="str">
        <f>IF(AND(Table1[[#This Row],[Average attendance on class]]&lt;75,Table1[[#This Row],[How many hour do you study daily?]]&lt;1),"At Risk","Normal")</f>
        <v>Normal</v>
      </c>
      <c r="AH141">
        <f>(Table1[[#This Row],[Average attendance on class]]*0.4)+(Table1[[#This Row],[How many hour do you study daily?]]*10*0.3)+(Table1[[#This Row],[How many hour do you spent daily on your skill development?]]*10*0.3)</f>
        <v>43.800000000000004</v>
      </c>
    </row>
    <row r="142" spans="1:34" x14ac:dyDescent="0.25">
      <c r="A142">
        <v>2021</v>
      </c>
      <c r="B142" t="s">
        <v>34</v>
      </c>
      <c r="C142">
        <v>20</v>
      </c>
      <c r="D142">
        <v>2020</v>
      </c>
      <c r="E142" t="s">
        <v>35</v>
      </c>
      <c r="F142">
        <v>4</v>
      </c>
      <c r="G142" t="s">
        <v>37</v>
      </c>
      <c r="H142" t="s">
        <v>36</v>
      </c>
      <c r="I142">
        <v>2</v>
      </c>
      <c r="J142">
        <v>1</v>
      </c>
      <c r="K142" t="s">
        <v>38</v>
      </c>
      <c r="L142" t="s">
        <v>36</v>
      </c>
      <c r="M142" t="s">
        <v>36</v>
      </c>
      <c r="N142">
        <v>2</v>
      </c>
      <c r="O142" t="s">
        <v>39</v>
      </c>
      <c r="P142">
        <v>80</v>
      </c>
      <c r="Q142" t="s">
        <v>37</v>
      </c>
      <c r="R142" t="s">
        <v>37</v>
      </c>
      <c r="S142" t="s">
        <v>36</v>
      </c>
      <c r="T142" t="s">
        <v>40</v>
      </c>
      <c r="U142">
        <v>4</v>
      </c>
      <c r="V142" t="s">
        <v>63</v>
      </c>
      <c r="W142" t="s">
        <v>42</v>
      </c>
      <c r="X142" t="s">
        <v>37</v>
      </c>
      <c r="Y142" t="s">
        <v>47</v>
      </c>
      <c r="Z142" t="s">
        <v>36</v>
      </c>
      <c r="AA142">
        <v>2.68</v>
      </c>
      <c r="AB142" t="s">
        <v>37</v>
      </c>
      <c r="AC142">
        <v>3.15</v>
      </c>
      <c r="AD142">
        <v>36</v>
      </c>
      <c r="AE142">
        <v>30000</v>
      </c>
      <c r="AF142" t="str">
        <f>IF(Table1[[#This Row],[What is your current CGPA?]]&gt;=3.5,"High",IF(Table1[[#This Row],[What is your current CGPA?]]&gt;=2.5,"Medium","Low"))</f>
        <v>Medium</v>
      </c>
      <c r="AG142" t="str">
        <f>IF(AND(Table1[[#This Row],[Average attendance on class]]&lt;75,Table1[[#This Row],[How many hour do you study daily?]]&lt;1),"At Risk","Normal")</f>
        <v>Normal</v>
      </c>
      <c r="AH142">
        <f>(Table1[[#This Row],[Average attendance on class]]*0.4)+(Table1[[#This Row],[How many hour do you study daily?]]*10*0.3)+(Table1[[#This Row],[How many hour do you spent daily on your skill development?]]*10*0.3)</f>
        <v>50</v>
      </c>
    </row>
    <row r="143" spans="1:34" x14ac:dyDescent="0.25">
      <c r="A143">
        <v>2015</v>
      </c>
      <c r="B143" t="s">
        <v>34</v>
      </c>
      <c r="C143">
        <v>27</v>
      </c>
      <c r="D143">
        <v>2014</v>
      </c>
      <c r="E143" t="s">
        <v>35</v>
      </c>
      <c r="F143">
        <v>10</v>
      </c>
      <c r="G143" t="s">
        <v>37</v>
      </c>
      <c r="H143" t="s">
        <v>36</v>
      </c>
      <c r="I143">
        <v>5</v>
      </c>
      <c r="J143">
        <v>2</v>
      </c>
      <c r="K143" t="s">
        <v>44</v>
      </c>
      <c r="L143" t="s">
        <v>36</v>
      </c>
      <c r="M143" t="s">
        <v>36</v>
      </c>
      <c r="N143">
        <v>6</v>
      </c>
      <c r="O143" t="s">
        <v>45</v>
      </c>
      <c r="P143">
        <v>50</v>
      </c>
      <c r="Q143" t="s">
        <v>36</v>
      </c>
      <c r="R143" t="s">
        <v>37</v>
      </c>
      <c r="S143" t="s">
        <v>36</v>
      </c>
      <c r="T143" t="s">
        <v>51</v>
      </c>
      <c r="U143">
        <v>2</v>
      </c>
      <c r="V143" t="s">
        <v>51</v>
      </c>
      <c r="W143" t="s">
        <v>42</v>
      </c>
      <c r="X143" t="s">
        <v>37</v>
      </c>
      <c r="Y143" t="s">
        <v>47</v>
      </c>
      <c r="Z143" t="s">
        <v>37</v>
      </c>
      <c r="AA143">
        <v>2.68</v>
      </c>
      <c r="AB143" t="s">
        <v>37</v>
      </c>
      <c r="AC143">
        <v>3.15</v>
      </c>
      <c r="AD143">
        <v>113</v>
      </c>
      <c r="AE143">
        <v>7000</v>
      </c>
      <c r="AF143" t="str">
        <f>IF(Table1[[#This Row],[What is your current CGPA?]]&gt;=3.5,"High",IF(Table1[[#This Row],[What is your current CGPA?]]&gt;=2.5,"Medium","Low"))</f>
        <v>Medium</v>
      </c>
      <c r="AG143" t="str">
        <f>IF(AND(Table1[[#This Row],[Average attendance on class]]&lt;75,Table1[[#This Row],[How many hour do you study daily?]]&lt;1),"At Risk","Normal")</f>
        <v>Normal</v>
      </c>
      <c r="AH143">
        <f>(Table1[[#This Row],[Average attendance on class]]*0.4)+(Table1[[#This Row],[How many hour do you study daily?]]*10*0.3)+(Table1[[#This Row],[How many hour do you spent daily on your skill development?]]*10*0.3)</f>
        <v>41</v>
      </c>
    </row>
    <row r="144" spans="1:34" x14ac:dyDescent="0.25">
      <c r="A144">
        <v>2019</v>
      </c>
      <c r="B144" t="s">
        <v>48</v>
      </c>
      <c r="C144">
        <v>22</v>
      </c>
      <c r="D144">
        <v>2018</v>
      </c>
      <c r="E144" t="s">
        <v>35</v>
      </c>
      <c r="F144">
        <v>11</v>
      </c>
      <c r="G144" t="s">
        <v>37</v>
      </c>
      <c r="H144" t="s">
        <v>37</v>
      </c>
      <c r="I144">
        <v>8</v>
      </c>
      <c r="J144">
        <v>3</v>
      </c>
      <c r="K144" t="s">
        <v>44</v>
      </c>
      <c r="L144" t="s">
        <v>36</v>
      </c>
      <c r="M144" t="s">
        <v>36</v>
      </c>
      <c r="N144">
        <v>4</v>
      </c>
      <c r="O144" t="s">
        <v>39</v>
      </c>
      <c r="P144">
        <v>99</v>
      </c>
      <c r="Q144" t="s">
        <v>37</v>
      </c>
      <c r="R144" t="s">
        <v>37</v>
      </c>
      <c r="S144" t="s">
        <v>36</v>
      </c>
      <c r="T144" t="s">
        <v>40</v>
      </c>
      <c r="U144">
        <v>4</v>
      </c>
      <c r="V144" t="s">
        <v>40</v>
      </c>
      <c r="W144" t="s">
        <v>42</v>
      </c>
      <c r="X144" t="s">
        <v>37</v>
      </c>
      <c r="Y144" t="s">
        <v>43</v>
      </c>
      <c r="Z144" t="s">
        <v>37</v>
      </c>
      <c r="AA144">
        <v>2.68</v>
      </c>
      <c r="AB144" t="s">
        <v>37</v>
      </c>
      <c r="AC144">
        <v>3.15</v>
      </c>
      <c r="AD144">
        <v>126</v>
      </c>
      <c r="AE144">
        <v>20000</v>
      </c>
      <c r="AF144" t="str">
        <f>IF(Table1[[#This Row],[What is your current CGPA?]]&gt;=3.5,"High",IF(Table1[[#This Row],[What is your current CGPA?]]&gt;=2.5,"Medium","Low"))</f>
        <v>Medium</v>
      </c>
      <c r="AG144" t="str">
        <f>IF(AND(Table1[[#This Row],[Average attendance on class]]&lt;75,Table1[[#This Row],[How many hour do you study daily?]]&lt;1),"At Risk","Normal")</f>
        <v>Normal</v>
      </c>
      <c r="AH144">
        <f>(Table1[[#This Row],[Average attendance on class]]*0.4)+(Table1[[#This Row],[How many hour do you study daily?]]*10*0.3)+(Table1[[#This Row],[How many hour do you spent daily on your skill development?]]*10*0.3)</f>
        <v>75.599999999999994</v>
      </c>
    </row>
    <row r="145" spans="1:34" x14ac:dyDescent="0.25">
      <c r="A145">
        <v>2022</v>
      </c>
      <c r="B145" t="s">
        <v>34</v>
      </c>
      <c r="C145">
        <v>20</v>
      </c>
      <c r="D145">
        <v>2020</v>
      </c>
      <c r="E145" t="s">
        <v>35</v>
      </c>
      <c r="F145">
        <v>2</v>
      </c>
      <c r="G145" t="s">
        <v>37</v>
      </c>
      <c r="H145" t="s">
        <v>36</v>
      </c>
      <c r="I145">
        <v>3</v>
      </c>
      <c r="J145">
        <v>3</v>
      </c>
      <c r="K145" t="s">
        <v>38</v>
      </c>
      <c r="L145" t="s">
        <v>36</v>
      </c>
      <c r="M145" t="s">
        <v>36</v>
      </c>
      <c r="N145">
        <v>1</v>
      </c>
      <c r="O145" t="s">
        <v>39</v>
      </c>
      <c r="P145">
        <v>99</v>
      </c>
      <c r="Q145" t="s">
        <v>37</v>
      </c>
      <c r="R145" t="s">
        <v>37</v>
      </c>
      <c r="S145" t="s">
        <v>37</v>
      </c>
      <c r="T145" t="s">
        <v>40</v>
      </c>
      <c r="U145">
        <v>1</v>
      </c>
      <c r="V145" t="s">
        <v>40</v>
      </c>
      <c r="W145" t="s">
        <v>42</v>
      </c>
      <c r="X145" t="s">
        <v>37</v>
      </c>
      <c r="Y145" t="s">
        <v>47</v>
      </c>
      <c r="Z145" t="s">
        <v>37</v>
      </c>
      <c r="AA145">
        <v>2.68</v>
      </c>
      <c r="AB145" t="s">
        <v>37</v>
      </c>
      <c r="AC145">
        <v>3.15</v>
      </c>
      <c r="AD145">
        <v>11</v>
      </c>
      <c r="AE145">
        <v>20000</v>
      </c>
      <c r="AF145" t="str">
        <f>IF(Table1[[#This Row],[What is your current CGPA?]]&gt;=3.5,"High",IF(Table1[[#This Row],[What is your current CGPA?]]&gt;=2.5,"Medium","Low"))</f>
        <v>Medium</v>
      </c>
      <c r="AG145" t="str">
        <f>IF(AND(Table1[[#This Row],[Average attendance on class]]&lt;75,Table1[[#This Row],[How many hour do you study daily?]]&lt;1),"At Risk","Normal")</f>
        <v>Normal</v>
      </c>
      <c r="AH145">
        <f>(Table1[[#This Row],[Average attendance on class]]*0.4)+(Table1[[#This Row],[How many hour do you study daily?]]*10*0.3)+(Table1[[#This Row],[How many hour do you spent daily on your skill development?]]*10*0.3)</f>
        <v>51.6</v>
      </c>
    </row>
    <row r="146" spans="1:34" x14ac:dyDescent="0.25">
      <c r="A146">
        <v>2020</v>
      </c>
      <c r="B146" t="s">
        <v>34</v>
      </c>
      <c r="C146">
        <v>22</v>
      </c>
      <c r="D146">
        <v>2018</v>
      </c>
      <c r="E146" t="s">
        <v>35</v>
      </c>
      <c r="F146">
        <v>7</v>
      </c>
      <c r="G146" t="s">
        <v>37</v>
      </c>
      <c r="H146" t="s">
        <v>36</v>
      </c>
      <c r="I146">
        <v>1</v>
      </c>
      <c r="J146">
        <v>1</v>
      </c>
      <c r="K146" t="s">
        <v>38</v>
      </c>
      <c r="L146" t="s">
        <v>36</v>
      </c>
      <c r="M146" t="s">
        <v>36</v>
      </c>
      <c r="N146">
        <v>5</v>
      </c>
      <c r="O146" t="s">
        <v>45</v>
      </c>
      <c r="P146">
        <v>70</v>
      </c>
      <c r="Q146" t="s">
        <v>36</v>
      </c>
      <c r="R146" t="s">
        <v>37</v>
      </c>
      <c r="S146" t="s">
        <v>36</v>
      </c>
      <c r="T146" t="s">
        <v>51</v>
      </c>
      <c r="U146">
        <v>1</v>
      </c>
      <c r="V146" t="s">
        <v>51</v>
      </c>
      <c r="W146" t="s">
        <v>42</v>
      </c>
      <c r="X146" t="s">
        <v>37</v>
      </c>
      <c r="Y146" t="s">
        <v>47</v>
      </c>
      <c r="Z146" t="s">
        <v>37</v>
      </c>
      <c r="AA146">
        <v>2.68</v>
      </c>
      <c r="AB146" t="s">
        <v>37</v>
      </c>
      <c r="AC146">
        <v>3.15</v>
      </c>
      <c r="AD146">
        <v>77</v>
      </c>
      <c r="AE146">
        <v>20000</v>
      </c>
      <c r="AF146" t="str">
        <f>IF(Table1[[#This Row],[What is your current CGPA?]]&gt;=3.5,"High",IF(Table1[[#This Row],[What is your current CGPA?]]&gt;=2.5,"Medium","Low"))</f>
        <v>Medium</v>
      </c>
      <c r="AG146" t="str">
        <f>IF(AND(Table1[[#This Row],[Average attendance on class]]&lt;75,Table1[[#This Row],[How many hour do you study daily?]]&lt;1),"At Risk","Normal")</f>
        <v>Normal</v>
      </c>
      <c r="AH146">
        <f>(Table1[[#This Row],[Average attendance on class]]*0.4)+(Table1[[#This Row],[How many hour do you study daily?]]*10*0.3)+(Table1[[#This Row],[How many hour do you spent daily on your skill development?]]*10*0.3)</f>
        <v>34</v>
      </c>
    </row>
    <row r="147" spans="1:34" x14ac:dyDescent="0.25">
      <c r="A147">
        <v>2022</v>
      </c>
      <c r="B147" t="s">
        <v>34</v>
      </c>
      <c r="C147">
        <v>21</v>
      </c>
      <c r="D147">
        <v>2020</v>
      </c>
      <c r="E147" t="s">
        <v>35</v>
      </c>
      <c r="F147">
        <v>2</v>
      </c>
      <c r="G147" t="s">
        <v>36</v>
      </c>
      <c r="H147" t="s">
        <v>36</v>
      </c>
      <c r="I147">
        <v>7</v>
      </c>
      <c r="J147">
        <v>2</v>
      </c>
      <c r="K147" t="s">
        <v>44</v>
      </c>
      <c r="L147" t="s">
        <v>36</v>
      </c>
      <c r="M147" t="s">
        <v>36</v>
      </c>
      <c r="N147">
        <v>1</v>
      </c>
      <c r="O147" t="s">
        <v>39</v>
      </c>
      <c r="P147">
        <v>100</v>
      </c>
      <c r="Q147" t="s">
        <v>37</v>
      </c>
      <c r="R147" t="s">
        <v>37</v>
      </c>
      <c r="S147" t="s">
        <v>36</v>
      </c>
      <c r="T147" t="s">
        <v>40</v>
      </c>
      <c r="U147">
        <v>3</v>
      </c>
      <c r="V147" t="s">
        <v>40</v>
      </c>
      <c r="W147" t="s">
        <v>42</v>
      </c>
      <c r="X147" t="s">
        <v>36</v>
      </c>
      <c r="Y147" t="s">
        <v>47</v>
      </c>
      <c r="Z147" t="s">
        <v>37</v>
      </c>
      <c r="AA147">
        <v>2.68</v>
      </c>
      <c r="AB147" t="s">
        <v>37</v>
      </c>
      <c r="AC147">
        <v>3.15</v>
      </c>
      <c r="AD147">
        <v>11</v>
      </c>
      <c r="AE147">
        <v>30000</v>
      </c>
      <c r="AF147" t="str">
        <f>IF(Table1[[#This Row],[What is your current CGPA?]]&gt;=3.5,"High",IF(Table1[[#This Row],[What is your current CGPA?]]&gt;=2.5,"Medium","Low"))</f>
        <v>Medium</v>
      </c>
      <c r="AG147" t="str">
        <f>IF(AND(Table1[[#This Row],[Average attendance on class]]&lt;75,Table1[[#This Row],[How many hour do you study daily?]]&lt;1),"At Risk","Normal")</f>
        <v>Normal</v>
      </c>
      <c r="AH147">
        <f>(Table1[[#This Row],[Average attendance on class]]*0.4)+(Table1[[#This Row],[How many hour do you study daily?]]*10*0.3)+(Table1[[#This Row],[How many hour do you spent daily on your skill development?]]*10*0.3)</f>
        <v>70</v>
      </c>
    </row>
    <row r="148" spans="1:34" x14ac:dyDescent="0.25">
      <c r="A148">
        <v>2018</v>
      </c>
      <c r="B148" t="s">
        <v>34</v>
      </c>
      <c r="C148">
        <v>23</v>
      </c>
      <c r="D148">
        <v>2017</v>
      </c>
      <c r="E148" t="s">
        <v>35</v>
      </c>
      <c r="F148">
        <v>13</v>
      </c>
      <c r="G148" t="s">
        <v>37</v>
      </c>
      <c r="H148" t="s">
        <v>37</v>
      </c>
      <c r="I148">
        <v>2</v>
      </c>
      <c r="J148">
        <v>1</v>
      </c>
      <c r="K148" t="s">
        <v>38</v>
      </c>
      <c r="L148" t="s">
        <v>36</v>
      </c>
      <c r="M148" t="s">
        <v>36</v>
      </c>
      <c r="N148">
        <v>1</v>
      </c>
      <c r="O148" t="s">
        <v>45</v>
      </c>
      <c r="P148">
        <v>75</v>
      </c>
      <c r="Q148" t="s">
        <v>36</v>
      </c>
      <c r="R148" t="s">
        <v>36</v>
      </c>
      <c r="S148" t="s">
        <v>36</v>
      </c>
      <c r="T148" t="s">
        <v>40</v>
      </c>
      <c r="U148">
        <v>3</v>
      </c>
      <c r="V148" t="s">
        <v>40</v>
      </c>
      <c r="W148" t="s">
        <v>42</v>
      </c>
      <c r="X148" t="s">
        <v>37</v>
      </c>
      <c r="Y148" t="s">
        <v>43</v>
      </c>
      <c r="Z148" t="s">
        <v>37</v>
      </c>
      <c r="AA148">
        <v>2.68</v>
      </c>
      <c r="AB148" t="s">
        <v>37</v>
      </c>
      <c r="AC148">
        <v>3.15</v>
      </c>
      <c r="AD148">
        <v>136</v>
      </c>
      <c r="AE148">
        <v>35000</v>
      </c>
      <c r="AF148" t="str">
        <f>IF(Table1[[#This Row],[What is your current CGPA?]]&gt;=3.5,"High",IF(Table1[[#This Row],[What is your current CGPA?]]&gt;=2.5,"Medium","Low"))</f>
        <v>Medium</v>
      </c>
      <c r="AG148" t="str">
        <f>IF(AND(Table1[[#This Row],[Average attendance on class]]&lt;75,Table1[[#This Row],[How many hour do you study daily?]]&lt;1),"At Risk","Normal")</f>
        <v>Normal</v>
      </c>
      <c r="AH148">
        <f>(Table1[[#This Row],[Average attendance on class]]*0.4)+(Table1[[#This Row],[How many hour do you study daily?]]*10*0.3)+(Table1[[#This Row],[How many hour do you spent daily on your skill development?]]*10*0.3)</f>
        <v>45</v>
      </c>
    </row>
    <row r="149" spans="1:34" x14ac:dyDescent="0.25">
      <c r="A149">
        <v>2020</v>
      </c>
      <c r="B149" t="s">
        <v>48</v>
      </c>
      <c r="C149">
        <v>23</v>
      </c>
      <c r="D149">
        <v>2020</v>
      </c>
      <c r="E149" t="s">
        <v>35</v>
      </c>
      <c r="F149">
        <v>8</v>
      </c>
      <c r="G149" t="s">
        <v>36</v>
      </c>
      <c r="H149" t="s">
        <v>37</v>
      </c>
      <c r="I149">
        <v>6</v>
      </c>
      <c r="J149">
        <v>3</v>
      </c>
      <c r="K149" t="s">
        <v>38</v>
      </c>
      <c r="L149" t="s">
        <v>36</v>
      </c>
      <c r="M149" t="s">
        <v>36</v>
      </c>
      <c r="N149">
        <v>6</v>
      </c>
      <c r="O149" t="s">
        <v>39</v>
      </c>
      <c r="P149">
        <v>100</v>
      </c>
      <c r="Q149" t="s">
        <v>37</v>
      </c>
      <c r="R149" t="s">
        <v>37</v>
      </c>
      <c r="S149" t="s">
        <v>36</v>
      </c>
      <c r="T149" t="s">
        <v>40</v>
      </c>
      <c r="U149">
        <v>2</v>
      </c>
      <c r="V149" t="s">
        <v>40</v>
      </c>
      <c r="W149" t="s">
        <v>42</v>
      </c>
      <c r="X149" t="s">
        <v>37</v>
      </c>
      <c r="Y149" t="s">
        <v>43</v>
      </c>
      <c r="Z149" t="s">
        <v>37</v>
      </c>
      <c r="AA149">
        <v>2.68</v>
      </c>
      <c r="AB149" t="s">
        <v>37</v>
      </c>
      <c r="AC149">
        <v>3.15</v>
      </c>
      <c r="AD149">
        <v>88</v>
      </c>
      <c r="AE149">
        <v>62488</v>
      </c>
      <c r="AF149" t="str">
        <f>IF(Table1[[#This Row],[What is your current CGPA?]]&gt;=3.5,"High",IF(Table1[[#This Row],[What is your current CGPA?]]&gt;=2.5,"Medium","Low"))</f>
        <v>Medium</v>
      </c>
      <c r="AG149" t="str">
        <f>IF(AND(Table1[[#This Row],[Average attendance on class]]&lt;75,Table1[[#This Row],[How many hour do you study daily?]]&lt;1),"At Risk","Normal")</f>
        <v>Normal</v>
      </c>
      <c r="AH149">
        <f>(Table1[[#This Row],[Average attendance on class]]*0.4)+(Table1[[#This Row],[How many hour do you study daily?]]*10*0.3)+(Table1[[#This Row],[How many hour do you spent daily on your skill development?]]*10*0.3)</f>
        <v>64</v>
      </c>
    </row>
    <row r="150" spans="1:34" x14ac:dyDescent="0.25">
      <c r="A150">
        <v>2017</v>
      </c>
      <c r="B150" t="s">
        <v>48</v>
      </c>
      <c r="C150">
        <v>25</v>
      </c>
      <c r="D150">
        <v>2015</v>
      </c>
      <c r="E150" t="s">
        <v>35</v>
      </c>
      <c r="F150">
        <v>8</v>
      </c>
      <c r="G150" t="s">
        <v>37</v>
      </c>
      <c r="H150" t="s">
        <v>37</v>
      </c>
      <c r="I150">
        <v>2</v>
      </c>
      <c r="J150">
        <v>2</v>
      </c>
      <c r="K150" t="s">
        <v>38</v>
      </c>
      <c r="L150" t="s">
        <v>36</v>
      </c>
      <c r="M150" t="s">
        <v>36</v>
      </c>
      <c r="N150">
        <v>1</v>
      </c>
      <c r="O150" t="s">
        <v>39</v>
      </c>
      <c r="P150">
        <v>100</v>
      </c>
      <c r="Q150" t="s">
        <v>37</v>
      </c>
      <c r="R150" t="s">
        <v>37</v>
      </c>
      <c r="S150" t="s">
        <v>36</v>
      </c>
      <c r="T150" t="s">
        <v>51</v>
      </c>
      <c r="U150">
        <v>2</v>
      </c>
      <c r="V150" t="s">
        <v>51</v>
      </c>
      <c r="W150" t="s">
        <v>56</v>
      </c>
      <c r="X150" t="s">
        <v>37</v>
      </c>
      <c r="Y150" t="s">
        <v>47</v>
      </c>
      <c r="Z150" t="s">
        <v>37</v>
      </c>
      <c r="AA150">
        <v>2.68</v>
      </c>
      <c r="AB150" t="s">
        <v>37</v>
      </c>
      <c r="AC150">
        <v>3.15</v>
      </c>
      <c r="AD150">
        <v>88</v>
      </c>
      <c r="AE150">
        <v>60000</v>
      </c>
      <c r="AF150" t="str">
        <f>IF(Table1[[#This Row],[What is your current CGPA?]]&gt;=3.5,"High",IF(Table1[[#This Row],[What is your current CGPA?]]&gt;=2.5,"Medium","Low"))</f>
        <v>Medium</v>
      </c>
      <c r="AG150" t="str">
        <f>IF(AND(Table1[[#This Row],[Average attendance on class]]&lt;75,Table1[[#This Row],[How many hour do you study daily?]]&lt;1),"At Risk","Normal")</f>
        <v>Normal</v>
      </c>
      <c r="AH150">
        <f>(Table1[[#This Row],[Average attendance on class]]*0.4)+(Table1[[#This Row],[How many hour do you study daily?]]*10*0.3)+(Table1[[#This Row],[How many hour do you spent daily on your skill development?]]*10*0.3)</f>
        <v>52</v>
      </c>
    </row>
    <row r="151" spans="1:34" x14ac:dyDescent="0.25">
      <c r="A151">
        <v>2022</v>
      </c>
      <c r="B151" t="s">
        <v>48</v>
      </c>
      <c r="C151">
        <v>20</v>
      </c>
      <c r="D151">
        <v>2020</v>
      </c>
      <c r="E151" t="s">
        <v>35</v>
      </c>
      <c r="F151">
        <v>2</v>
      </c>
      <c r="G151" t="s">
        <v>37</v>
      </c>
      <c r="H151" t="s">
        <v>36</v>
      </c>
      <c r="I151">
        <v>4</v>
      </c>
      <c r="J151">
        <v>3</v>
      </c>
      <c r="K151" t="s">
        <v>38</v>
      </c>
      <c r="L151" t="s">
        <v>36</v>
      </c>
      <c r="M151" t="s">
        <v>37</v>
      </c>
      <c r="N151">
        <v>2</v>
      </c>
      <c r="O151" t="s">
        <v>39</v>
      </c>
      <c r="P151">
        <v>88</v>
      </c>
      <c r="Q151" t="s">
        <v>37</v>
      </c>
      <c r="R151" t="s">
        <v>37</v>
      </c>
      <c r="S151" t="s">
        <v>36</v>
      </c>
      <c r="T151" t="s">
        <v>40</v>
      </c>
      <c r="U151">
        <v>3</v>
      </c>
      <c r="V151" t="s">
        <v>40</v>
      </c>
      <c r="W151" t="s">
        <v>42</v>
      </c>
      <c r="X151" t="s">
        <v>37</v>
      </c>
      <c r="Y151" t="s">
        <v>43</v>
      </c>
      <c r="Z151" t="s">
        <v>37</v>
      </c>
      <c r="AA151">
        <v>2.68</v>
      </c>
      <c r="AB151" t="s">
        <v>37</v>
      </c>
      <c r="AC151">
        <v>3.15</v>
      </c>
      <c r="AD151">
        <v>11</v>
      </c>
      <c r="AE151">
        <v>60000</v>
      </c>
      <c r="AF151" t="str">
        <f>IF(Table1[[#This Row],[What is your current CGPA?]]&gt;=3.5,"High",IF(Table1[[#This Row],[What is your current CGPA?]]&gt;=2.5,"Medium","Low"))</f>
        <v>Medium</v>
      </c>
      <c r="AG151" t="str">
        <f>IF(AND(Table1[[#This Row],[Average attendance on class]]&lt;75,Table1[[#This Row],[How many hour do you study daily?]]&lt;1),"At Risk","Normal")</f>
        <v>Normal</v>
      </c>
      <c r="AH151">
        <f>(Table1[[#This Row],[Average attendance on class]]*0.4)+(Table1[[#This Row],[How many hour do you study daily?]]*10*0.3)+(Table1[[#This Row],[How many hour do you spent daily on your skill development?]]*10*0.3)</f>
        <v>56.2</v>
      </c>
    </row>
    <row r="152" spans="1:34" x14ac:dyDescent="0.25">
      <c r="A152">
        <v>2021</v>
      </c>
      <c r="B152" t="s">
        <v>34</v>
      </c>
      <c r="C152">
        <v>21</v>
      </c>
      <c r="D152">
        <v>2020</v>
      </c>
      <c r="E152" t="s">
        <v>35</v>
      </c>
      <c r="F152">
        <v>4</v>
      </c>
      <c r="G152" t="s">
        <v>36</v>
      </c>
      <c r="H152" t="s">
        <v>36</v>
      </c>
      <c r="I152">
        <v>2</v>
      </c>
      <c r="J152">
        <v>2</v>
      </c>
      <c r="K152" t="s">
        <v>38</v>
      </c>
      <c r="L152" t="s">
        <v>36</v>
      </c>
      <c r="M152" t="s">
        <v>36</v>
      </c>
      <c r="N152">
        <v>2</v>
      </c>
      <c r="O152" t="s">
        <v>53</v>
      </c>
      <c r="P152">
        <v>80</v>
      </c>
      <c r="Q152" t="s">
        <v>37</v>
      </c>
      <c r="R152" t="s">
        <v>37</v>
      </c>
      <c r="S152" t="s">
        <v>36</v>
      </c>
      <c r="T152" t="s">
        <v>40</v>
      </c>
      <c r="U152">
        <v>2</v>
      </c>
      <c r="V152" t="s">
        <v>40</v>
      </c>
      <c r="W152" t="s">
        <v>50</v>
      </c>
      <c r="X152" t="s">
        <v>36</v>
      </c>
      <c r="Y152" t="s">
        <v>47</v>
      </c>
      <c r="Z152" t="s">
        <v>37</v>
      </c>
      <c r="AA152">
        <v>2.68</v>
      </c>
      <c r="AB152" t="s">
        <v>37</v>
      </c>
      <c r="AC152">
        <v>3.15</v>
      </c>
      <c r="AD152">
        <v>36</v>
      </c>
      <c r="AE152">
        <v>50000</v>
      </c>
      <c r="AF152" t="str">
        <f>IF(Table1[[#This Row],[What is your current CGPA?]]&gt;=3.5,"High",IF(Table1[[#This Row],[What is your current CGPA?]]&gt;=2.5,"Medium","Low"))</f>
        <v>Medium</v>
      </c>
      <c r="AG152" t="str">
        <f>IF(AND(Table1[[#This Row],[Average attendance on class]]&lt;75,Table1[[#This Row],[How many hour do you study daily?]]&lt;1),"At Risk","Normal")</f>
        <v>Normal</v>
      </c>
      <c r="AH152">
        <f>(Table1[[#This Row],[Average attendance on class]]*0.4)+(Table1[[#This Row],[How many hour do you study daily?]]*10*0.3)+(Table1[[#This Row],[How many hour do you spent daily on your skill development?]]*10*0.3)</f>
        <v>44</v>
      </c>
    </row>
    <row r="153" spans="1:34" x14ac:dyDescent="0.25">
      <c r="A153">
        <v>2015</v>
      </c>
      <c r="B153" t="s">
        <v>48</v>
      </c>
      <c r="C153">
        <v>26</v>
      </c>
      <c r="D153">
        <v>2014</v>
      </c>
      <c r="E153" t="s">
        <v>35</v>
      </c>
      <c r="F153">
        <v>22</v>
      </c>
      <c r="G153" t="s">
        <v>37</v>
      </c>
      <c r="H153" t="s">
        <v>36</v>
      </c>
      <c r="I153">
        <v>2</v>
      </c>
      <c r="J153">
        <v>2</v>
      </c>
      <c r="K153" t="s">
        <v>44</v>
      </c>
      <c r="L153" t="s">
        <v>36</v>
      </c>
      <c r="M153" t="s">
        <v>36</v>
      </c>
      <c r="N153">
        <v>3</v>
      </c>
      <c r="O153" t="s">
        <v>39</v>
      </c>
      <c r="P153">
        <v>80</v>
      </c>
      <c r="Q153" t="s">
        <v>36</v>
      </c>
      <c r="R153" t="s">
        <v>36</v>
      </c>
      <c r="S153" t="s">
        <v>37</v>
      </c>
      <c r="T153" t="s">
        <v>40</v>
      </c>
      <c r="U153">
        <v>2</v>
      </c>
      <c r="V153" t="s">
        <v>40</v>
      </c>
      <c r="W153" t="s">
        <v>56</v>
      </c>
      <c r="X153" t="s">
        <v>36</v>
      </c>
      <c r="Y153" t="s">
        <v>47</v>
      </c>
      <c r="Z153" t="s">
        <v>36</v>
      </c>
      <c r="AA153">
        <v>2.68</v>
      </c>
      <c r="AB153" t="s">
        <v>37</v>
      </c>
      <c r="AC153">
        <v>3.15</v>
      </c>
      <c r="AD153">
        <v>77</v>
      </c>
      <c r="AE153">
        <v>30000</v>
      </c>
      <c r="AF153" t="str">
        <f>IF(Table1[[#This Row],[What is your current CGPA?]]&gt;=3.5,"High",IF(Table1[[#This Row],[What is your current CGPA?]]&gt;=2.5,"Medium","Low"))</f>
        <v>Medium</v>
      </c>
      <c r="AG153" t="str">
        <f>IF(AND(Table1[[#This Row],[Average attendance on class]]&lt;75,Table1[[#This Row],[How many hour do you study daily?]]&lt;1),"At Risk","Normal")</f>
        <v>Normal</v>
      </c>
      <c r="AH153">
        <f>(Table1[[#This Row],[Average attendance on class]]*0.4)+(Table1[[#This Row],[How many hour do you study daily?]]*10*0.3)+(Table1[[#This Row],[How many hour do you spent daily on your skill development?]]*10*0.3)</f>
        <v>44</v>
      </c>
    </row>
    <row r="154" spans="1:34" x14ac:dyDescent="0.25">
      <c r="A154">
        <v>2019</v>
      </c>
      <c r="B154" t="s">
        <v>34</v>
      </c>
      <c r="C154">
        <v>23</v>
      </c>
      <c r="D154">
        <v>2018</v>
      </c>
      <c r="E154" t="s">
        <v>35</v>
      </c>
      <c r="F154">
        <v>11</v>
      </c>
      <c r="G154" t="s">
        <v>37</v>
      </c>
      <c r="H154" t="s">
        <v>36</v>
      </c>
      <c r="I154">
        <v>5</v>
      </c>
      <c r="J154">
        <v>5</v>
      </c>
      <c r="K154" t="s">
        <v>38</v>
      </c>
      <c r="L154" t="s">
        <v>36</v>
      </c>
      <c r="M154" t="s">
        <v>36</v>
      </c>
      <c r="N154">
        <v>3</v>
      </c>
      <c r="O154" t="s">
        <v>39</v>
      </c>
      <c r="P154">
        <v>90</v>
      </c>
      <c r="Q154" t="s">
        <v>37</v>
      </c>
      <c r="R154" t="s">
        <v>37</v>
      </c>
      <c r="S154" t="s">
        <v>36</v>
      </c>
      <c r="T154" t="s">
        <v>51</v>
      </c>
      <c r="U154">
        <v>2</v>
      </c>
      <c r="V154" t="s">
        <v>51</v>
      </c>
      <c r="W154" t="s">
        <v>42</v>
      </c>
      <c r="X154" t="s">
        <v>37</v>
      </c>
      <c r="Y154" t="s">
        <v>43</v>
      </c>
      <c r="Z154" t="s">
        <v>37</v>
      </c>
      <c r="AA154">
        <v>3.29</v>
      </c>
      <c r="AB154" t="s">
        <v>37</v>
      </c>
      <c r="AC154">
        <v>3.23</v>
      </c>
      <c r="AD154">
        <v>114</v>
      </c>
      <c r="AE154">
        <v>28000</v>
      </c>
      <c r="AF154" t="str">
        <f>IF(Table1[[#This Row],[What is your current CGPA?]]&gt;=3.5,"High",IF(Table1[[#This Row],[What is your current CGPA?]]&gt;=2.5,"Medium","Low"))</f>
        <v>Medium</v>
      </c>
      <c r="AG154" t="str">
        <f>IF(AND(Table1[[#This Row],[Average attendance on class]]&lt;75,Table1[[#This Row],[How many hour do you study daily?]]&lt;1),"At Risk","Normal")</f>
        <v>Normal</v>
      </c>
      <c r="AH154">
        <f>(Table1[[#This Row],[Average attendance on class]]*0.4)+(Table1[[#This Row],[How many hour do you study daily?]]*10*0.3)+(Table1[[#This Row],[How many hour do you spent daily on your skill development?]]*10*0.3)</f>
        <v>57</v>
      </c>
    </row>
    <row r="155" spans="1:34" x14ac:dyDescent="0.25">
      <c r="A155">
        <v>2019</v>
      </c>
      <c r="B155" t="s">
        <v>48</v>
      </c>
      <c r="C155">
        <v>22</v>
      </c>
      <c r="D155">
        <v>2018</v>
      </c>
      <c r="E155" t="s">
        <v>35</v>
      </c>
      <c r="F155">
        <v>11</v>
      </c>
      <c r="G155" t="s">
        <v>37</v>
      </c>
      <c r="H155" t="s">
        <v>36</v>
      </c>
      <c r="I155">
        <v>3</v>
      </c>
      <c r="J155">
        <v>1</v>
      </c>
      <c r="K155" t="s">
        <v>38</v>
      </c>
      <c r="L155" t="s">
        <v>36</v>
      </c>
      <c r="M155" t="s">
        <v>36</v>
      </c>
      <c r="N155">
        <v>3</v>
      </c>
      <c r="O155" t="s">
        <v>39</v>
      </c>
      <c r="P155">
        <v>100</v>
      </c>
      <c r="Q155" t="s">
        <v>37</v>
      </c>
      <c r="R155" t="s">
        <v>37</v>
      </c>
      <c r="S155" t="s">
        <v>36</v>
      </c>
      <c r="T155" t="s">
        <v>64</v>
      </c>
      <c r="U155">
        <v>3</v>
      </c>
      <c r="V155" t="s">
        <v>52</v>
      </c>
      <c r="W155" t="s">
        <v>42</v>
      </c>
      <c r="X155" t="s">
        <v>36</v>
      </c>
      <c r="Y155" t="s">
        <v>47</v>
      </c>
      <c r="Z155" t="s">
        <v>37</v>
      </c>
      <c r="AA155">
        <v>2.68</v>
      </c>
      <c r="AB155" t="s">
        <v>37</v>
      </c>
      <c r="AC155">
        <v>3.15</v>
      </c>
      <c r="AD155">
        <v>126</v>
      </c>
      <c r="AE155">
        <v>60000</v>
      </c>
      <c r="AF155" t="str">
        <f>IF(Table1[[#This Row],[What is your current CGPA?]]&gt;=3.5,"High",IF(Table1[[#This Row],[What is your current CGPA?]]&gt;=2.5,"Medium","Low"))</f>
        <v>Medium</v>
      </c>
      <c r="AG155" t="str">
        <f>IF(AND(Table1[[#This Row],[Average attendance on class]]&lt;75,Table1[[#This Row],[How many hour do you study daily?]]&lt;1),"At Risk","Normal")</f>
        <v>Normal</v>
      </c>
      <c r="AH155">
        <f>(Table1[[#This Row],[Average attendance on class]]*0.4)+(Table1[[#This Row],[How many hour do you study daily?]]*10*0.3)+(Table1[[#This Row],[How many hour do you spent daily on your skill development?]]*10*0.3)</f>
        <v>58</v>
      </c>
    </row>
    <row r="156" spans="1:34" x14ac:dyDescent="0.25">
      <c r="A156">
        <v>2017</v>
      </c>
      <c r="B156" t="s">
        <v>34</v>
      </c>
      <c r="C156">
        <v>23</v>
      </c>
      <c r="D156">
        <v>2017</v>
      </c>
      <c r="E156" t="s">
        <v>35</v>
      </c>
      <c r="F156">
        <v>12</v>
      </c>
      <c r="G156" t="s">
        <v>37</v>
      </c>
      <c r="H156" t="s">
        <v>37</v>
      </c>
      <c r="I156">
        <v>2</v>
      </c>
      <c r="J156">
        <v>2</v>
      </c>
      <c r="K156" t="s">
        <v>38</v>
      </c>
      <c r="L156" t="s">
        <v>36</v>
      </c>
      <c r="M156" t="s">
        <v>36</v>
      </c>
      <c r="N156">
        <v>1</v>
      </c>
      <c r="O156" t="s">
        <v>53</v>
      </c>
      <c r="P156">
        <v>100</v>
      </c>
      <c r="Q156" t="s">
        <v>36</v>
      </c>
      <c r="R156" t="s">
        <v>37</v>
      </c>
      <c r="S156" t="s">
        <v>36</v>
      </c>
      <c r="T156" t="s">
        <v>51</v>
      </c>
      <c r="U156">
        <v>3</v>
      </c>
      <c r="V156" t="s">
        <v>40</v>
      </c>
      <c r="W156" t="s">
        <v>42</v>
      </c>
      <c r="X156" t="s">
        <v>37</v>
      </c>
      <c r="Y156" t="s">
        <v>43</v>
      </c>
      <c r="Z156" t="s">
        <v>37</v>
      </c>
      <c r="AA156">
        <v>2.68</v>
      </c>
      <c r="AB156" t="s">
        <v>37</v>
      </c>
      <c r="AC156">
        <v>3.15</v>
      </c>
      <c r="AD156">
        <v>136</v>
      </c>
      <c r="AE156">
        <v>90000</v>
      </c>
      <c r="AF156" t="str">
        <f>IF(Table1[[#This Row],[What is your current CGPA?]]&gt;=3.5,"High",IF(Table1[[#This Row],[What is your current CGPA?]]&gt;=2.5,"Medium","Low"))</f>
        <v>Medium</v>
      </c>
      <c r="AG156" t="str">
        <f>IF(AND(Table1[[#This Row],[Average attendance on class]]&lt;75,Table1[[#This Row],[How many hour do you study daily?]]&lt;1),"At Risk","Normal")</f>
        <v>Normal</v>
      </c>
      <c r="AH156">
        <f>(Table1[[#This Row],[Average attendance on class]]*0.4)+(Table1[[#This Row],[How many hour do you study daily?]]*10*0.3)+(Table1[[#This Row],[How many hour do you spent daily on your skill development?]]*10*0.3)</f>
        <v>55</v>
      </c>
    </row>
    <row r="157" spans="1:34" x14ac:dyDescent="0.25">
      <c r="A157">
        <v>2017</v>
      </c>
      <c r="B157" t="s">
        <v>34</v>
      </c>
      <c r="C157">
        <v>24</v>
      </c>
      <c r="D157">
        <v>2017</v>
      </c>
      <c r="E157" t="s">
        <v>35</v>
      </c>
      <c r="F157">
        <v>15</v>
      </c>
      <c r="G157" t="s">
        <v>37</v>
      </c>
      <c r="H157" t="s">
        <v>37</v>
      </c>
      <c r="I157">
        <v>3</v>
      </c>
      <c r="J157">
        <v>2</v>
      </c>
      <c r="K157" t="s">
        <v>44</v>
      </c>
      <c r="L157" t="s">
        <v>36</v>
      </c>
      <c r="M157" t="s">
        <v>36</v>
      </c>
      <c r="N157">
        <v>3</v>
      </c>
      <c r="O157" t="s">
        <v>53</v>
      </c>
      <c r="P157">
        <v>80</v>
      </c>
      <c r="Q157" t="s">
        <v>36</v>
      </c>
      <c r="R157" t="s">
        <v>37</v>
      </c>
      <c r="S157" t="s">
        <v>36</v>
      </c>
      <c r="T157" t="s">
        <v>40</v>
      </c>
      <c r="U157">
        <v>4</v>
      </c>
      <c r="V157" t="s">
        <v>40</v>
      </c>
      <c r="W157" t="s">
        <v>42</v>
      </c>
      <c r="X157" t="s">
        <v>37</v>
      </c>
      <c r="Y157" t="s">
        <v>43</v>
      </c>
      <c r="Z157" t="s">
        <v>37</v>
      </c>
      <c r="AA157">
        <v>2.68</v>
      </c>
      <c r="AB157" t="s">
        <v>37</v>
      </c>
      <c r="AC157">
        <v>3.15</v>
      </c>
      <c r="AD157">
        <v>113</v>
      </c>
      <c r="AE157">
        <v>200000</v>
      </c>
      <c r="AF157" t="str">
        <f>IF(Table1[[#This Row],[What is your current CGPA?]]&gt;=3.5,"High",IF(Table1[[#This Row],[What is your current CGPA?]]&gt;=2.5,"Medium","Low"))</f>
        <v>Medium</v>
      </c>
      <c r="AG157" t="str">
        <f>IF(AND(Table1[[#This Row],[Average attendance on class]]&lt;75,Table1[[#This Row],[How many hour do you study daily?]]&lt;1),"At Risk","Normal")</f>
        <v>Normal</v>
      </c>
      <c r="AH157">
        <f>(Table1[[#This Row],[Average attendance on class]]*0.4)+(Table1[[#This Row],[How many hour do you study daily?]]*10*0.3)+(Table1[[#This Row],[How many hour do you spent daily on your skill development?]]*10*0.3)</f>
        <v>53</v>
      </c>
    </row>
    <row r="158" spans="1:34" x14ac:dyDescent="0.25">
      <c r="A158">
        <v>2020</v>
      </c>
      <c r="B158" t="s">
        <v>48</v>
      </c>
      <c r="C158">
        <v>21</v>
      </c>
      <c r="D158">
        <v>2019</v>
      </c>
      <c r="E158" t="s">
        <v>35</v>
      </c>
      <c r="F158">
        <v>8</v>
      </c>
      <c r="G158" t="s">
        <v>37</v>
      </c>
      <c r="H158" t="s">
        <v>37</v>
      </c>
      <c r="I158">
        <v>4</v>
      </c>
      <c r="J158">
        <v>2</v>
      </c>
      <c r="K158" t="s">
        <v>38</v>
      </c>
      <c r="L158" t="s">
        <v>36</v>
      </c>
      <c r="M158" t="s">
        <v>36</v>
      </c>
      <c r="N158">
        <v>1</v>
      </c>
      <c r="O158" t="s">
        <v>39</v>
      </c>
      <c r="P158">
        <v>100</v>
      </c>
      <c r="Q158" t="s">
        <v>37</v>
      </c>
      <c r="R158" t="s">
        <v>37</v>
      </c>
      <c r="S158" t="s">
        <v>37</v>
      </c>
      <c r="T158" t="s">
        <v>40</v>
      </c>
      <c r="U158">
        <v>1</v>
      </c>
      <c r="V158" t="s">
        <v>40</v>
      </c>
      <c r="W158" t="s">
        <v>42</v>
      </c>
      <c r="X158" t="s">
        <v>36</v>
      </c>
      <c r="Y158" t="s">
        <v>47</v>
      </c>
      <c r="Z158" t="s">
        <v>37</v>
      </c>
      <c r="AA158">
        <v>2.68</v>
      </c>
      <c r="AB158" t="s">
        <v>37</v>
      </c>
      <c r="AC158">
        <v>3.15</v>
      </c>
      <c r="AD158">
        <v>88</v>
      </c>
      <c r="AE158">
        <v>50000</v>
      </c>
      <c r="AF158" t="str">
        <f>IF(Table1[[#This Row],[What is your current CGPA?]]&gt;=3.5,"High",IF(Table1[[#This Row],[What is your current CGPA?]]&gt;=2.5,"Medium","Low"))</f>
        <v>Medium</v>
      </c>
      <c r="AG158" t="str">
        <f>IF(AND(Table1[[#This Row],[Average attendance on class]]&lt;75,Table1[[#This Row],[How many hour do you study daily?]]&lt;1),"At Risk","Normal")</f>
        <v>Normal</v>
      </c>
      <c r="AH158">
        <f>(Table1[[#This Row],[Average attendance on class]]*0.4)+(Table1[[#This Row],[How many hour do you study daily?]]*10*0.3)+(Table1[[#This Row],[How many hour do you spent daily on your skill development?]]*10*0.3)</f>
        <v>55</v>
      </c>
    </row>
    <row r="159" spans="1:34" x14ac:dyDescent="0.25">
      <c r="A159">
        <v>2019</v>
      </c>
      <c r="B159" t="s">
        <v>48</v>
      </c>
      <c r="C159">
        <v>22</v>
      </c>
      <c r="D159">
        <v>2018</v>
      </c>
      <c r="E159" t="s">
        <v>35</v>
      </c>
      <c r="F159">
        <v>9</v>
      </c>
      <c r="G159" t="s">
        <v>37</v>
      </c>
      <c r="H159" t="s">
        <v>36</v>
      </c>
      <c r="I159">
        <v>3</v>
      </c>
      <c r="J159">
        <v>1</v>
      </c>
      <c r="K159" t="s">
        <v>38</v>
      </c>
      <c r="L159" t="s">
        <v>36</v>
      </c>
      <c r="M159" t="s">
        <v>36</v>
      </c>
      <c r="N159">
        <v>5</v>
      </c>
      <c r="O159" t="s">
        <v>45</v>
      </c>
      <c r="P159">
        <v>80</v>
      </c>
      <c r="Q159" t="s">
        <v>36</v>
      </c>
      <c r="R159" t="s">
        <v>37</v>
      </c>
      <c r="S159" t="s">
        <v>37</v>
      </c>
      <c r="T159" t="s">
        <v>40</v>
      </c>
      <c r="U159">
        <v>3</v>
      </c>
      <c r="V159" t="s">
        <v>40</v>
      </c>
      <c r="W159" t="s">
        <v>56</v>
      </c>
      <c r="X159" t="s">
        <v>37</v>
      </c>
      <c r="Y159" t="s">
        <v>43</v>
      </c>
      <c r="Z159" t="s">
        <v>36</v>
      </c>
      <c r="AA159">
        <v>2</v>
      </c>
      <c r="AB159" t="s">
        <v>37</v>
      </c>
      <c r="AC159">
        <v>2.2200000000000002</v>
      </c>
      <c r="AD159">
        <v>77</v>
      </c>
      <c r="AE159">
        <v>4000</v>
      </c>
      <c r="AF159" t="str">
        <f>IF(Table1[[#This Row],[What is your current CGPA?]]&gt;=3.5,"High",IF(Table1[[#This Row],[What is your current CGPA?]]&gt;=2.5,"Medium","Low"))</f>
        <v>Low</v>
      </c>
      <c r="AG159" t="str">
        <f>IF(AND(Table1[[#This Row],[Average attendance on class]]&lt;75,Table1[[#This Row],[How many hour do you study daily?]]&lt;1),"At Risk","Normal")</f>
        <v>Normal</v>
      </c>
      <c r="AH159">
        <f>(Table1[[#This Row],[Average attendance on class]]*0.4)+(Table1[[#This Row],[How many hour do you study daily?]]*10*0.3)+(Table1[[#This Row],[How many hour do you spent daily on your skill development?]]*10*0.3)</f>
        <v>50</v>
      </c>
    </row>
    <row r="160" spans="1:34" x14ac:dyDescent="0.25">
      <c r="A160">
        <v>2022</v>
      </c>
      <c r="B160" t="s">
        <v>34</v>
      </c>
      <c r="C160">
        <v>19</v>
      </c>
      <c r="D160">
        <v>2020</v>
      </c>
      <c r="E160" t="s">
        <v>35</v>
      </c>
      <c r="F160">
        <v>2</v>
      </c>
      <c r="G160" t="s">
        <v>36</v>
      </c>
      <c r="H160" t="s">
        <v>36</v>
      </c>
      <c r="I160">
        <v>3</v>
      </c>
      <c r="J160">
        <v>2</v>
      </c>
      <c r="K160" t="s">
        <v>38</v>
      </c>
      <c r="L160" t="s">
        <v>36</v>
      </c>
      <c r="M160" t="s">
        <v>36</v>
      </c>
      <c r="N160">
        <v>3</v>
      </c>
      <c r="O160" t="s">
        <v>45</v>
      </c>
      <c r="P160">
        <v>90</v>
      </c>
      <c r="Q160" t="s">
        <v>37</v>
      </c>
      <c r="R160" t="s">
        <v>37</v>
      </c>
      <c r="S160" t="s">
        <v>36</v>
      </c>
      <c r="T160" t="s">
        <v>40</v>
      </c>
      <c r="U160">
        <v>1</v>
      </c>
      <c r="V160" t="s">
        <v>40</v>
      </c>
      <c r="W160" t="s">
        <v>42</v>
      </c>
      <c r="X160" t="s">
        <v>37</v>
      </c>
      <c r="Y160" t="s">
        <v>47</v>
      </c>
      <c r="Z160" t="s">
        <v>37</v>
      </c>
      <c r="AA160">
        <v>2.68</v>
      </c>
      <c r="AB160" t="s">
        <v>37</v>
      </c>
      <c r="AC160">
        <v>3.15</v>
      </c>
      <c r="AD160">
        <v>11</v>
      </c>
      <c r="AE160">
        <v>40000</v>
      </c>
      <c r="AF160" t="str">
        <f>IF(Table1[[#This Row],[What is your current CGPA?]]&gt;=3.5,"High",IF(Table1[[#This Row],[What is your current CGPA?]]&gt;=2.5,"Medium","Low"))</f>
        <v>Medium</v>
      </c>
      <c r="AG160" t="str">
        <f>IF(AND(Table1[[#This Row],[Average attendance on class]]&lt;75,Table1[[#This Row],[How many hour do you study daily?]]&lt;1),"At Risk","Normal")</f>
        <v>Normal</v>
      </c>
      <c r="AH160">
        <f>(Table1[[#This Row],[Average attendance on class]]*0.4)+(Table1[[#This Row],[How many hour do you study daily?]]*10*0.3)+(Table1[[#This Row],[How many hour do you spent daily on your skill development?]]*10*0.3)</f>
        <v>48</v>
      </c>
    </row>
    <row r="161" spans="1:34" x14ac:dyDescent="0.25">
      <c r="A161">
        <v>2019</v>
      </c>
      <c r="B161" t="s">
        <v>48</v>
      </c>
      <c r="C161">
        <v>21</v>
      </c>
      <c r="D161">
        <v>2018</v>
      </c>
      <c r="E161" t="s">
        <v>35</v>
      </c>
      <c r="F161">
        <v>10</v>
      </c>
      <c r="G161" t="s">
        <v>37</v>
      </c>
      <c r="H161" t="s">
        <v>37</v>
      </c>
      <c r="I161">
        <v>5</v>
      </c>
      <c r="J161">
        <v>1</v>
      </c>
      <c r="K161" t="s">
        <v>38</v>
      </c>
      <c r="L161" t="s">
        <v>36</v>
      </c>
      <c r="M161" t="s">
        <v>36</v>
      </c>
      <c r="N161">
        <v>3</v>
      </c>
      <c r="O161" t="s">
        <v>39</v>
      </c>
      <c r="P161">
        <v>80</v>
      </c>
      <c r="Q161" t="s">
        <v>36</v>
      </c>
      <c r="R161" t="s">
        <v>37</v>
      </c>
      <c r="S161" t="s">
        <v>36</v>
      </c>
      <c r="T161" t="s">
        <v>40</v>
      </c>
      <c r="U161">
        <v>2</v>
      </c>
      <c r="V161" t="s">
        <v>40</v>
      </c>
      <c r="W161" t="s">
        <v>42</v>
      </c>
      <c r="X161" t="s">
        <v>37</v>
      </c>
      <c r="Y161" t="s">
        <v>43</v>
      </c>
      <c r="Z161" t="s">
        <v>36</v>
      </c>
      <c r="AA161">
        <v>3.3</v>
      </c>
      <c r="AB161" t="s">
        <v>37</v>
      </c>
      <c r="AC161">
        <v>3.24</v>
      </c>
      <c r="AD161">
        <v>105</v>
      </c>
      <c r="AE161">
        <v>80000</v>
      </c>
      <c r="AF161" t="str">
        <f>IF(Table1[[#This Row],[What is your current CGPA?]]&gt;=3.5,"High",IF(Table1[[#This Row],[What is your current CGPA?]]&gt;=2.5,"Medium","Low"))</f>
        <v>Medium</v>
      </c>
      <c r="AG161" t="str">
        <f>IF(AND(Table1[[#This Row],[Average attendance on class]]&lt;75,Table1[[#This Row],[How many hour do you study daily?]]&lt;1),"At Risk","Normal")</f>
        <v>Normal</v>
      </c>
      <c r="AH161">
        <f>(Table1[[#This Row],[Average attendance on class]]*0.4)+(Table1[[#This Row],[How many hour do you study daily?]]*10*0.3)+(Table1[[#This Row],[How many hour do you spent daily on your skill development?]]*10*0.3)</f>
        <v>53</v>
      </c>
    </row>
    <row r="162" spans="1:34" x14ac:dyDescent="0.25">
      <c r="A162">
        <v>2019</v>
      </c>
      <c r="B162" t="s">
        <v>34</v>
      </c>
      <c r="C162">
        <v>23</v>
      </c>
      <c r="D162">
        <v>2017</v>
      </c>
      <c r="E162" t="s">
        <v>35</v>
      </c>
      <c r="F162">
        <v>10</v>
      </c>
      <c r="G162" t="s">
        <v>37</v>
      </c>
      <c r="H162" t="s">
        <v>36</v>
      </c>
      <c r="I162">
        <v>3</v>
      </c>
      <c r="J162">
        <v>2</v>
      </c>
      <c r="K162" t="s">
        <v>44</v>
      </c>
      <c r="L162" t="s">
        <v>36</v>
      </c>
      <c r="M162" t="s">
        <v>36</v>
      </c>
      <c r="N162">
        <v>2</v>
      </c>
      <c r="O162" t="s">
        <v>45</v>
      </c>
      <c r="P162">
        <v>90</v>
      </c>
      <c r="Q162" t="s">
        <v>37</v>
      </c>
      <c r="R162" t="s">
        <v>37</v>
      </c>
      <c r="S162" t="s">
        <v>36</v>
      </c>
      <c r="T162" t="s">
        <v>40</v>
      </c>
      <c r="U162">
        <v>3</v>
      </c>
      <c r="V162" t="s">
        <v>40</v>
      </c>
      <c r="W162" t="s">
        <v>42</v>
      </c>
      <c r="X162" t="s">
        <v>37</v>
      </c>
      <c r="Y162" t="s">
        <v>43</v>
      </c>
      <c r="Z162" t="s">
        <v>36</v>
      </c>
      <c r="AA162">
        <v>2.68</v>
      </c>
      <c r="AB162" t="s">
        <v>37</v>
      </c>
      <c r="AC162">
        <v>3.15</v>
      </c>
      <c r="AD162">
        <v>113</v>
      </c>
      <c r="AE162">
        <v>35000</v>
      </c>
      <c r="AF162" t="str">
        <f>IF(Table1[[#This Row],[What is your current CGPA?]]&gt;=3.5,"High",IF(Table1[[#This Row],[What is your current CGPA?]]&gt;=2.5,"Medium","Low"))</f>
        <v>Medium</v>
      </c>
      <c r="AG162" t="str">
        <f>IF(AND(Table1[[#This Row],[Average attendance on class]]&lt;75,Table1[[#This Row],[How many hour do you study daily?]]&lt;1),"At Risk","Normal")</f>
        <v>Normal</v>
      </c>
      <c r="AH162">
        <f>(Table1[[#This Row],[Average attendance on class]]*0.4)+(Table1[[#This Row],[How many hour do you study daily?]]*10*0.3)+(Table1[[#This Row],[How many hour do you spent daily on your skill development?]]*10*0.3)</f>
        <v>54</v>
      </c>
    </row>
    <row r="163" spans="1:34" x14ac:dyDescent="0.25">
      <c r="A163">
        <v>2019</v>
      </c>
      <c r="B163" t="s">
        <v>34</v>
      </c>
      <c r="C163">
        <v>21</v>
      </c>
      <c r="D163">
        <v>2018</v>
      </c>
      <c r="E163" t="s">
        <v>35</v>
      </c>
      <c r="F163">
        <v>9</v>
      </c>
      <c r="G163" t="s">
        <v>37</v>
      </c>
      <c r="H163" t="s">
        <v>37</v>
      </c>
      <c r="I163">
        <v>1</v>
      </c>
      <c r="J163">
        <v>1</v>
      </c>
      <c r="K163" t="s">
        <v>44</v>
      </c>
      <c r="L163" t="s">
        <v>36</v>
      </c>
      <c r="M163" t="s">
        <v>36</v>
      </c>
      <c r="N163">
        <v>12</v>
      </c>
      <c r="O163" t="s">
        <v>39</v>
      </c>
      <c r="P163">
        <v>90</v>
      </c>
      <c r="Q163" t="s">
        <v>37</v>
      </c>
      <c r="R163" t="s">
        <v>37</v>
      </c>
      <c r="S163" t="s">
        <v>36</v>
      </c>
      <c r="T163" t="s">
        <v>40</v>
      </c>
      <c r="U163">
        <v>6</v>
      </c>
      <c r="V163" t="s">
        <v>40</v>
      </c>
      <c r="W163" t="s">
        <v>42</v>
      </c>
      <c r="X163" t="s">
        <v>37</v>
      </c>
      <c r="Y163" t="s">
        <v>43</v>
      </c>
      <c r="Z163" t="s">
        <v>37</v>
      </c>
      <c r="AA163">
        <v>3.01</v>
      </c>
      <c r="AB163" t="s">
        <v>37</v>
      </c>
      <c r="AC163">
        <v>2.76</v>
      </c>
      <c r="AD163">
        <v>79</v>
      </c>
      <c r="AE163">
        <v>65000</v>
      </c>
      <c r="AF163" t="str">
        <f>IF(Table1[[#This Row],[What is your current CGPA?]]&gt;=3.5,"High",IF(Table1[[#This Row],[What is your current CGPA?]]&gt;=2.5,"Medium","Low"))</f>
        <v>Medium</v>
      </c>
      <c r="AG163" t="str">
        <f>IF(AND(Table1[[#This Row],[Average attendance on class]]&lt;75,Table1[[#This Row],[How many hour do you study daily?]]&lt;1),"At Risk","Normal")</f>
        <v>Normal</v>
      </c>
      <c r="AH163">
        <f>(Table1[[#This Row],[Average attendance on class]]*0.4)+(Table1[[#This Row],[How many hour do you study daily?]]*10*0.3)+(Table1[[#This Row],[How many hour do you spent daily on your skill development?]]*10*0.3)</f>
        <v>57</v>
      </c>
    </row>
    <row r="164" spans="1:34" x14ac:dyDescent="0.25">
      <c r="A164">
        <v>2018</v>
      </c>
      <c r="B164" t="s">
        <v>34</v>
      </c>
      <c r="C164">
        <v>23</v>
      </c>
      <c r="D164">
        <v>2017</v>
      </c>
      <c r="E164" t="s">
        <v>35</v>
      </c>
      <c r="F164">
        <v>12</v>
      </c>
      <c r="G164" t="s">
        <v>37</v>
      </c>
      <c r="H164" t="s">
        <v>37</v>
      </c>
      <c r="I164">
        <v>4</v>
      </c>
      <c r="J164">
        <v>1</v>
      </c>
      <c r="K164" t="s">
        <v>38</v>
      </c>
      <c r="L164" t="s">
        <v>36</v>
      </c>
      <c r="M164" t="s">
        <v>36</v>
      </c>
      <c r="N164">
        <v>2</v>
      </c>
      <c r="O164" t="s">
        <v>39</v>
      </c>
      <c r="P164">
        <v>97</v>
      </c>
      <c r="Q164" t="s">
        <v>37</v>
      </c>
      <c r="R164" t="s">
        <v>37</v>
      </c>
      <c r="S164" t="s">
        <v>36</v>
      </c>
      <c r="T164" t="s">
        <v>40</v>
      </c>
      <c r="U164">
        <v>4</v>
      </c>
      <c r="V164" t="s">
        <v>40</v>
      </c>
      <c r="W164" t="s">
        <v>42</v>
      </c>
      <c r="X164" t="s">
        <v>37</v>
      </c>
      <c r="Y164" t="s">
        <v>43</v>
      </c>
      <c r="Z164" t="s">
        <v>37</v>
      </c>
      <c r="AA164">
        <v>2.68</v>
      </c>
      <c r="AB164" t="s">
        <v>37</v>
      </c>
      <c r="AC164">
        <v>3.15</v>
      </c>
      <c r="AD164">
        <v>136</v>
      </c>
      <c r="AE164">
        <v>20000</v>
      </c>
      <c r="AF164" t="str">
        <f>IF(Table1[[#This Row],[What is your current CGPA?]]&gt;=3.5,"High",IF(Table1[[#This Row],[What is your current CGPA?]]&gt;=2.5,"Medium","Low"))</f>
        <v>Medium</v>
      </c>
      <c r="AG164" t="str">
        <f>IF(AND(Table1[[#This Row],[Average attendance on class]]&lt;75,Table1[[#This Row],[How many hour do you study daily?]]&lt;1),"At Risk","Normal")</f>
        <v>Normal</v>
      </c>
      <c r="AH164">
        <f>(Table1[[#This Row],[Average attendance on class]]*0.4)+(Table1[[#This Row],[How many hour do you study daily?]]*10*0.3)+(Table1[[#This Row],[How many hour do you spent daily on your skill development?]]*10*0.3)</f>
        <v>62.800000000000004</v>
      </c>
    </row>
    <row r="165" spans="1:34" x14ac:dyDescent="0.25">
      <c r="A165">
        <v>2019</v>
      </c>
      <c r="B165" t="s">
        <v>34</v>
      </c>
      <c r="C165">
        <v>22</v>
      </c>
      <c r="D165">
        <v>2018</v>
      </c>
      <c r="E165" t="s">
        <v>35</v>
      </c>
      <c r="F165">
        <v>9</v>
      </c>
      <c r="G165" t="s">
        <v>37</v>
      </c>
      <c r="H165" t="s">
        <v>37</v>
      </c>
      <c r="I165">
        <v>3</v>
      </c>
      <c r="J165">
        <v>2</v>
      </c>
      <c r="K165" t="s">
        <v>38</v>
      </c>
      <c r="L165" t="s">
        <v>36</v>
      </c>
      <c r="M165" t="s">
        <v>36</v>
      </c>
      <c r="N165">
        <v>3</v>
      </c>
      <c r="O165" t="s">
        <v>45</v>
      </c>
      <c r="P165">
        <v>95</v>
      </c>
      <c r="Q165" t="s">
        <v>37</v>
      </c>
      <c r="R165" t="s">
        <v>37</v>
      </c>
      <c r="S165" t="s">
        <v>36</v>
      </c>
      <c r="T165" t="s">
        <v>40</v>
      </c>
      <c r="U165">
        <v>2</v>
      </c>
      <c r="V165" t="s">
        <v>41</v>
      </c>
      <c r="W165" t="s">
        <v>42</v>
      </c>
      <c r="X165" t="s">
        <v>37</v>
      </c>
      <c r="Y165" t="s">
        <v>43</v>
      </c>
      <c r="Z165" t="s">
        <v>37</v>
      </c>
      <c r="AA165">
        <v>3.2</v>
      </c>
      <c r="AB165" t="s">
        <v>37</v>
      </c>
      <c r="AC165">
        <v>3.3</v>
      </c>
      <c r="AD165">
        <v>103</v>
      </c>
      <c r="AE165">
        <v>40000</v>
      </c>
      <c r="AF165" t="str">
        <f>IF(Table1[[#This Row],[What is your current CGPA?]]&gt;=3.5,"High",IF(Table1[[#This Row],[What is your current CGPA?]]&gt;=2.5,"Medium","Low"))</f>
        <v>Medium</v>
      </c>
      <c r="AG165" t="str">
        <f>IF(AND(Table1[[#This Row],[Average attendance on class]]&lt;75,Table1[[#This Row],[How many hour do you study daily?]]&lt;1),"At Risk","Normal")</f>
        <v>Normal</v>
      </c>
      <c r="AH165">
        <f>(Table1[[#This Row],[Average attendance on class]]*0.4)+(Table1[[#This Row],[How many hour do you study daily?]]*10*0.3)+(Table1[[#This Row],[How many hour do you spent daily on your skill development?]]*10*0.3)</f>
        <v>53</v>
      </c>
    </row>
    <row r="166" spans="1:34" x14ac:dyDescent="0.25">
      <c r="A166">
        <v>2018</v>
      </c>
      <c r="B166" t="s">
        <v>48</v>
      </c>
      <c r="C166">
        <v>23</v>
      </c>
      <c r="D166">
        <v>2017</v>
      </c>
      <c r="E166" t="s">
        <v>35</v>
      </c>
      <c r="F166">
        <v>12</v>
      </c>
      <c r="G166" t="s">
        <v>37</v>
      </c>
      <c r="H166" t="s">
        <v>37</v>
      </c>
      <c r="I166">
        <v>3</v>
      </c>
      <c r="J166">
        <v>2</v>
      </c>
      <c r="K166" t="s">
        <v>44</v>
      </c>
      <c r="L166" t="s">
        <v>36</v>
      </c>
      <c r="M166" t="s">
        <v>36</v>
      </c>
      <c r="N166">
        <v>2</v>
      </c>
      <c r="O166" t="s">
        <v>53</v>
      </c>
      <c r="P166">
        <v>80</v>
      </c>
      <c r="Q166" t="s">
        <v>36</v>
      </c>
      <c r="R166" t="s">
        <v>37</v>
      </c>
      <c r="S166" t="s">
        <v>36</v>
      </c>
      <c r="T166" t="s">
        <v>40</v>
      </c>
      <c r="U166">
        <v>2</v>
      </c>
      <c r="V166" t="s">
        <v>40</v>
      </c>
      <c r="W166" t="s">
        <v>42</v>
      </c>
      <c r="X166" t="s">
        <v>36</v>
      </c>
      <c r="Y166" t="s">
        <v>47</v>
      </c>
      <c r="Z166" t="s">
        <v>37</v>
      </c>
      <c r="AA166">
        <v>2.68</v>
      </c>
      <c r="AB166" t="s">
        <v>37</v>
      </c>
      <c r="AC166">
        <v>3.15</v>
      </c>
      <c r="AD166">
        <v>136</v>
      </c>
      <c r="AE166">
        <v>100000</v>
      </c>
      <c r="AF166" t="str">
        <f>IF(Table1[[#This Row],[What is your current CGPA?]]&gt;=3.5,"High",IF(Table1[[#This Row],[What is your current CGPA?]]&gt;=2.5,"Medium","Low"))</f>
        <v>Medium</v>
      </c>
      <c r="AG166" t="str">
        <f>IF(AND(Table1[[#This Row],[Average attendance on class]]&lt;75,Table1[[#This Row],[How many hour do you study daily?]]&lt;1),"At Risk","Normal")</f>
        <v>Normal</v>
      </c>
      <c r="AH166">
        <f>(Table1[[#This Row],[Average attendance on class]]*0.4)+(Table1[[#This Row],[How many hour do you study daily?]]*10*0.3)+(Table1[[#This Row],[How many hour do you spent daily on your skill development?]]*10*0.3)</f>
        <v>47</v>
      </c>
    </row>
    <row r="167" spans="1:34" x14ac:dyDescent="0.25">
      <c r="A167">
        <v>2022</v>
      </c>
      <c r="B167" t="s">
        <v>48</v>
      </c>
      <c r="C167">
        <v>20</v>
      </c>
      <c r="D167">
        <v>2020</v>
      </c>
      <c r="E167" t="s">
        <v>35</v>
      </c>
      <c r="F167">
        <v>2</v>
      </c>
      <c r="G167" t="s">
        <v>36</v>
      </c>
      <c r="H167" t="s">
        <v>37</v>
      </c>
      <c r="I167">
        <v>4</v>
      </c>
      <c r="J167">
        <v>1</v>
      </c>
      <c r="K167" t="s">
        <v>38</v>
      </c>
      <c r="L167" t="s">
        <v>36</v>
      </c>
      <c r="M167" t="s">
        <v>36</v>
      </c>
      <c r="N167">
        <v>6</v>
      </c>
      <c r="O167" t="s">
        <v>45</v>
      </c>
      <c r="P167">
        <v>90</v>
      </c>
      <c r="Q167" t="s">
        <v>37</v>
      </c>
      <c r="R167" t="s">
        <v>37</v>
      </c>
      <c r="S167" t="s">
        <v>36</v>
      </c>
      <c r="T167" t="s">
        <v>40</v>
      </c>
      <c r="U167">
        <v>2</v>
      </c>
      <c r="V167" t="s">
        <v>40</v>
      </c>
      <c r="W167" t="s">
        <v>42</v>
      </c>
      <c r="X167" t="s">
        <v>37</v>
      </c>
      <c r="Y167" t="s">
        <v>43</v>
      </c>
      <c r="Z167" t="s">
        <v>37</v>
      </c>
      <c r="AA167">
        <v>2.68</v>
      </c>
      <c r="AB167" t="s">
        <v>37</v>
      </c>
      <c r="AC167">
        <v>3.15</v>
      </c>
      <c r="AD167">
        <v>11</v>
      </c>
      <c r="AE167">
        <v>50000</v>
      </c>
      <c r="AF167" t="str">
        <f>IF(Table1[[#This Row],[What is your current CGPA?]]&gt;=3.5,"High",IF(Table1[[#This Row],[What is your current CGPA?]]&gt;=2.5,"Medium","Low"))</f>
        <v>Medium</v>
      </c>
      <c r="AG167" t="str">
        <f>IF(AND(Table1[[#This Row],[Average attendance on class]]&lt;75,Table1[[#This Row],[How many hour do you study daily?]]&lt;1),"At Risk","Normal")</f>
        <v>Normal</v>
      </c>
      <c r="AH167">
        <f>(Table1[[#This Row],[Average attendance on class]]*0.4)+(Table1[[#This Row],[How many hour do you study daily?]]*10*0.3)+(Table1[[#This Row],[How many hour do you spent daily on your skill development?]]*10*0.3)</f>
        <v>54</v>
      </c>
    </row>
    <row r="168" spans="1:34" x14ac:dyDescent="0.25">
      <c r="A168">
        <v>2018</v>
      </c>
      <c r="B168" t="s">
        <v>34</v>
      </c>
      <c r="C168">
        <v>25</v>
      </c>
      <c r="D168">
        <v>2015</v>
      </c>
      <c r="E168" t="s">
        <v>35</v>
      </c>
      <c r="F168">
        <v>12</v>
      </c>
      <c r="G168" t="s">
        <v>36</v>
      </c>
      <c r="H168" t="s">
        <v>37</v>
      </c>
      <c r="I168">
        <v>1</v>
      </c>
      <c r="J168">
        <v>3</v>
      </c>
      <c r="K168" t="s">
        <v>38</v>
      </c>
      <c r="L168" t="s">
        <v>37</v>
      </c>
      <c r="M168" t="s">
        <v>36</v>
      </c>
      <c r="N168">
        <v>1</v>
      </c>
      <c r="O168" t="s">
        <v>39</v>
      </c>
      <c r="P168">
        <v>90</v>
      </c>
      <c r="Q168" t="s">
        <v>37</v>
      </c>
      <c r="R168" t="s">
        <v>37</v>
      </c>
      <c r="S168" t="s">
        <v>37</v>
      </c>
      <c r="T168" t="s">
        <v>40</v>
      </c>
      <c r="U168">
        <v>1</v>
      </c>
      <c r="V168" t="s">
        <v>40</v>
      </c>
      <c r="W168" t="s">
        <v>42</v>
      </c>
      <c r="X168" t="s">
        <v>37</v>
      </c>
      <c r="Y168" t="s">
        <v>43</v>
      </c>
      <c r="Z168" t="s">
        <v>37</v>
      </c>
      <c r="AA168">
        <v>2.68</v>
      </c>
      <c r="AB168" t="s">
        <v>37</v>
      </c>
      <c r="AC168">
        <v>3.15</v>
      </c>
      <c r="AD168">
        <v>136</v>
      </c>
      <c r="AE168">
        <v>20000</v>
      </c>
      <c r="AF168" t="str">
        <f>IF(Table1[[#This Row],[What is your current CGPA?]]&gt;=3.5,"High",IF(Table1[[#This Row],[What is your current CGPA?]]&gt;=2.5,"Medium","Low"))</f>
        <v>Medium</v>
      </c>
      <c r="AG168" t="str">
        <f>IF(AND(Table1[[#This Row],[Average attendance on class]]&lt;75,Table1[[#This Row],[How many hour do you study daily?]]&lt;1),"At Risk","Normal")</f>
        <v>Normal</v>
      </c>
      <c r="AH168">
        <f>(Table1[[#This Row],[Average attendance on class]]*0.4)+(Table1[[#This Row],[How many hour do you study daily?]]*10*0.3)+(Table1[[#This Row],[How many hour do you spent daily on your skill development?]]*10*0.3)</f>
        <v>42</v>
      </c>
    </row>
    <row r="169" spans="1:34" x14ac:dyDescent="0.25">
      <c r="A169">
        <v>2022</v>
      </c>
      <c r="B169" t="s">
        <v>34</v>
      </c>
      <c r="C169">
        <v>20</v>
      </c>
      <c r="D169">
        <v>2020</v>
      </c>
      <c r="E169" t="s">
        <v>35</v>
      </c>
      <c r="F169">
        <v>2</v>
      </c>
      <c r="G169" t="s">
        <v>36</v>
      </c>
      <c r="H169" t="s">
        <v>36</v>
      </c>
      <c r="I169">
        <v>3</v>
      </c>
      <c r="J169">
        <v>2</v>
      </c>
      <c r="K169" t="s">
        <v>38</v>
      </c>
      <c r="L169" t="s">
        <v>36</v>
      </c>
      <c r="M169" t="s">
        <v>36</v>
      </c>
      <c r="N169">
        <v>4</v>
      </c>
      <c r="O169" t="s">
        <v>39</v>
      </c>
      <c r="P169">
        <v>90</v>
      </c>
      <c r="Q169" t="s">
        <v>37</v>
      </c>
      <c r="R169" t="s">
        <v>37</v>
      </c>
      <c r="S169" t="s">
        <v>36</v>
      </c>
      <c r="T169" t="s">
        <v>40</v>
      </c>
      <c r="U169">
        <v>2</v>
      </c>
      <c r="V169" t="s">
        <v>40</v>
      </c>
      <c r="W169" t="s">
        <v>42</v>
      </c>
      <c r="X169" t="s">
        <v>36</v>
      </c>
      <c r="Y169" t="s">
        <v>47</v>
      </c>
      <c r="Z169" t="s">
        <v>37</v>
      </c>
      <c r="AA169">
        <v>2.68</v>
      </c>
      <c r="AB169" t="s">
        <v>37</v>
      </c>
      <c r="AC169">
        <v>3.15</v>
      </c>
      <c r="AD169">
        <v>11</v>
      </c>
      <c r="AE169">
        <v>30000</v>
      </c>
      <c r="AF169" t="str">
        <f>IF(Table1[[#This Row],[What is your current CGPA?]]&gt;=3.5,"High",IF(Table1[[#This Row],[What is your current CGPA?]]&gt;=2.5,"Medium","Low"))</f>
        <v>Medium</v>
      </c>
      <c r="AG169" t="str">
        <f>IF(AND(Table1[[#This Row],[Average attendance on class]]&lt;75,Table1[[#This Row],[How many hour do you study daily?]]&lt;1),"At Risk","Normal")</f>
        <v>Normal</v>
      </c>
      <c r="AH169">
        <f>(Table1[[#This Row],[Average attendance on class]]*0.4)+(Table1[[#This Row],[How many hour do you study daily?]]*10*0.3)+(Table1[[#This Row],[How many hour do you spent daily on your skill development?]]*10*0.3)</f>
        <v>51</v>
      </c>
    </row>
    <row r="170" spans="1:34" x14ac:dyDescent="0.25">
      <c r="A170">
        <v>2020</v>
      </c>
      <c r="B170" t="s">
        <v>48</v>
      </c>
      <c r="C170">
        <v>23</v>
      </c>
      <c r="D170">
        <v>2018</v>
      </c>
      <c r="E170" t="s">
        <v>35</v>
      </c>
      <c r="F170">
        <v>7</v>
      </c>
      <c r="G170" t="s">
        <v>37</v>
      </c>
      <c r="H170" t="s">
        <v>36</v>
      </c>
      <c r="I170">
        <v>3</v>
      </c>
      <c r="J170">
        <v>2</v>
      </c>
      <c r="K170" t="s">
        <v>38</v>
      </c>
      <c r="L170" t="s">
        <v>36</v>
      </c>
      <c r="M170" t="s">
        <v>36</v>
      </c>
      <c r="N170">
        <v>4</v>
      </c>
      <c r="O170" t="s">
        <v>45</v>
      </c>
      <c r="P170">
        <v>40</v>
      </c>
      <c r="Q170" t="s">
        <v>36</v>
      </c>
      <c r="R170" t="s">
        <v>36</v>
      </c>
      <c r="S170" t="s">
        <v>36</v>
      </c>
      <c r="T170" t="s">
        <v>40</v>
      </c>
      <c r="U170">
        <v>2</v>
      </c>
      <c r="V170" t="s">
        <v>40</v>
      </c>
      <c r="W170" t="s">
        <v>56</v>
      </c>
      <c r="X170" t="s">
        <v>36</v>
      </c>
      <c r="Y170" t="s">
        <v>47</v>
      </c>
      <c r="Z170" t="s">
        <v>37</v>
      </c>
      <c r="AA170">
        <v>2.4</v>
      </c>
      <c r="AB170" t="s">
        <v>37</v>
      </c>
      <c r="AC170">
        <v>2.4</v>
      </c>
      <c r="AD170">
        <v>70</v>
      </c>
      <c r="AE170">
        <v>60000</v>
      </c>
      <c r="AF170" t="str">
        <f>IF(Table1[[#This Row],[What is your current CGPA?]]&gt;=3.5,"High",IF(Table1[[#This Row],[What is your current CGPA?]]&gt;=2.5,"Medium","Low"))</f>
        <v>Low</v>
      </c>
      <c r="AG170" s="2" t="str">
        <f>IF(AND(Table1[[#This Row],[Average attendance on class]]&lt;75,Table1[[#This Row],[How many hour do you study daily?]]&lt;1),"At Risk","Normal")</f>
        <v>Normal</v>
      </c>
      <c r="AH170">
        <f>(Table1[[#This Row],[Average attendance on class]]*0.4)+(Table1[[#This Row],[How many hour do you study daily?]]*10*0.3)+(Table1[[#This Row],[How many hour do you spent daily on your skill development?]]*10*0.3)</f>
        <v>31</v>
      </c>
    </row>
    <row r="171" spans="1:34" x14ac:dyDescent="0.25">
      <c r="A171">
        <v>2020</v>
      </c>
      <c r="B171" t="s">
        <v>34</v>
      </c>
      <c r="C171">
        <v>23</v>
      </c>
      <c r="D171">
        <v>2018</v>
      </c>
      <c r="E171" t="s">
        <v>35</v>
      </c>
      <c r="F171">
        <v>8</v>
      </c>
      <c r="G171" t="s">
        <v>37</v>
      </c>
      <c r="H171" t="s">
        <v>37</v>
      </c>
      <c r="I171">
        <v>4</v>
      </c>
      <c r="J171">
        <v>2</v>
      </c>
      <c r="K171" t="s">
        <v>44</v>
      </c>
      <c r="L171" t="s">
        <v>36</v>
      </c>
      <c r="M171" t="s">
        <v>36</v>
      </c>
      <c r="N171">
        <v>2</v>
      </c>
      <c r="O171" t="s">
        <v>39</v>
      </c>
      <c r="P171">
        <v>90</v>
      </c>
      <c r="Q171" t="s">
        <v>37</v>
      </c>
      <c r="R171" t="s">
        <v>37</v>
      </c>
      <c r="S171" t="s">
        <v>37</v>
      </c>
      <c r="T171" t="s">
        <v>40</v>
      </c>
      <c r="U171">
        <v>1</v>
      </c>
      <c r="V171" t="s">
        <v>52</v>
      </c>
      <c r="W171" t="s">
        <v>42</v>
      </c>
      <c r="X171" t="s">
        <v>36</v>
      </c>
      <c r="Y171" t="s">
        <v>43</v>
      </c>
      <c r="Z171" t="s">
        <v>37</v>
      </c>
      <c r="AA171">
        <v>2.68</v>
      </c>
      <c r="AB171" t="s">
        <v>37</v>
      </c>
      <c r="AC171">
        <v>3.15</v>
      </c>
      <c r="AD171">
        <v>88</v>
      </c>
      <c r="AE171">
        <v>50000</v>
      </c>
      <c r="AF171" t="str">
        <f>IF(Table1[[#This Row],[What is your current CGPA?]]&gt;=3.5,"High",IF(Table1[[#This Row],[What is your current CGPA?]]&gt;=2.5,"Medium","Low"))</f>
        <v>Medium</v>
      </c>
      <c r="AG171" t="str">
        <f>IF(AND(Table1[[#This Row],[Average attendance on class]]&lt;75,Table1[[#This Row],[How many hour do you study daily?]]&lt;1),"At Risk","Normal")</f>
        <v>Normal</v>
      </c>
      <c r="AH171">
        <f>(Table1[[#This Row],[Average attendance on class]]*0.4)+(Table1[[#This Row],[How many hour do you study daily?]]*10*0.3)+(Table1[[#This Row],[How many hour do you spent daily on your skill development?]]*10*0.3)</f>
        <v>51</v>
      </c>
    </row>
    <row r="172" spans="1:34" x14ac:dyDescent="0.25">
      <c r="A172">
        <v>2021</v>
      </c>
      <c r="B172" t="s">
        <v>34</v>
      </c>
      <c r="C172">
        <v>22</v>
      </c>
      <c r="D172">
        <v>2020</v>
      </c>
      <c r="E172" t="s">
        <v>35</v>
      </c>
      <c r="F172">
        <v>4</v>
      </c>
      <c r="G172" t="s">
        <v>36</v>
      </c>
      <c r="H172" t="s">
        <v>36</v>
      </c>
      <c r="I172">
        <v>4</v>
      </c>
      <c r="J172">
        <v>2</v>
      </c>
      <c r="K172" t="s">
        <v>38</v>
      </c>
      <c r="L172" t="s">
        <v>36</v>
      </c>
      <c r="M172" t="s">
        <v>36</v>
      </c>
      <c r="N172">
        <v>2</v>
      </c>
      <c r="O172" t="s">
        <v>39</v>
      </c>
      <c r="P172">
        <v>90</v>
      </c>
      <c r="Q172" t="s">
        <v>37</v>
      </c>
      <c r="R172" t="s">
        <v>37</v>
      </c>
      <c r="S172" t="s">
        <v>37</v>
      </c>
      <c r="T172" t="s">
        <v>40</v>
      </c>
      <c r="U172">
        <v>2</v>
      </c>
      <c r="V172" t="s">
        <v>40</v>
      </c>
      <c r="W172" t="s">
        <v>42</v>
      </c>
      <c r="X172" t="s">
        <v>36</v>
      </c>
      <c r="Y172" t="s">
        <v>47</v>
      </c>
      <c r="Z172" t="s">
        <v>37</v>
      </c>
      <c r="AA172">
        <v>2.16</v>
      </c>
      <c r="AB172" t="s">
        <v>37</v>
      </c>
      <c r="AC172">
        <v>2.75</v>
      </c>
      <c r="AD172">
        <v>35</v>
      </c>
      <c r="AE172">
        <v>40000</v>
      </c>
      <c r="AF172" t="str">
        <f>IF(Table1[[#This Row],[What is your current CGPA?]]&gt;=3.5,"High",IF(Table1[[#This Row],[What is your current CGPA?]]&gt;=2.5,"Medium","Low"))</f>
        <v>Medium</v>
      </c>
      <c r="AG172" t="str">
        <f>IF(AND(Table1[[#This Row],[Average attendance on class]]&lt;75,Table1[[#This Row],[How many hour do you study daily?]]&lt;1),"At Risk","Normal")</f>
        <v>Normal</v>
      </c>
      <c r="AH172">
        <f>(Table1[[#This Row],[Average attendance on class]]*0.4)+(Table1[[#This Row],[How many hour do you study daily?]]*10*0.3)+(Table1[[#This Row],[How many hour do you spent daily on your skill development?]]*10*0.3)</f>
        <v>54</v>
      </c>
    </row>
    <row r="173" spans="1:34" x14ac:dyDescent="0.25">
      <c r="A173">
        <v>2019</v>
      </c>
      <c r="B173" t="s">
        <v>34</v>
      </c>
      <c r="C173">
        <v>22</v>
      </c>
      <c r="D173">
        <v>2018</v>
      </c>
      <c r="E173" t="s">
        <v>35</v>
      </c>
      <c r="F173">
        <v>9</v>
      </c>
      <c r="G173" t="s">
        <v>36</v>
      </c>
      <c r="H173" t="s">
        <v>37</v>
      </c>
      <c r="I173">
        <v>8</v>
      </c>
      <c r="J173">
        <v>3</v>
      </c>
      <c r="K173" t="s">
        <v>38</v>
      </c>
      <c r="L173" t="s">
        <v>36</v>
      </c>
      <c r="M173" t="s">
        <v>36</v>
      </c>
      <c r="N173">
        <v>3</v>
      </c>
      <c r="O173" t="s">
        <v>39</v>
      </c>
      <c r="P173">
        <v>90</v>
      </c>
      <c r="Q173" t="s">
        <v>37</v>
      </c>
      <c r="R173" t="s">
        <v>37</v>
      </c>
      <c r="S173" t="s">
        <v>36</v>
      </c>
      <c r="T173" t="s">
        <v>40</v>
      </c>
      <c r="U173">
        <v>2</v>
      </c>
      <c r="V173" t="s">
        <v>40</v>
      </c>
      <c r="W173" t="s">
        <v>42</v>
      </c>
      <c r="X173" t="s">
        <v>37</v>
      </c>
      <c r="Y173" t="s">
        <v>43</v>
      </c>
      <c r="Z173" t="s">
        <v>37</v>
      </c>
      <c r="AA173">
        <v>2.68</v>
      </c>
      <c r="AB173" t="s">
        <v>37</v>
      </c>
      <c r="AC173">
        <v>3.15</v>
      </c>
      <c r="AD173">
        <v>100</v>
      </c>
      <c r="AE173">
        <v>40000</v>
      </c>
      <c r="AF173" t="str">
        <f>IF(Table1[[#This Row],[What is your current CGPA?]]&gt;=3.5,"High",IF(Table1[[#This Row],[What is your current CGPA?]]&gt;=2.5,"Medium","Low"))</f>
        <v>Medium</v>
      </c>
      <c r="AG173" t="str">
        <f>IF(AND(Table1[[#This Row],[Average attendance on class]]&lt;75,Table1[[#This Row],[How many hour do you study daily?]]&lt;1),"At Risk","Normal")</f>
        <v>Normal</v>
      </c>
      <c r="AH173">
        <f>(Table1[[#This Row],[Average attendance on class]]*0.4)+(Table1[[#This Row],[How many hour do you study daily?]]*10*0.3)+(Table1[[#This Row],[How many hour do you spent daily on your skill development?]]*10*0.3)</f>
        <v>66</v>
      </c>
    </row>
    <row r="174" spans="1:34" x14ac:dyDescent="0.25">
      <c r="A174">
        <v>2020</v>
      </c>
      <c r="B174" t="s">
        <v>34</v>
      </c>
      <c r="C174">
        <v>23</v>
      </c>
      <c r="D174">
        <v>2018</v>
      </c>
      <c r="E174" t="s">
        <v>35</v>
      </c>
      <c r="F174">
        <v>8</v>
      </c>
      <c r="G174" t="s">
        <v>36</v>
      </c>
      <c r="H174" t="s">
        <v>36</v>
      </c>
      <c r="I174">
        <v>5</v>
      </c>
      <c r="J174">
        <v>3</v>
      </c>
      <c r="K174" t="s">
        <v>38</v>
      </c>
      <c r="L174" t="s">
        <v>37</v>
      </c>
      <c r="M174" t="s">
        <v>36</v>
      </c>
      <c r="N174">
        <v>2</v>
      </c>
      <c r="O174" t="s">
        <v>39</v>
      </c>
      <c r="P174">
        <v>5</v>
      </c>
      <c r="Q174" t="s">
        <v>36</v>
      </c>
      <c r="R174" t="s">
        <v>37</v>
      </c>
      <c r="S174" t="s">
        <v>36</v>
      </c>
      <c r="T174" t="s">
        <v>40</v>
      </c>
      <c r="U174">
        <v>2</v>
      </c>
      <c r="V174" t="s">
        <v>40</v>
      </c>
      <c r="W174" t="s">
        <v>42</v>
      </c>
      <c r="X174" t="s">
        <v>36</v>
      </c>
      <c r="Y174" t="s">
        <v>43</v>
      </c>
      <c r="Z174" t="s">
        <v>37</v>
      </c>
      <c r="AA174">
        <v>2.68</v>
      </c>
      <c r="AB174" t="s">
        <v>37</v>
      </c>
      <c r="AC174">
        <v>3.15</v>
      </c>
      <c r="AD174">
        <v>88</v>
      </c>
      <c r="AE174">
        <v>12000</v>
      </c>
      <c r="AF174" t="str">
        <f>IF(Table1[[#This Row],[What is your current CGPA?]]&gt;=3.5,"High",IF(Table1[[#This Row],[What is your current CGPA?]]&gt;=2.5,"Medium","Low"))</f>
        <v>Medium</v>
      </c>
      <c r="AG174" t="str">
        <f>IF(AND(Table1[[#This Row],[Average attendance on class]]&lt;75,Table1[[#This Row],[How many hour do you study daily?]]&lt;1),"At Risk","Normal")</f>
        <v>Normal</v>
      </c>
      <c r="AH174">
        <f>(Table1[[#This Row],[Average attendance on class]]*0.4)+(Table1[[#This Row],[How many hour do you study daily?]]*10*0.3)+(Table1[[#This Row],[How many hour do you spent daily on your skill development?]]*10*0.3)</f>
        <v>23</v>
      </c>
    </row>
    <row r="175" spans="1:34" x14ac:dyDescent="0.25">
      <c r="A175">
        <v>2021</v>
      </c>
      <c r="B175" t="s">
        <v>34</v>
      </c>
      <c r="C175">
        <v>21</v>
      </c>
      <c r="D175">
        <v>2020</v>
      </c>
      <c r="E175" t="s">
        <v>35</v>
      </c>
      <c r="F175">
        <v>5</v>
      </c>
      <c r="G175" t="s">
        <v>37</v>
      </c>
      <c r="H175" t="s">
        <v>37</v>
      </c>
      <c r="I175">
        <v>5</v>
      </c>
      <c r="J175">
        <v>3</v>
      </c>
      <c r="K175" t="s">
        <v>38</v>
      </c>
      <c r="L175" t="s">
        <v>37</v>
      </c>
      <c r="M175" t="s">
        <v>36</v>
      </c>
      <c r="N175">
        <v>2</v>
      </c>
      <c r="O175" t="s">
        <v>39</v>
      </c>
      <c r="P175">
        <v>97</v>
      </c>
      <c r="Q175" t="s">
        <v>36</v>
      </c>
      <c r="R175" t="s">
        <v>37</v>
      </c>
      <c r="S175" t="s">
        <v>36</v>
      </c>
      <c r="T175" t="s">
        <v>40</v>
      </c>
      <c r="U175">
        <v>4</v>
      </c>
      <c r="V175" t="s">
        <v>40</v>
      </c>
      <c r="W175" t="s">
        <v>42</v>
      </c>
      <c r="X175" t="s">
        <v>37</v>
      </c>
      <c r="Y175" t="s">
        <v>43</v>
      </c>
      <c r="Z175" t="s">
        <v>37</v>
      </c>
      <c r="AA175">
        <v>0</v>
      </c>
      <c r="AB175" t="s">
        <v>37</v>
      </c>
      <c r="AC175">
        <v>2.31</v>
      </c>
      <c r="AD175">
        <v>46</v>
      </c>
      <c r="AE175">
        <v>50000</v>
      </c>
      <c r="AF175" t="str">
        <f>IF(Table1[[#This Row],[What is your current CGPA?]]&gt;=3.5,"High",IF(Table1[[#This Row],[What is your current CGPA?]]&gt;=2.5,"Medium","Low"))</f>
        <v>Low</v>
      </c>
      <c r="AG175" t="str">
        <f>IF(AND(Table1[[#This Row],[Average attendance on class]]&lt;75,Table1[[#This Row],[How many hour do you study daily?]]&lt;1),"At Risk","Normal")</f>
        <v>Normal</v>
      </c>
      <c r="AH175">
        <f>(Table1[[#This Row],[Average attendance on class]]*0.4)+(Table1[[#This Row],[How many hour do you study daily?]]*10*0.3)+(Table1[[#This Row],[How many hour do you spent daily on your skill development?]]*10*0.3)</f>
        <v>65.800000000000011</v>
      </c>
    </row>
    <row r="176" spans="1:34" x14ac:dyDescent="0.25">
      <c r="A176">
        <v>2021</v>
      </c>
      <c r="B176" t="s">
        <v>48</v>
      </c>
      <c r="C176">
        <v>20</v>
      </c>
      <c r="D176">
        <v>2020</v>
      </c>
      <c r="E176" t="s">
        <v>35</v>
      </c>
      <c r="F176">
        <v>5</v>
      </c>
      <c r="G176" t="s">
        <v>37</v>
      </c>
      <c r="H176" t="s">
        <v>36</v>
      </c>
      <c r="I176">
        <v>2</v>
      </c>
      <c r="J176">
        <v>3</v>
      </c>
      <c r="K176" t="s">
        <v>38</v>
      </c>
      <c r="L176" t="s">
        <v>36</v>
      </c>
      <c r="M176" t="s">
        <v>36</v>
      </c>
      <c r="N176">
        <v>3</v>
      </c>
      <c r="O176" t="s">
        <v>45</v>
      </c>
      <c r="P176">
        <v>80</v>
      </c>
      <c r="Q176" t="s">
        <v>37</v>
      </c>
      <c r="R176" t="s">
        <v>37</v>
      </c>
      <c r="S176" t="s">
        <v>37</v>
      </c>
      <c r="T176" t="s">
        <v>40</v>
      </c>
      <c r="U176">
        <v>3</v>
      </c>
      <c r="V176" t="s">
        <v>40</v>
      </c>
      <c r="W176" t="s">
        <v>42</v>
      </c>
      <c r="X176" t="s">
        <v>37</v>
      </c>
      <c r="Y176" t="s">
        <v>47</v>
      </c>
      <c r="Z176" t="s">
        <v>36</v>
      </c>
      <c r="AA176">
        <v>1.75</v>
      </c>
      <c r="AB176" t="s">
        <v>36</v>
      </c>
      <c r="AC176">
        <v>2.5099999999999998</v>
      </c>
      <c r="AD176">
        <v>50</v>
      </c>
      <c r="AE176">
        <v>50000</v>
      </c>
      <c r="AF176" t="str">
        <f>IF(Table1[[#This Row],[What is your current CGPA?]]&gt;=3.5,"High",IF(Table1[[#This Row],[What is your current CGPA?]]&gt;=2.5,"Medium","Low"))</f>
        <v>Medium</v>
      </c>
      <c r="AG176" t="str">
        <f>IF(AND(Table1[[#This Row],[Average attendance on class]]&lt;75,Table1[[#This Row],[How many hour do you study daily?]]&lt;1),"At Risk","Normal")</f>
        <v>Normal</v>
      </c>
      <c r="AH176">
        <f>(Table1[[#This Row],[Average attendance on class]]*0.4)+(Table1[[#This Row],[How many hour do you study daily?]]*10*0.3)+(Table1[[#This Row],[How many hour do you spent daily on your skill development?]]*10*0.3)</f>
        <v>47</v>
      </c>
    </row>
    <row r="177" spans="1:34" x14ac:dyDescent="0.25">
      <c r="A177">
        <v>2020</v>
      </c>
      <c r="B177" t="s">
        <v>48</v>
      </c>
      <c r="C177">
        <v>22</v>
      </c>
      <c r="D177">
        <v>2019</v>
      </c>
      <c r="E177" t="s">
        <v>35</v>
      </c>
      <c r="F177">
        <v>8</v>
      </c>
      <c r="G177" t="s">
        <v>37</v>
      </c>
      <c r="H177" t="s">
        <v>37</v>
      </c>
      <c r="I177">
        <v>4</v>
      </c>
      <c r="J177">
        <v>2</v>
      </c>
      <c r="K177" t="s">
        <v>38</v>
      </c>
      <c r="L177" t="s">
        <v>36</v>
      </c>
      <c r="M177" t="s">
        <v>37</v>
      </c>
      <c r="N177">
        <v>4</v>
      </c>
      <c r="O177" t="s">
        <v>39</v>
      </c>
      <c r="P177">
        <v>90</v>
      </c>
      <c r="Q177" t="s">
        <v>37</v>
      </c>
      <c r="R177" t="s">
        <v>37</v>
      </c>
      <c r="S177" t="s">
        <v>36</v>
      </c>
      <c r="T177" t="s">
        <v>40</v>
      </c>
      <c r="U177">
        <v>2</v>
      </c>
      <c r="V177" t="s">
        <v>52</v>
      </c>
      <c r="W177" t="s">
        <v>42</v>
      </c>
      <c r="X177" t="s">
        <v>37</v>
      </c>
      <c r="Y177" t="s">
        <v>47</v>
      </c>
      <c r="Z177" t="s">
        <v>37</v>
      </c>
      <c r="AA177">
        <v>2.68</v>
      </c>
      <c r="AB177" t="s">
        <v>37</v>
      </c>
      <c r="AC177">
        <v>3.15</v>
      </c>
      <c r="AD177">
        <v>88</v>
      </c>
      <c r="AE177">
        <v>10000</v>
      </c>
      <c r="AF177" t="str">
        <f>IF(Table1[[#This Row],[What is your current CGPA?]]&gt;=3.5,"High",IF(Table1[[#This Row],[What is your current CGPA?]]&gt;=2.5,"Medium","Low"))</f>
        <v>Medium</v>
      </c>
      <c r="AG177" t="str">
        <f>IF(AND(Table1[[#This Row],[Average attendance on class]]&lt;75,Table1[[#This Row],[How many hour do you study daily?]]&lt;1),"At Risk","Normal")</f>
        <v>Normal</v>
      </c>
      <c r="AH177">
        <f>(Table1[[#This Row],[Average attendance on class]]*0.4)+(Table1[[#This Row],[How many hour do you study daily?]]*10*0.3)+(Table1[[#This Row],[How many hour do you spent daily on your skill development?]]*10*0.3)</f>
        <v>54</v>
      </c>
    </row>
    <row r="178" spans="1:34" x14ac:dyDescent="0.25">
      <c r="A178">
        <v>2020</v>
      </c>
      <c r="B178" t="s">
        <v>34</v>
      </c>
      <c r="C178">
        <v>22</v>
      </c>
      <c r="D178">
        <v>2018</v>
      </c>
      <c r="E178" t="s">
        <v>35</v>
      </c>
      <c r="F178">
        <v>8</v>
      </c>
      <c r="G178" t="s">
        <v>37</v>
      </c>
      <c r="H178" t="s">
        <v>37</v>
      </c>
      <c r="I178">
        <v>2</v>
      </c>
      <c r="J178">
        <v>2</v>
      </c>
      <c r="K178" t="s">
        <v>38</v>
      </c>
      <c r="L178" t="s">
        <v>36</v>
      </c>
      <c r="M178" t="s">
        <v>36</v>
      </c>
      <c r="N178">
        <v>4</v>
      </c>
      <c r="O178" t="s">
        <v>39</v>
      </c>
      <c r="P178">
        <v>90</v>
      </c>
      <c r="Q178" t="s">
        <v>36</v>
      </c>
      <c r="R178" t="s">
        <v>37</v>
      </c>
      <c r="S178" t="s">
        <v>37</v>
      </c>
      <c r="T178" t="s">
        <v>65</v>
      </c>
      <c r="U178">
        <v>0</v>
      </c>
      <c r="V178" t="s">
        <v>49</v>
      </c>
      <c r="W178" t="s">
        <v>42</v>
      </c>
      <c r="X178" t="s">
        <v>37</v>
      </c>
      <c r="Y178" t="s">
        <v>43</v>
      </c>
      <c r="Z178" t="s">
        <v>37</v>
      </c>
      <c r="AA178">
        <v>2.68</v>
      </c>
      <c r="AB178" t="s">
        <v>37</v>
      </c>
      <c r="AC178">
        <v>3.15</v>
      </c>
      <c r="AD178">
        <v>88</v>
      </c>
      <c r="AE178">
        <v>50000</v>
      </c>
      <c r="AF178" t="str">
        <f>IF(Table1[[#This Row],[What is your current CGPA?]]&gt;=3.5,"High",IF(Table1[[#This Row],[What is your current CGPA?]]&gt;=2.5,"Medium","Low"))</f>
        <v>Medium</v>
      </c>
      <c r="AG178" t="str">
        <f>IF(AND(Table1[[#This Row],[Average attendance on class]]&lt;75,Table1[[#This Row],[How many hour do you study daily?]]&lt;1),"At Risk","Normal")</f>
        <v>Normal</v>
      </c>
      <c r="AH178">
        <f>(Table1[[#This Row],[Average attendance on class]]*0.4)+(Table1[[#This Row],[How many hour do you study daily?]]*10*0.3)+(Table1[[#This Row],[How many hour do you spent daily on your skill development?]]*10*0.3)</f>
        <v>42</v>
      </c>
    </row>
    <row r="179" spans="1:34" x14ac:dyDescent="0.25">
      <c r="A179">
        <v>2022</v>
      </c>
      <c r="B179" t="s">
        <v>48</v>
      </c>
      <c r="C179">
        <v>22</v>
      </c>
      <c r="D179">
        <v>2019</v>
      </c>
      <c r="E179" t="s">
        <v>35</v>
      </c>
      <c r="F179">
        <v>2</v>
      </c>
      <c r="G179" t="s">
        <v>36</v>
      </c>
      <c r="H179" t="s">
        <v>37</v>
      </c>
      <c r="I179">
        <v>3</v>
      </c>
      <c r="J179">
        <v>2</v>
      </c>
      <c r="K179" t="s">
        <v>44</v>
      </c>
      <c r="L179" t="s">
        <v>36</v>
      </c>
      <c r="M179" t="s">
        <v>36</v>
      </c>
      <c r="N179">
        <v>0</v>
      </c>
      <c r="O179" t="s">
        <v>45</v>
      </c>
      <c r="P179">
        <v>92</v>
      </c>
      <c r="Q179" t="s">
        <v>37</v>
      </c>
      <c r="R179" t="s">
        <v>36</v>
      </c>
      <c r="S179" t="s">
        <v>36</v>
      </c>
      <c r="T179" t="s">
        <v>66</v>
      </c>
      <c r="U179">
        <v>3</v>
      </c>
      <c r="V179" t="s">
        <v>67</v>
      </c>
      <c r="W179" t="s">
        <v>42</v>
      </c>
      <c r="X179" t="s">
        <v>37</v>
      </c>
      <c r="Y179" t="s">
        <v>47</v>
      </c>
      <c r="Z179" t="s">
        <v>37</v>
      </c>
      <c r="AA179">
        <v>2.68</v>
      </c>
      <c r="AB179" t="s">
        <v>37</v>
      </c>
      <c r="AC179">
        <v>3.15</v>
      </c>
      <c r="AD179">
        <v>11</v>
      </c>
      <c r="AE179">
        <v>100000</v>
      </c>
      <c r="AF179" t="str">
        <f>IF(Table1[[#This Row],[What is your current CGPA?]]&gt;=3.5,"High",IF(Table1[[#This Row],[What is your current CGPA?]]&gt;=2.5,"Medium","Low"))</f>
        <v>Medium</v>
      </c>
      <c r="AG179" t="str">
        <f>IF(AND(Table1[[#This Row],[Average attendance on class]]&lt;75,Table1[[#This Row],[How many hour do you study daily?]]&lt;1),"At Risk","Normal")</f>
        <v>Normal</v>
      </c>
      <c r="AH179">
        <f>(Table1[[#This Row],[Average attendance on class]]*0.4)+(Table1[[#This Row],[How many hour do you study daily?]]*10*0.3)+(Table1[[#This Row],[How many hour do you spent daily on your skill development?]]*10*0.3)</f>
        <v>54.800000000000004</v>
      </c>
    </row>
    <row r="180" spans="1:34" x14ac:dyDescent="0.25">
      <c r="A180">
        <v>2019</v>
      </c>
      <c r="B180" t="s">
        <v>48</v>
      </c>
      <c r="C180">
        <v>21</v>
      </c>
      <c r="D180">
        <v>2018</v>
      </c>
      <c r="E180" t="s">
        <v>35</v>
      </c>
      <c r="F180">
        <v>8</v>
      </c>
      <c r="G180" t="s">
        <v>37</v>
      </c>
      <c r="H180" t="s">
        <v>37</v>
      </c>
      <c r="I180">
        <v>6</v>
      </c>
      <c r="J180">
        <v>3</v>
      </c>
      <c r="K180" t="s">
        <v>44</v>
      </c>
      <c r="L180" t="s">
        <v>36</v>
      </c>
      <c r="M180" t="s">
        <v>36</v>
      </c>
      <c r="N180">
        <v>2</v>
      </c>
      <c r="O180" t="s">
        <v>39</v>
      </c>
      <c r="P180">
        <v>100</v>
      </c>
      <c r="Q180" t="s">
        <v>37</v>
      </c>
      <c r="R180" t="s">
        <v>37</v>
      </c>
      <c r="S180" t="s">
        <v>37</v>
      </c>
      <c r="T180" t="s">
        <v>51</v>
      </c>
      <c r="U180">
        <v>1</v>
      </c>
      <c r="V180" t="s">
        <v>49</v>
      </c>
      <c r="W180" t="s">
        <v>42</v>
      </c>
      <c r="X180" t="s">
        <v>36</v>
      </c>
      <c r="Y180" t="s">
        <v>43</v>
      </c>
      <c r="Z180" t="s">
        <v>36</v>
      </c>
      <c r="AA180">
        <v>2.68</v>
      </c>
      <c r="AB180" t="s">
        <v>37</v>
      </c>
      <c r="AC180">
        <v>3.15</v>
      </c>
      <c r="AD180">
        <v>88</v>
      </c>
      <c r="AE180">
        <v>30000</v>
      </c>
      <c r="AF180" t="str">
        <f>IF(Table1[[#This Row],[What is your current CGPA?]]&gt;=3.5,"High",IF(Table1[[#This Row],[What is your current CGPA?]]&gt;=2.5,"Medium","Low"))</f>
        <v>Medium</v>
      </c>
      <c r="AG180" t="str">
        <f>IF(AND(Table1[[#This Row],[Average attendance on class]]&lt;75,Table1[[#This Row],[How many hour do you study daily?]]&lt;1),"At Risk","Normal")</f>
        <v>Normal</v>
      </c>
      <c r="AH180">
        <f>(Table1[[#This Row],[Average attendance on class]]*0.4)+(Table1[[#This Row],[How many hour do you study daily?]]*10*0.3)+(Table1[[#This Row],[How many hour do you spent daily on your skill development?]]*10*0.3)</f>
        <v>61</v>
      </c>
    </row>
    <row r="181" spans="1:34" x14ac:dyDescent="0.25">
      <c r="A181">
        <v>2020</v>
      </c>
      <c r="B181" t="s">
        <v>48</v>
      </c>
      <c r="C181">
        <v>21</v>
      </c>
      <c r="D181">
        <v>2019</v>
      </c>
      <c r="E181" t="s">
        <v>35</v>
      </c>
      <c r="F181">
        <v>8</v>
      </c>
      <c r="G181" t="s">
        <v>36</v>
      </c>
      <c r="H181" t="s">
        <v>36</v>
      </c>
      <c r="I181">
        <v>2</v>
      </c>
      <c r="J181">
        <v>1</v>
      </c>
      <c r="K181" t="s">
        <v>38</v>
      </c>
      <c r="L181" t="s">
        <v>36</v>
      </c>
      <c r="M181" t="s">
        <v>36</v>
      </c>
      <c r="N181">
        <v>4</v>
      </c>
      <c r="O181" t="s">
        <v>45</v>
      </c>
      <c r="P181">
        <v>88</v>
      </c>
      <c r="Q181" t="s">
        <v>37</v>
      </c>
      <c r="R181" t="s">
        <v>37</v>
      </c>
      <c r="S181" t="s">
        <v>37</v>
      </c>
      <c r="T181" t="s">
        <v>40</v>
      </c>
      <c r="U181">
        <v>3</v>
      </c>
      <c r="V181" t="s">
        <v>40</v>
      </c>
      <c r="W181" t="s">
        <v>42</v>
      </c>
      <c r="X181" t="s">
        <v>37</v>
      </c>
      <c r="Y181" t="s">
        <v>47</v>
      </c>
      <c r="Z181" t="s">
        <v>37</v>
      </c>
      <c r="AA181">
        <v>2.68</v>
      </c>
      <c r="AB181" t="s">
        <v>37</v>
      </c>
      <c r="AC181">
        <v>3.15</v>
      </c>
      <c r="AD181">
        <v>88</v>
      </c>
      <c r="AE181">
        <v>40000</v>
      </c>
      <c r="AF181" t="str">
        <f>IF(Table1[[#This Row],[What is your current CGPA?]]&gt;=3.5,"High",IF(Table1[[#This Row],[What is your current CGPA?]]&gt;=2.5,"Medium","Low"))</f>
        <v>Medium</v>
      </c>
      <c r="AG181" t="str">
        <f>IF(AND(Table1[[#This Row],[Average attendance on class]]&lt;75,Table1[[#This Row],[How many hour do you study daily?]]&lt;1),"At Risk","Normal")</f>
        <v>Normal</v>
      </c>
      <c r="AH181">
        <f>(Table1[[#This Row],[Average attendance on class]]*0.4)+(Table1[[#This Row],[How many hour do you study daily?]]*10*0.3)+(Table1[[#This Row],[How many hour do you spent daily on your skill development?]]*10*0.3)</f>
        <v>50.2</v>
      </c>
    </row>
    <row r="182" spans="1:34" x14ac:dyDescent="0.25">
      <c r="A182">
        <v>2022</v>
      </c>
      <c r="B182" t="s">
        <v>34</v>
      </c>
      <c r="C182">
        <v>19</v>
      </c>
      <c r="D182">
        <v>2020</v>
      </c>
      <c r="E182" t="s">
        <v>35</v>
      </c>
      <c r="F182">
        <v>1</v>
      </c>
      <c r="G182" t="s">
        <v>36</v>
      </c>
      <c r="H182" t="s">
        <v>36</v>
      </c>
      <c r="I182">
        <v>1</v>
      </c>
      <c r="J182">
        <v>1</v>
      </c>
      <c r="K182" t="s">
        <v>38</v>
      </c>
      <c r="L182" t="s">
        <v>36</v>
      </c>
      <c r="M182" t="s">
        <v>36</v>
      </c>
      <c r="N182">
        <v>6</v>
      </c>
      <c r="O182" t="s">
        <v>39</v>
      </c>
      <c r="P182">
        <v>95</v>
      </c>
      <c r="Q182" t="s">
        <v>37</v>
      </c>
      <c r="R182" t="s">
        <v>37</v>
      </c>
      <c r="S182" t="s">
        <v>37</v>
      </c>
      <c r="T182" t="s">
        <v>40</v>
      </c>
      <c r="U182">
        <v>1</v>
      </c>
      <c r="V182" t="s">
        <v>40</v>
      </c>
      <c r="W182" t="s">
        <v>42</v>
      </c>
      <c r="X182" t="s">
        <v>36</v>
      </c>
      <c r="Y182" t="s">
        <v>47</v>
      </c>
      <c r="Z182" t="s">
        <v>37</v>
      </c>
      <c r="AA182">
        <v>2.68</v>
      </c>
      <c r="AB182" t="s">
        <v>37</v>
      </c>
      <c r="AC182">
        <v>3.15</v>
      </c>
      <c r="AD182">
        <v>0</v>
      </c>
      <c r="AE182">
        <v>50000</v>
      </c>
      <c r="AF182" t="str">
        <f>IF(Table1[[#This Row],[What is your current CGPA?]]&gt;=3.5,"High",IF(Table1[[#This Row],[What is your current CGPA?]]&gt;=2.5,"Medium","Low"))</f>
        <v>Medium</v>
      </c>
      <c r="AG182" t="str">
        <f>IF(AND(Table1[[#This Row],[Average attendance on class]]&lt;75,Table1[[#This Row],[How many hour do you study daily?]]&lt;1),"At Risk","Normal")</f>
        <v>Normal</v>
      </c>
      <c r="AH182">
        <f>(Table1[[#This Row],[Average attendance on class]]*0.4)+(Table1[[#This Row],[How many hour do you study daily?]]*10*0.3)+(Table1[[#This Row],[How many hour do you spent daily on your skill development?]]*10*0.3)</f>
        <v>44</v>
      </c>
    </row>
    <row r="183" spans="1:34" x14ac:dyDescent="0.25">
      <c r="A183">
        <v>2020</v>
      </c>
      <c r="B183" t="s">
        <v>48</v>
      </c>
      <c r="C183">
        <v>20</v>
      </c>
      <c r="D183">
        <v>2018</v>
      </c>
      <c r="E183" t="s">
        <v>35</v>
      </c>
      <c r="F183">
        <v>8</v>
      </c>
      <c r="G183" t="s">
        <v>37</v>
      </c>
      <c r="H183" t="s">
        <v>37</v>
      </c>
      <c r="I183">
        <v>3</v>
      </c>
      <c r="J183">
        <v>2</v>
      </c>
      <c r="K183" t="s">
        <v>38</v>
      </c>
      <c r="L183" t="s">
        <v>36</v>
      </c>
      <c r="M183" t="s">
        <v>36</v>
      </c>
      <c r="N183">
        <v>2</v>
      </c>
      <c r="O183" t="s">
        <v>53</v>
      </c>
      <c r="P183">
        <v>98</v>
      </c>
      <c r="Q183" t="s">
        <v>37</v>
      </c>
      <c r="R183" t="s">
        <v>37</v>
      </c>
      <c r="S183" t="s">
        <v>36</v>
      </c>
      <c r="T183" t="s">
        <v>40</v>
      </c>
      <c r="U183">
        <v>2</v>
      </c>
      <c r="V183" t="s">
        <v>59</v>
      </c>
      <c r="W183" t="s">
        <v>42</v>
      </c>
      <c r="X183" t="s">
        <v>37</v>
      </c>
      <c r="Y183" t="s">
        <v>47</v>
      </c>
      <c r="Z183" t="s">
        <v>37</v>
      </c>
      <c r="AA183">
        <v>2.6</v>
      </c>
      <c r="AB183" t="s">
        <v>37</v>
      </c>
      <c r="AC183">
        <v>2.81</v>
      </c>
      <c r="AD183">
        <v>75</v>
      </c>
      <c r="AE183">
        <v>500000</v>
      </c>
      <c r="AF183" t="str">
        <f>IF(Table1[[#This Row],[What is your current CGPA?]]&gt;=3.5,"High",IF(Table1[[#This Row],[What is your current CGPA?]]&gt;=2.5,"Medium","Low"))</f>
        <v>Medium</v>
      </c>
      <c r="AG183" t="str">
        <f>IF(AND(Table1[[#This Row],[Average attendance on class]]&lt;75,Table1[[#This Row],[How many hour do you study daily?]]&lt;1),"At Risk","Normal")</f>
        <v>Normal</v>
      </c>
      <c r="AH183">
        <f>(Table1[[#This Row],[Average attendance on class]]*0.4)+(Table1[[#This Row],[How many hour do you study daily?]]*10*0.3)+(Table1[[#This Row],[How many hour do you spent daily on your skill development?]]*10*0.3)</f>
        <v>54.2</v>
      </c>
    </row>
    <row r="184" spans="1:34" x14ac:dyDescent="0.25">
      <c r="A184">
        <v>2021</v>
      </c>
      <c r="B184" t="s">
        <v>34</v>
      </c>
      <c r="C184">
        <v>20</v>
      </c>
      <c r="D184">
        <v>2020</v>
      </c>
      <c r="E184" t="s">
        <v>35</v>
      </c>
      <c r="F184">
        <v>4</v>
      </c>
      <c r="G184" t="s">
        <v>36</v>
      </c>
      <c r="H184" t="s">
        <v>37</v>
      </c>
      <c r="I184">
        <v>7</v>
      </c>
      <c r="J184">
        <v>2</v>
      </c>
      <c r="K184" t="s">
        <v>38</v>
      </c>
      <c r="L184" t="s">
        <v>36</v>
      </c>
      <c r="M184" t="s">
        <v>36</v>
      </c>
      <c r="N184">
        <v>1</v>
      </c>
      <c r="O184" t="s">
        <v>39</v>
      </c>
      <c r="P184">
        <v>90</v>
      </c>
      <c r="Q184" t="s">
        <v>37</v>
      </c>
      <c r="R184" t="s">
        <v>37</v>
      </c>
      <c r="S184" t="s">
        <v>37</v>
      </c>
      <c r="T184" t="s">
        <v>40</v>
      </c>
      <c r="U184">
        <v>9</v>
      </c>
      <c r="V184" t="s">
        <v>51</v>
      </c>
      <c r="W184" t="s">
        <v>50</v>
      </c>
      <c r="X184" t="s">
        <v>37</v>
      </c>
      <c r="Y184" t="s">
        <v>43</v>
      </c>
      <c r="Z184" t="s">
        <v>37</v>
      </c>
      <c r="AA184">
        <v>3.33</v>
      </c>
      <c r="AB184" t="s">
        <v>37</v>
      </c>
      <c r="AC184">
        <v>3.5</v>
      </c>
      <c r="AD184">
        <v>33</v>
      </c>
      <c r="AE184">
        <v>40000</v>
      </c>
      <c r="AF184" t="str">
        <f>IF(Table1[[#This Row],[What is your current CGPA?]]&gt;=3.5,"High",IF(Table1[[#This Row],[What is your current CGPA?]]&gt;=2.5,"Medium","Low"))</f>
        <v>High</v>
      </c>
      <c r="AG184" t="str">
        <f>IF(AND(Table1[[#This Row],[Average attendance on class]]&lt;75,Table1[[#This Row],[How many hour do you study daily?]]&lt;1),"At Risk","Normal")</f>
        <v>Normal</v>
      </c>
      <c r="AH184">
        <f>(Table1[[#This Row],[Average attendance on class]]*0.4)+(Table1[[#This Row],[How many hour do you study daily?]]*10*0.3)+(Table1[[#This Row],[How many hour do you spent daily on your skill development?]]*10*0.3)</f>
        <v>84</v>
      </c>
    </row>
    <row r="185" spans="1:34" x14ac:dyDescent="0.25">
      <c r="A185">
        <v>2021</v>
      </c>
      <c r="B185" t="s">
        <v>34</v>
      </c>
      <c r="C185">
        <v>24</v>
      </c>
      <c r="D185">
        <v>2017</v>
      </c>
      <c r="E185" t="s">
        <v>35</v>
      </c>
      <c r="F185">
        <v>4</v>
      </c>
      <c r="G185" t="s">
        <v>37</v>
      </c>
      <c r="H185" t="s">
        <v>37</v>
      </c>
      <c r="I185">
        <v>3</v>
      </c>
      <c r="J185">
        <v>2</v>
      </c>
      <c r="K185" t="s">
        <v>38</v>
      </c>
      <c r="L185" t="s">
        <v>36</v>
      </c>
      <c r="M185" t="s">
        <v>36</v>
      </c>
      <c r="N185">
        <v>2</v>
      </c>
      <c r="O185" t="s">
        <v>39</v>
      </c>
      <c r="P185">
        <v>90</v>
      </c>
      <c r="Q185" t="s">
        <v>37</v>
      </c>
      <c r="R185" t="s">
        <v>37</v>
      </c>
      <c r="S185" t="s">
        <v>37</v>
      </c>
      <c r="T185" t="s">
        <v>40</v>
      </c>
      <c r="U185">
        <v>2</v>
      </c>
      <c r="V185" t="s">
        <v>40</v>
      </c>
      <c r="W185" t="s">
        <v>50</v>
      </c>
      <c r="X185" t="s">
        <v>36</v>
      </c>
      <c r="Y185" t="s">
        <v>43</v>
      </c>
      <c r="Z185" t="s">
        <v>37</v>
      </c>
      <c r="AA185">
        <v>4</v>
      </c>
      <c r="AB185" t="s">
        <v>37</v>
      </c>
      <c r="AC185">
        <v>3.92</v>
      </c>
      <c r="AD185">
        <v>34</v>
      </c>
      <c r="AE185">
        <v>40000</v>
      </c>
      <c r="AF185" t="str">
        <f>IF(Table1[[#This Row],[What is your current CGPA?]]&gt;=3.5,"High",IF(Table1[[#This Row],[What is your current CGPA?]]&gt;=2.5,"Medium","Low"))</f>
        <v>High</v>
      </c>
      <c r="AG185" t="str">
        <f>IF(AND(Table1[[#This Row],[Average attendance on class]]&lt;75,Table1[[#This Row],[How many hour do you study daily?]]&lt;1),"At Risk","Normal")</f>
        <v>Normal</v>
      </c>
      <c r="AH185">
        <f>(Table1[[#This Row],[Average attendance on class]]*0.4)+(Table1[[#This Row],[How many hour do you study daily?]]*10*0.3)+(Table1[[#This Row],[How many hour do you spent daily on your skill development?]]*10*0.3)</f>
        <v>51</v>
      </c>
    </row>
    <row r="186" spans="1:34" x14ac:dyDescent="0.25">
      <c r="A186">
        <v>2021</v>
      </c>
      <c r="B186" t="s">
        <v>34</v>
      </c>
      <c r="C186">
        <v>22</v>
      </c>
      <c r="D186">
        <v>2020</v>
      </c>
      <c r="E186" t="s">
        <v>35</v>
      </c>
      <c r="F186">
        <v>2</v>
      </c>
      <c r="G186" t="s">
        <v>36</v>
      </c>
      <c r="H186" t="s">
        <v>36</v>
      </c>
      <c r="I186">
        <v>6</v>
      </c>
      <c r="J186">
        <v>3</v>
      </c>
      <c r="K186" t="s">
        <v>38</v>
      </c>
      <c r="L186" t="s">
        <v>36</v>
      </c>
      <c r="M186" t="s">
        <v>36</v>
      </c>
      <c r="N186">
        <v>2</v>
      </c>
      <c r="O186" t="s">
        <v>45</v>
      </c>
      <c r="P186">
        <v>100</v>
      </c>
      <c r="Q186" t="s">
        <v>37</v>
      </c>
      <c r="R186" t="s">
        <v>37</v>
      </c>
      <c r="S186" t="s">
        <v>36</v>
      </c>
      <c r="T186" t="s">
        <v>61</v>
      </c>
      <c r="U186">
        <v>3</v>
      </c>
      <c r="V186" t="s">
        <v>51</v>
      </c>
      <c r="W186" t="s">
        <v>42</v>
      </c>
      <c r="X186" t="s">
        <v>36</v>
      </c>
      <c r="Y186" t="s">
        <v>47</v>
      </c>
      <c r="Z186" t="s">
        <v>37</v>
      </c>
      <c r="AA186">
        <v>3.25</v>
      </c>
      <c r="AB186" t="s">
        <v>37</v>
      </c>
      <c r="AC186">
        <v>3.25</v>
      </c>
      <c r="AD186">
        <v>11</v>
      </c>
      <c r="AE186">
        <v>30000</v>
      </c>
      <c r="AF186" t="str">
        <f>IF(Table1[[#This Row],[What is your current CGPA?]]&gt;=3.5,"High",IF(Table1[[#This Row],[What is your current CGPA?]]&gt;=2.5,"Medium","Low"))</f>
        <v>Medium</v>
      </c>
      <c r="AG186" t="str">
        <f>IF(AND(Table1[[#This Row],[Average attendance on class]]&lt;75,Table1[[#This Row],[How many hour do you study daily?]]&lt;1),"At Risk","Normal")</f>
        <v>Normal</v>
      </c>
      <c r="AH186">
        <f>(Table1[[#This Row],[Average attendance on class]]*0.4)+(Table1[[#This Row],[How many hour do you study daily?]]*10*0.3)+(Table1[[#This Row],[How many hour do you spent daily on your skill development?]]*10*0.3)</f>
        <v>67</v>
      </c>
    </row>
    <row r="187" spans="1:34" x14ac:dyDescent="0.25">
      <c r="A187">
        <v>2019</v>
      </c>
      <c r="B187" t="s">
        <v>34</v>
      </c>
      <c r="C187">
        <v>22</v>
      </c>
      <c r="D187">
        <v>2018</v>
      </c>
      <c r="E187" t="s">
        <v>35</v>
      </c>
      <c r="F187">
        <v>11</v>
      </c>
      <c r="G187" t="s">
        <v>36</v>
      </c>
      <c r="H187" t="s">
        <v>37</v>
      </c>
      <c r="I187">
        <v>1</v>
      </c>
      <c r="J187">
        <v>1</v>
      </c>
      <c r="K187" t="s">
        <v>38</v>
      </c>
      <c r="L187" t="s">
        <v>36</v>
      </c>
      <c r="M187" t="s">
        <v>36</v>
      </c>
      <c r="N187">
        <v>1</v>
      </c>
      <c r="O187" t="s">
        <v>45</v>
      </c>
      <c r="P187">
        <v>100</v>
      </c>
      <c r="Q187" t="s">
        <v>37</v>
      </c>
      <c r="R187" t="s">
        <v>37</v>
      </c>
      <c r="S187" t="s">
        <v>36</v>
      </c>
      <c r="T187" t="s">
        <v>61</v>
      </c>
      <c r="U187">
        <v>2</v>
      </c>
      <c r="V187" t="s">
        <v>40</v>
      </c>
      <c r="W187" t="s">
        <v>42</v>
      </c>
      <c r="X187" t="s">
        <v>36</v>
      </c>
      <c r="Y187" t="s">
        <v>47</v>
      </c>
      <c r="Z187" t="s">
        <v>37</v>
      </c>
      <c r="AA187">
        <v>3.46</v>
      </c>
      <c r="AB187" t="s">
        <v>37</v>
      </c>
      <c r="AC187">
        <v>3.1</v>
      </c>
      <c r="AD187">
        <v>102</v>
      </c>
      <c r="AE187">
        <v>40000</v>
      </c>
      <c r="AF187" t="str">
        <f>IF(Table1[[#This Row],[What is your current CGPA?]]&gt;=3.5,"High",IF(Table1[[#This Row],[What is your current CGPA?]]&gt;=2.5,"Medium","Low"))</f>
        <v>Medium</v>
      </c>
      <c r="AG187" t="str">
        <f>IF(AND(Table1[[#This Row],[Average attendance on class]]&lt;75,Table1[[#This Row],[How many hour do you study daily?]]&lt;1),"At Risk","Normal")</f>
        <v>Normal</v>
      </c>
      <c r="AH187">
        <f>(Table1[[#This Row],[Average attendance on class]]*0.4)+(Table1[[#This Row],[How many hour do you study daily?]]*10*0.3)+(Table1[[#This Row],[How many hour do you spent daily on your skill development?]]*10*0.3)</f>
        <v>49</v>
      </c>
    </row>
    <row r="188" spans="1:34" x14ac:dyDescent="0.25">
      <c r="A188">
        <v>2022</v>
      </c>
      <c r="B188" t="s">
        <v>34</v>
      </c>
      <c r="C188">
        <v>19</v>
      </c>
      <c r="D188">
        <v>2020</v>
      </c>
      <c r="E188" t="s">
        <v>35</v>
      </c>
      <c r="F188">
        <v>2</v>
      </c>
      <c r="G188" t="s">
        <v>36</v>
      </c>
      <c r="H188" t="s">
        <v>37</v>
      </c>
      <c r="I188">
        <v>1</v>
      </c>
      <c r="J188">
        <v>2</v>
      </c>
      <c r="K188" t="s">
        <v>38</v>
      </c>
      <c r="L188" t="s">
        <v>36</v>
      </c>
      <c r="M188" t="s">
        <v>36</v>
      </c>
      <c r="N188">
        <v>2</v>
      </c>
      <c r="O188" t="s">
        <v>39</v>
      </c>
      <c r="P188">
        <v>85</v>
      </c>
      <c r="Q188" t="s">
        <v>37</v>
      </c>
      <c r="R188" t="s">
        <v>37</v>
      </c>
      <c r="S188" t="s">
        <v>37</v>
      </c>
      <c r="T188" t="s">
        <v>40</v>
      </c>
      <c r="U188">
        <v>1</v>
      </c>
      <c r="V188" t="s">
        <v>40</v>
      </c>
      <c r="W188" t="s">
        <v>42</v>
      </c>
      <c r="X188" t="s">
        <v>37</v>
      </c>
      <c r="Y188" t="s">
        <v>43</v>
      </c>
      <c r="Z188" t="s">
        <v>37</v>
      </c>
      <c r="AA188">
        <v>3.73</v>
      </c>
      <c r="AB188" t="s">
        <v>37</v>
      </c>
      <c r="AC188">
        <v>3.73</v>
      </c>
      <c r="AD188">
        <v>11</v>
      </c>
      <c r="AE188">
        <v>20000</v>
      </c>
      <c r="AF188" t="str">
        <f>IF(Table1[[#This Row],[What is your current CGPA?]]&gt;=3.5,"High",IF(Table1[[#This Row],[What is your current CGPA?]]&gt;=2.5,"Medium","Low"))</f>
        <v>High</v>
      </c>
      <c r="AG188" t="str">
        <f>IF(AND(Table1[[#This Row],[Average attendance on class]]&lt;75,Table1[[#This Row],[How many hour do you study daily?]]&lt;1),"At Risk","Normal")</f>
        <v>Normal</v>
      </c>
      <c r="AH188">
        <f>(Table1[[#This Row],[Average attendance on class]]*0.4)+(Table1[[#This Row],[How many hour do you study daily?]]*10*0.3)+(Table1[[#This Row],[How many hour do you spent daily on your skill development?]]*10*0.3)</f>
        <v>40</v>
      </c>
    </row>
    <row r="189" spans="1:34" x14ac:dyDescent="0.25">
      <c r="A189">
        <v>2014</v>
      </c>
      <c r="B189" t="s">
        <v>34</v>
      </c>
      <c r="C189">
        <v>26</v>
      </c>
      <c r="D189">
        <v>2014</v>
      </c>
      <c r="E189" t="s">
        <v>35</v>
      </c>
      <c r="F189">
        <v>22</v>
      </c>
      <c r="G189" t="s">
        <v>37</v>
      </c>
      <c r="H189" t="s">
        <v>36</v>
      </c>
      <c r="I189">
        <v>3</v>
      </c>
      <c r="J189">
        <v>2</v>
      </c>
      <c r="K189" t="s">
        <v>44</v>
      </c>
      <c r="L189" t="s">
        <v>36</v>
      </c>
      <c r="M189" t="s">
        <v>36</v>
      </c>
      <c r="N189">
        <v>1</v>
      </c>
      <c r="O189" t="s">
        <v>45</v>
      </c>
      <c r="P189">
        <v>100</v>
      </c>
      <c r="Q189" t="s">
        <v>36</v>
      </c>
      <c r="R189" t="s">
        <v>37</v>
      </c>
      <c r="S189" t="s">
        <v>36</v>
      </c>
      <c r="T189" t="s">
        <v>61</v>
      </c>
      <c r="U189">
        <v>5</v>
      </c>
      <c r="V189" t="s">
        <v>51</v>
      </c>
      <c r="W189" t="s">
        <v>42</v>
      </c>
      <c r="X189" t="s">
        <v>37</v>
      </c>
      <c r="Y189" t="s">
        <v>47</v>
      </c>
      <c r="Z189" t="s">
        <v>37</v>
      </c>
      <c r="AA189">
        <v>2</v>
      </c>
      <c r="AB189" t="s">
        <v>37</v>
      </c>
      <c r="AC189">
        <v>2</v>
      </c>
      <c r="AD189">
        <v>80</v>
      </c>
      <c r="AE189">
        <v>25000</v>
      </c>
      <c r="AF189" t="str">
        <f>IF(Table1[[#This Row],[What is your current CGPA?]]&gt;=3.5,"High",IF(Table1[[#This Row],[What is your current CGPA?]]&gt;=2.5,"Medium","Low"))</f>
        <v>Low</v>
      </c>
      <c r="AG189" t="str">
        <f>IF(AND(Table1[[#This Row],[Average attendance on class]]&lt;75,Table1[[#This Row],[How many hour do you study daily?]]&lt;1),"At Risk","Normal")</f>
        <v>Normal</v>
      </c>
      <c r="AH189">
        <f>(Table1[[#This Row],[Average attendance on class]]*0.4)+(Table1[[#This Row],[How many hour do you study daily?]]*10*0.3)+(Table1[[#This Row],[How many hour do you spent daily on your skill development?]]*10*0.3)</f>
        <v>64</v>
      </c>
    </row>
    <row r="190" spans="1:34" x14ac:dyDescent="0.25">
      <c r="A190">
        <v>2019</v>
      </c>
      <c r="B190" t="s">
        <v>34</v>
      </c>
      <c r="C190">
        <v>25</v>
      </c>
      <c r="D190">
        <v>2017</v>
      </c>
      <c r="E190" t="s">
        <v>35</v>
      </c>
      <c r="F190">
        <v>11</v>
      </c>
      <c r="G190" t="s">
        <v>36</v>
      </c>
      <c r="H190" t="s">
        <v>36</v>
      </c>
      <c r="I190">
        <v>2</v>
      </c>
      <c r="J190">
        <v>1</v>
      </c>
      <c r="K190" t="s">
        <v>38</v>
      </c>
      <c r="L190" t="s">
        <v>36</v>
      </c>
      <c r="M190" t="s">
        <v>36</v>
      </c>
      <c r="N190">
        <v>5</v>
      </c>
      <c r="O190" t="s">
        <v>39</v>
      </c>
      <c r="P190">
        <v>80</v>
      </c>
      <c r="Q190" t="s">
        <v>37</v>
      </c>
      <c r="R190" t="s">
        <v>37</v>
      </c>
      <c r="S190" t="s">
        <v>36</v>
      </c>
      <c r="T190" t="s">
        <v>45</v>
      </c>
      <c r="U190">
        <v>2</v>
      </c>
      <c r="V190" t="s">
        <v>40</v>
      </c>
      <c r="W190" t="s">
        <v>42</v>
      </c>
      <c r="X190" t="s">
        <v>36</v>
      </c>
      <c r="Y190" t="s">
        <v>43</v>
      </c>
      <c r="Z190" t="s">
        <v>37</v>
      </c>
      <c r="AA190">
        <v>3.78</v>
      </c>
      <c r="AB190" t="s">
        <v>37</v>
      </c>
      <c r="AC190">
        <v>3.56</v>
      </c>
      <c r="AD190">
        <v>132</v>
      </c>
      <c r="AE190">
        <v>20000</v>
      </c>
      <c r="AF190" t="str">
        <f>IF(Table1[[#This Row],[What is your current CGPA?]]&gt;=3.5,"High",IF(Table1[[#This Row],[What is your current CGPA?]]&gt;=2.5,"Medium","Low"))</f>
        <v>High</v>
      </c>
      <c r="AG190" t="str">
        <f>IF(AND(Table1[[#This Row],[Average attendance on class]]&lt;75,Table1[[#This Row],[How many hour do you study daily?]]&lt;1),"At Risk","Normal")</f>
        <v>Normal</v>
      </c>
      <c r="AH190">
        <f>(Table1[[#This Row],[Average attendance on class]]*0.4)+(Table1[[#This Row],[How many hour do you study daily?]]*10*0.3)+(Table1[[#This Row],[How many hour do you spent daily on your skill development?]]*10*0.3)</f>
        <v>44</v>
      </c>
    </row>
    <row r="191" spans="1:34" x14ac:dyDescent="0.25">
      <c r="A191">
        <v>2017</v>
      </c>
      <c r="B191" t="s">
        <v>34</v>
      </c>
      <c r="C191">
        <v>24</v>
      </c>
      <c r="D191">
        <v>2015</v>
      </c>
      <c r="E191" t="s">
        <v>35</v>
      </c>
      <c r="F191">
        <v>15</v>
      </c>
      <c r="G191" t="s">
        <v>36</v>
      </c>
      <c r="H191" t="s">
        <v>36</v>
      </c>
      <c r="I191">
        <v>6</v>
      </c>
      <c r="J191">
        <v>4</v>
      </c>
      <c r="K191" t="s">
        <v>38</v>
      </c>
      <c r="L191" t="s">
        <v>36</v>
      </c>
      <c r="M191" t="s">
        <v>36</v>
      </c>
      <c r="N191">
        <v>1</v>
      </c>
      <c r="O191" t="s">
        <v>39</v>
      </c>
      <c r="P191">
        <v>100</v>
      </c>
      <c r="Q191" t="s">
        <v>37</v>
      </c>
      <c r="R191" t="s">
        <v>37</v>
      </c>
      <c r="S191" t="s">
        <v>36</v>
      </c>
      <c r="T191" t="s">
        <v>40</v>
      </c>
      <c r="U191">
        <v>2</v>
      </c>
      <c r="V191" t="s">
        <v>40</v>
      </c>
      <c r="W191" t="s">
        <v>42</v>
      </c>
      <c r="X191" t="s">
        <v>36</v>
      </c>
      <c r="Y191" t="s">
        <v>47</v>
      </c>
      <c r="Z191" t="s">
        <v>37</v>
      </c>
      <c r="AA191">
        <v>3.42</v>
      </c>
      <c r="AB191" t="s">
        <v>37</v>
      </c>
      <c r="AC191">
        <v>3.02</v>
      </c>
      <c r="AD191">
        <v>136</v>
      </c>
      <c r="AE191">
        <v>50000</v>
      </c>
      <c r="AF191" t="str">
        <f>IF(Table1[[#This Row],[What is your current CGPA?]]&gt;=3.5,"High",IF(Table1[[#This Row],[What is your current CGPA?]]&gt;=2.5,"Medium","Low"))</f>
        <v>Medium</v>
      </c>
      <c r="AG191" t="str">
        <f>IF(AND(Table1[[#This Row],[Average attendance on class]]&lt;75,Table1[[#This Row],[How many hour do you study daily?]]&lt;1),"At Risk","Normal")</f>
        <v>Normal</v>
      </c>
      <c r="AH191">
        <f>(Table1[[#This Row],[Average attendance on class]]*0.4)+(Table1[[#This Row],[How many hour do you study daily?]]*10*0.3)+(Table1[[#This Row],[How many hour do you spent daily on your skill development?]]*10*0.3)</f>
        <v>64</v>
      </c>
    </row>
    <row r="192" spans="1:34" x14ac:dyDescent="0.25">
      <c r="A192">
        <v>2018</v>
      </c>
      <c r="B192" t="s">
        <v>48</v>
      </c>
      <c r="C192">
        <v>21</v>
      </c>
      <c r="D192">
        <v>2017</v>
      </c>
      <c r="E192" t="s">
        <v>35</v>
      </c>
      <c r="F192">
        <v>14</v>
      </c>
      <c r="G192" t="s">
        <v>37</v>
      </c>
      <c r="H192" t="s">
        <v>37</v>
      </c>
      <c r="I192">
        <v>4</v>
      </c>
      <c r="J192">
        <v>5</v>
      </c>
      <c r="K192" t="s">
        <v>44</v>
      </c>
      <c r="L192" t="s">
        <v>36</v>
      </c>
      <c r="M192" t="s">
        <v>36</v>
      </c>
      <c r="N192">
        <v>5</v>
      </c>
      <c r="O192" t="s">
        <v>53</v>
      </c>
      <c r="P192">
        <v>95</v>
      </c>
      <c r="Q192" t="s">
        <v>36</v>
      </c>
      <c r="R192" t="s">
        <v>37</v>
      </c>
      <c r="S192" t="s">
        <v>36</v>
      </c>
      <c r="T192" t="s">
        <v>40</v>
      </c>
      <c r="U192">
        <v>1</v>
      </c>
      <c r="V192" t="s">
        <v>40</v>
      </c>
      <c r="W192" t="s">
        <v>42</v>
      </c>
      <c r="X192" t="s">
        <v>37</v>
      </c>
      <c r="Y192" t="s">
        <v>43</v>
      </c>
      <c r="Z192" t="s">
        <v>36</v>
      </c>
      <c r="AA192">
        <v>3.5</v>
      </c>
      <c r="AB192" t="s">
        <v>37</v>
      </c>
      <c r="AC192">
        <v>3.2</v>
      </c>
      <c r="AD192">
        <v>122</v>
      </c>
      <c r="AE192">
        <v>15000</v>
      </c>
      <c r="AF192" t="str">
        <f>IF(Table1[[#This Row],[What is your current CGPA?]]&gt;=3.5,"High",IF(Table1[[#This Row],[What is your current CGPA?]]&gt;=2.5,"Medium","Low"))</f>
        <v>Medium</v>
      </c>
      <c r="AG192" t="str">
        <f>IF(AND(Table1[[#This Row],[Average attendance on class]]&lt;75,Table1[[#This Row],[How many hour do you study daily?]]&lt;1),"At Risk","Normal")</f>
        <v>Normal</v>
      </c>
      <c r="AH192">
        <f>(Table1[[#This Row],[Average attendance on class]]*0.4)+(Table1[[#This Row],[How many hour do you study daily?]]*10*0.3)+(Table1[[#This Row],[How many hour do you spent daily on your skill development?]]*10*0.3)</f>
        <v>53</v>
      </c>
    </row>
    <row r="193" spans="1:34" x14ac:dyDescent="0.25">
      <c r="A193">
        <v>2022</v>
      </c>
      <c r="B193" t="s">
        <v>34</v>
      </c>
      <c r="C193">
        <v>21</v>
      </c>
      <c r="D193">
        <v>2020</v>
      </c>
      <c r="E193" t="s">
        <v>35</v>
      </c>
      <c r="F193">
        <v>2</v>
      </c>
      <c r="G193" t="s">
        <v>36</v>
      </c>
      <c r="H193" t="s">
        <v>37</v>
      </c>
      <c r="I193">
        <v>2</v>
      </c>
      <c r="J193">
        <v>1</v>
      </c>
      <c r="K193" t="s">
        <v>38</v>
      </c>
      <c r="L193" t="s">
        <v>36</v>
      </c>
      <c r="M193" t="s">
        <v>36</v>
      </c>
      <c r="N193">
        <v>3</v>
      </c>
      <c r="O193" t="s">
        <v>39</v>
      </c>
      <c r="P193">
        <v>90</v>
      </c>
      <c r="Q193" t="s">
        <v>37</v>
      </c>
      <c r="R193" t="s">
        <v>37</v>
      </c>
      <c r="S193" t="s">
        <v>36</v>
      </c>
      <c r="T193" t="s">
        <v>40</v>
      </c>
      <c r="U193">
        <v>2</v>
      </c>
      <c r="V193" t="s">
        <v>40</v>
      </c>
      <c r="W193" t="s">
        <v>42</v>
      </c>
      <c r="X193" t="s">
        <v>36</v>
      </c>
      <c r="Y193" t="s">
        <v>43</v>
      </c>
      <c r="Z193" t="s">
        <v>37</v>
      </c>
      <c r="AA193">
        <v>3.26</v>
      </c>
      <c r="AB193" t="s">
        <v>37</v>
      </c>
      <c r="AC193">
        <v>3.26</v>
      </c>
      <c r="AD193">
        <v>11</v>
      </c>
      <c r="AE193">
        <v>22000</v>
      </c>
      <c r="AF193" t="str">
        <f>IF(Table1[[#This Row],[What is your current CGPA?]]&gt;=3.5,"High",IF(Table1[[#This Row],[What is your current CGPA?]]&gt;=2.5,"Medium","Low"))</f>
        <v>Medium</v>
      </c>
      <c r="AG193" t="str">
        <f>IF(AND(Table1[[#This Row],[Average attendance on class]]&lt;75,Table1[[#This Row],[How many hour do you study daily?]]&lt;1),"At Risk","Normal")</f>
        <v>Normal</v>
      </c>
      <c r="AH193">
        <f>(Table1[[#This Row],[Average attendance on class]]*0.4)+(Table1[[#This Row],[How many hour do you study daily?]]*10*0.3)+(Table1[[#This Row],[How many hour do you spent daily on your skill development?]]*10*0.3)</f>
        <v>48</v>
      </c>
    </row>
    <row r="194" spans="1:34" x14ac:dyDescent="0.25">
      <c r="A194">
        <v>2022</v>
      </c>
      <c r="B194" t="s">
        <v>48</v>
      </c>
      <c r="C194">
        <v>21</v>
      </c>
      <c r="D194">
        <v>2020</v>
      </c>
      <c r="E194" t="s">
        <v>35</v>
      </c>
      <c r="F194">
        <v>2</v>
      </c>
      <c r="G194" t="s">
        <v>36</v>
      </c>
      <c r="H194" t="s">
        <v>36</v>
      </c>
      <c r="I194">
        <v>2</v>
      </c>
      <c r="J194">
        <v>2</v>
      </c>
      <c r="K194" t="s">
        <v>38</v>
      </c>
      <c r="L194" t="s">
        <v>36</v>
      </c>
      <c r="M194" t="s">
        <v>36</v>
      </c>
      <c r="N194">
        <v>2</v>
      </c>
      <c r="O194" t="s">
        <v>45</v>
      </c>
      <c r="P194">
        <v>70</v>
      </c>
      <c r="Q194" t="s">
        <v>36</v>
      </c>
      <c r="R194" t="s">
        <v>37</v>
      </c>
      <c r="S194" t="s">
        <v>37</v>
      </c>
      <c r="T194" t="s">
        <v>61</v>
      </c>
      <c r="U194">
        <v>1</v>
      </c>
      <c r="V194" t="s">
        <v>49</v>
      </c>
      <c r="W194" t="s">
        <v>42</v>
      </c>
      <c r="X194" t="s">
        <v>37</v>
      </c>
      <c r="Y194" t="s">
        <v>47</v>
      </c>
      <c r="Z194" t="s">
        <v>37</v>
      </c>
      <c r="AA194">
        <v>3.9</v>
      </c>
      <c r="AB194" t="s">
        <v>37</v>
      </c>
      <c r="AC194">
        <v>3.8</v>
      </c>
      <c r="AD194">
        <v>12</v>
      </c>
      <c r="AE194">
        <v>25000</v>
      </c>
      <c r="AF194" t="str">
        <f>IF(Table1[[#This Row],[What is your current CGPA?]]&gt;=3.5,"High",IF(Table1[[#This Row],[What is your current CGPA?]]&gt;=2.5,"Medium","Low"))</f>
        <v>High</v>
      </c>
      <c r="AG194" t="str">
        <f>IF(AND(Table1[[#This Row],[Average attendance on class]]&lt;75,Table1[[#This Row],[How many hour do you study daily?]]&lt;1),"At Risk","Normal")</f>
        <v>Normal</v>
      </c>
      <c r="AH194">
        <f>(Table1[[#This Row],[Average attendance on class]]*0.4)+(Table1[[#This Row],[How many hour do you study daily?]]*10*0.3)+(Table1[[#This Row],[How many hour do you spent daily on your skill development?]]*10*0.3)</f>
        <v>37</v>
      </c>
    </row>
    <row r="195" spans="1:34" x14ac:dyDescent="0.25">
      <c r="A195">
        <v>2019</v>
      </c>
      <c r="B195" t="s">
        <v>48</v>
      </c>
      <c r="C195">
        <v>21</v>
      </c>
      <c r="D195">
        <v>2018</v>
      </c>
      <c r="E195" t="s">
        <v>35</v>
      </c>
      <c r="F195">
        <v>9</v>
      </c>
      <c r="G195" t="s">
        <v>36</v>
      </c>
      <c r="H195" t="s">
        <v>36</v>
      </c>
      <c r="I195">
        <v>2</v>
      </c>
      <c r="J195">
        <v>1</v>
      </c>
      <c r="K195" t="s">
        <v>44</v>
      </c>
      <c r="L195" t="s">
        <v>36</v>
      </c>
      <c r="M195" t="s">
        <v>36</v>
      </c>
      <c r="N195">
        <v>5</v>
      </c>
      <c r="O195" t="s">
        <v>39</v>
      </c>
      <c r="P195">
        <v>95</v>
      </c>
      <c r="Q195" t="s">
        <v>37</v>
      </c>
      <c r="R195" t="s">
        <v>37</v>
      </c>
      <c r="S195" t="s">
        <v>37</v>
      </c>
      <c r="T195" t="s">
        <v>40</v>
      </c>
      <c r="U195">
        <v>1</v>
      </c>
      <c r="V195" t="s">
        <v>40</v>
      </c>
      <c r="W195" t="s">
        <v>42</v>
      </c>
      <c r="X195" t="s">
        <v>37</v>
      </c>
      <c r="Y195" t="s">
        <v>47</v>
      </c>
      <c r="Z195" t="s">
        <v>37</v>
      </c>
      <c r="AA195">
        <v>3.7</v>
      </c>
      <c r="AB195" t="s">
        <v>37</v>
      </c>
      <c r="AC195">
        <v>3.68</v>
      </c>
      <c r="AD195">
        <v>105</v>
      </c>
      <c r="AE195">
        <v>50000</v>
      </c>
      <c r="AF195" t="str">
        <f>IF(Table1[[#This Row],[What is your current CGPA?]]&gt;=3.5,"High",IF(Table1[[#This Row],[What is your current CGPA?]]&gt;=2.5,"Medium","Low"))</f>
        <v>High</v>
      </c>
      <c r="AG195" t="str">
        <f>IF(AND(Table1[[#This Row],[Average attendance on class]]&lt;75,Table1[[#This Row],[How many hour do you study daily?]]&lt;1),"At Risk","Normal")</f>
        <v>Normal</v>
      </c>
      <c r="AH195">
        <f>(Table1[[#This Row],[Average attendance on class]]*0.4)+(Table1[[#This Row],[How many hour do you study daily?]]*10*0.3)+(Table1[[#This Row],[How many hour do you spent daily on your skill development?]]*10*0.3)</f>
        <v>47</v>
      </c>
    </row>
    <row r="196" spans="1:34" x14ac:dyDescent="0.25">
      <c r="A196">
        <v>2019</v>
      </c>
      <c r="B196" t="s">
        <v>48</v>
      </c>
      <c r="C196">
        <v>22</v>
      </c>
      <c r="D196">
        <v>2018</v>
      </c>
      <c r="E196" t="s">
        <v>35</v>
      </c>
      <c r="F196">
        <v>11</v>
      </c>
      <c r="G196" t="s">
        <v>37</v>
      </c>
      <c r="H196" t="s">
        <v>37</v>
      </c>
      <c r="I196">
        <v>3</v>
      </c>
      <c r="J196">
        <v>2</v>
      </c>
      <c r="K196" t="s">
        <v>38</v>
      </c>
      <c r="L196" t="s">
        <v>36</v>
      </c>
      <c r="M196" t="s">
        <v>36</v>
      </c>
      <c r="N196">
        <v>3</v>
      </c>
      <c r="O196" t="s">
        <v>39</v>
      </c>
      <c r="P196">
        <v>100</v>
      </c>
      <c r="Q196" t="s">
        <v>37</v>
      </c>
      <c r="R196" t="s">
        <v>37</v>
      </c>
      <c r="S196" t="s">
        <v>37</v>
      </c>
      <c r="T196" t="s">
        <v>40</v>
      </c>
      <c r="U196">
        <v>2</v>
      </c>
      <c r="V196" t="s">
        <v>40</v>
      </c>
      <c r="W196" t="s">
        <v>42</v>
      </c>
      <c r="X196" t="s">
        <v>37</v>
      </c>
      <c r="Y196" t="s">
        <v>43</v>
      </c>
      <c r="Z196" t="s">
        <v>37</v>
      </c>
      <c r="AA196">
        <v>3.82</v>
      </c>
      <c r="AB196" t="s">
        <v>37</v>
      </c>
      <c r="AC196">
        <v>3.65</v>
      </c>
      <c r="AD196">
        <v>78</v>
      </c>
      <c r="AE196">
        <v>30000</v>
      </c>
      <c r="AF196" t="str">
        <f>IF(Table1[[#This Row],[What is your current CGPA?]]&gt;=3.5,"High",IF(Table1[[#This Row],[What is your current CGPA?]]&gt;=2.5,"Medium","Low"))</f>
        <v>High</v>
      </c>
      <c r="AG196" t="str">
        <f>IF(AND(Table1[[#This Row],[Average attendance on class]]&lt;75,Table1[[#This Row],[How many hour do you study daily?]]&lt;1),"At Risk","Normal")</f>
        <v>Normal</v>
      </c>
      <c r="AH196">
        <f>(Table1[[#This Row],[Average attendance on class]]*0.4)+(Table1[[#This Row],[How many hour do you study daily?]]*10*0.3)+(Table1[[#This Row],[How many hour do you spent daily on your skill development?]]*10*0.3)</f>
        <v>55</v>
      </c>
    </row>
    <row r="197" spans="1:34" x14ac:dyDescent="0.25">
      <c r="A197">
        <v>2019</v>
      </c>
      <c r="B197" t="s">
        <v>48</v>
      </c>
      <c r="C197">
        <v>21</v>
      </c>
      <c r="D197">
        <v>2018</v>
      </c>
      <c r="E197" t="s">
        <v>35</v>
      </c>
      <c r="F197">
        <v>11</v>
      </c>
      <c r="G197" t="s">
        <v>36</v>
      </c>
      <c r="H197" t="s">
        <v>37</v>
      </c>
      <c r="I197">
        <v>5</v>
      </c>
      <c r="J197">
        <v>2</v>
      </c>
      <c r="K197" t="s">
        <v>38</v>
      </c>
      <c r="L197" t="s">
        <v>36</v>
      </c>
      <c r="M197" t="s">
        <v>36</v>
      </c>
      <c r="N197">
        <v>5</v>
      </c>
      <c r="O197" t="s">
        <v>53</v>
      </c>
      <c r="P197">
        <v>99</v>
      </c>
      <c r="Q197" t="s">
        <v>37</v>
      </c>
      <c r="R197" t="s">
        <v>37</v>
      </c>
      <c r="S197" t="s">
        <v>37</v>
      </c>
      <c r="T197" t="s">
        <v>40</v>
      </c>
      <c r="U197">
        <v>2</v>
      </c>
      <c r="V197" t="s">
        <v>52</v>
      </c>
      <c r="W197" t="s">
        <v>42</v>
      </c>
      <c r="X197" t="s">
        <v>36</v>
      </c>
      <c r="Y197" t="s">
        <v>47</v>
      </c>
      <c r="Z197" t="s">
        <v>37</v>
      </c>
      <c r="AA197">
        <v>3.85</v>
      </c>
      <c r="AB197" t="s">
        <v>37</v>
      </c>
      <c r="AC197">
        <v>3.72</v>
      </c>
      <c r="AD197">
        <v>126</v>
      </c>
      <c r="AE197">
        <v>100000</v>
      </c>
      <c r="AF197" t="str">
        <f>IF(Table1[[#This Row],[What is your current CGPA?]]&gt;=3.5,"High",IF(Table1[[#This Row],[What is your current CGPA?]]&gt;=2.5,"Medium","Low"))</f>
        <v>High</v>
      </c>
      <c r="AG197" t="str">
        <f>IF(AND(Table1[[#This Row],[Average attendance on class]]&lt;75,Table1[[#This Row],[How many hour do you study daily?]]&lt;1),"At Risk","Normal")</f>
        <v>Normal</v>
      </c>
      <c r="AH197">
        <f>(Table1[[#This Row],[Average attendance on class]]*0.4)+(Table1[[#This Row],[How many hour do you study daily?]]*10*0.3)+(Table1[[#This Row],[How many hour do you spent daily on your skill development?]]*10*0.3)</f>
        <v>60.6</v>
      </c>
    </row>
    <row r="198" spans="1:34" x14ac:dyDescent="0.25">
      <c r="A198">
        <v>2016</v>
      </c>
      <c r="B198" t="s">
        <v>34</v>
      </c>
      <c r="C198">
        <v>24</v>
      </c>
      <c r="D198">
        <v>2016</v>
      </c>
      <c r="E198" t="s">
        <v>35</v>
      </c>
      <c r="F198">
        <v>18</v>
      </c>
      <c r="G198" t="s">
        <v>37</v>
      </c>
      <c r="H198" t="s">
        <v>36</v>
      </c>
      <c r="I198">
        <v>2</v>
      </c>
      <c r="J198">
        <v>2</v>
      </c>
      <c r="K198" t="s">
        <v>38</v>
      </c>
      <c r="L198" t="s">
        <v>36</v>
      </c>
      <c r="M198" t="s">
        <v>36</v>
      </c>
      <c r="N198">
        <v>3</v>
      </c>
      <c r="O198" t="s">
        <v>53</v>
      </c>
      <c r="P198">
        <v>95</v>
      </c>
      <c r="Q198" t="s">
        <v>36</v>
      </c>
      <c r="R198" t="s">
        <v>37</v>
      </c>
      <c r="S198" t="s">
        <v>36</v>
      </c>
      <c r="T198" t="s">
        <v>40</v>
      </c>
      <c r="U198">
        <v>3</v>
      </c>
      <c r="V198" t="s">
        <v>40</v>
      </c>
      <c r="W198" t="s">
        <v>56</v>
      </c>
      <c r="X198" t="s">
        <v>36</v>
      </c>
      <c r="Y198" t="s">
        <v>43</v>
      </c>
      <c r="Z198" t="s">
        <v>37</v>
      </c>
      <c r="AA198">
        <v>3.1</v>
      </c>
      <c r="AB198" t="s">
        <v>37</v>
      </c>
      <c r="AC198">
        <v>2.84</v>
      </c>
      <c r="AD198">
        <v>133</v>
      </c>
      <c r="AE198">
        <v>20000</v>
      </c>
      <c r="AF198" t="str">
        <f>IF(Table1[[#This Row],[What is your current CGPA?]]&gt;=3.5,"High",IF(Table1[[#This Row],[What is your current CGPA?]]&gt;=2.5,"Medium","Low"))</f>
        <v>Medium</v>
      </c>
      <c r="AG198" t="str">
        <f>IF(AND(Table1[[#This Row],[Average attendance on class]]&lt;75,Table1[[#This Row],[How many hour do you study daily?]]&lt;1),"At Risk","Normal")</f>
        <v>Normal</v>
      </c>
      <c r="AH198">
        <f>(Table1[[#This Row],[Average attendance on class]]*0.4)+(Table1[[#This Row],[How many hour do you study daily?]]*10*0.3)+(Table1[[#This Row],[How many hour do you spent daily on your skill development?]]*10*0.3)</f>
        <v>53</v>
      </c>
    </row>
    <row r="199" spans="1:34" x14ac:dyDescent="0.25">
      <c r="A199">
        <v>2022</v>
      </c>
      <c r="B199" t="s">
        <v>48</v>
      </c>
      <c r="C199">
        <v>20</v>
      </c>
      <c r="D199">
        <v>2020</v>
      </c>
      <c r="E199" t="s">
        <v>35</v>
      </c>
      <c r="F199">
        <v>2</v>
      </c>
      <c r="G199" t="s">
        <v>36</v>
      </c>
      <c r="H199" t="s">
        <v>37</v>
      </c>
      <c r="I199">
        <v>2</v>
      </c>
      <c r="J199">
        <v>2</v>
      </c>
      <c r="K199" t="s">
        <v>44</v>
      </c>
      <c r="L199" t="s">
        <v>36</v>
      </c>
      <c r="M199" t="s">
        <v>37</v>
      </c>
      <c r="N199">
        <v>6</v>
      </c>
      <c r="O199" t="s">
        <v>39</v>
      </c>
      <c r="P199">
        <v>90</v>
      </c>
      <c r="Q199" t="s">
        <v>37</v>
      </c>
      <c r="R199" t="s">
        <v>37</v>
      </c>
      <c r="S199" t="s">
        <v>36</v>
      </c>
      <c r="T199" t="s">
        <v>51</v>
      </c>
      <c r="U199">
        <v>0</v>
      </c>
      <c r="V199" t="s">
        <v>40</v>
      </c>
      <c r="W199" t="s">
        <v>42</v>
      </c>
      <c r="X199" t="s">
        <v>37</v>
      </c>
      <c r="Y199" t="s">
        <v>43</v>
      </c>
      <c r="Z199" t="s">
        <v>37</v>
      </c>
      <c r="AA199">
        <v>2.67</v>
      </c>
      <c r="AB199" t="s">
        <v>37</v>
      </c>
      <c r="AC199">
        <v>2.67</v>
      </c>
      <c r="AD199">
        <v>12</v>
      </c>
      <c r="AE199">
        <v>35000</v>
      </c>
      <c r="AF199" t="str">
        <f>IF(Table1[[#This Row],[What is your current CGPA?]]&gt;=3.5,"High",IF(Table1[[#This Row],[What is your current CGPA?]]&gt;=2.5,"Medium","Low"))</f>
        <v>Medium</v>
      </c>
      <c r="AG199" t="str">
        <f>IF(AND(Table1[[#This Row],[Average attendance on class]]&lt;75,Table1[[#This Row],[How many hour do you study daily?]]&lt;1),"At Risk","Normal")</f>
        <v>Normal</v>
      </c>
      <c r="AH199">
        <f>(Table1[[#This Row],[Average attendance on class]]*0.4)+(Table1[[#This Row],[How many hour do you study daily?]]*10*0.3)+(Table1[[#This Row],[How many hour do you spent daily on your skill development?]]*10*0.3)</f>
        <v>42</v>
      </c>
    </row>
    <row r="200" spans="1:34" x14ac:dyDescent="0.25">
      <c r="A200">
        <v>2019</v>
      </c>
      <c r="B200" t="s">
        <v>48</v>
      </c>
      <c r="C200">
        <v>23</v>
      </c>
      <c r="D200">
        <v>2017</v>
      </c>
      <c r="E200" t="s">
        <v>35</v>
      </c>
      <c r="F200">
        <v>9</v>
      </c>
      <c r="G200" t="s">
        <v>37</v>
      </c>
      <c r="H200" t="s">
        <v>36</v>
      </c>
      <c r="I200">
        <v>3</v>
      </c>
      <c r="J200">
        <v>2</v>
      </c>
      <c r="K200" t="s">
        <v>38</v>
      </c>
      <c r="L200" t="s">
        <v>36</v>
      </c>
      <c r="M200" t="s">
        <v>36</v>
      </c>
      <c r="N200">
        <v>1</v>
      </c>
      <c r="O200" t="s">
        <v>39</v>
      </c>
      <c r="P200">
        <v>80</v>
      </c>
      <c r="Q200" t="s">
        <v>37</v>
      </c>
      <c r="R200" t="s">
        <v>37</v>
      </c>
      <c r="S200" t="s">
        <v>37</v>
      </c>
      <c r="T200" t="s">
        <v>40</v>
      </c>
      <c r="U200">
        <v>1</v>
      </c>
      <c r="V200" t="s">
        <v>52</v>
      </c>
      <c r="W200" t="s">
        <v>42</v>
      </c>
      <c r="X200" t="s">
        <v>37</v>
      </c>
      <c r="Y200" t="s">
        <v>43</v>
      </c>
      <c r="Z200" t="s">
        <v>37</v>
      </c>
      <c r="AA200">
        <v>3.82</v>
      </c>
      <c r="AB200" t="s">
        <v>37</v>
      </c>
      <c r="AC200">
        <v>3.6</v>
      </c>
      <c r="AD200">
        <v>84</v>
      </c>
      <c r="AE200">
        <v>30000</v>
      </c>
      <c r="AF200" t="str">
        <f>IF(Table1[[#This Row],[What is your current CGPA?]]&gt;=3.5,"High",IF(Table1[[#This Row],[What is your current CGPA?]]&gt;=2.5,"Medium","Low"))</f>
        <v>High</v>
      </c>
      <c r="AG200" t="str">
        <f>IF(AND(Table1[[#This Row],[Average attendance on class]]&lt;75,Table1[[#This Row],[How many hour do you study daily?]]&lt;1),"At Risk","Normal")</f>
        <v>Normal</v>
      </c>
      <c r="AH200">
        <f>(Table1[[#This Row],[Average attendance on class]]*0.4)+(Table1[[#This Row],[How many hour do you study daily?]]*10*0.3)+(Table1[[#This Row],[How many hour do you spent daily on your skill development?]]*10*0.3)</f>
        <v>44</v>
      </c>
    </row>
    <row r="201" spans="1:34" x14ac:dyDescent="0.25">
      <c r="A201">
        <v>2022</v>
      </c>
      <c r="B201" t="s">
        <v>34</v>
      </c>
      <c r="C201">
        <v>20</v>
      </c>
      <c r="D201">
        <v>2020</v>
      </c>
      <c r="E201" t="s">
        <v>35</v>
      </c>
      <c r="F201">
        <v>2</v>
      </c>
      <c r="G201" t="s">
        <v>36</v>
      </c>
      <c r="H201" t="s">
        <v>36</v>
      </c>
      <c r="I201">
        <v>4</v>
      </c>
      <c r="J201">
        <v>3</v>
      </c>
      <c r="K201" t="s">
        <v>38</v>
      </c>
      <c r="L201" t="s">
        <v>36</v>
      </c>
      <c r="M201" t="s">
        <v>36</v>
      </c>
      <c r="N201">
        <v>2</v>
      </c>
      <c r="O201" t="s">
        <v>45</v>
      </c>
      <c r="P201">
        <v>100</v>
      </c>
      <c r="Q201" t="s">
        <v>37</v>
      </c>
      <c r="R201" t="s">
        <v>37</v>
      </c>
      <c r="S201" t="s">
        <v>37</v>
      </c>
      <c r="T201" t="s">
        <v>40</v>
      </c>
      <c r="U201">
        <v>2</v>
      </c>
      <c r="V201" t="s">
        <v>40</v>
      </c>
      <c r="W201" t="s">
        <v>42</v>
      </c>
      <c r="X201" t="s">
        <v>36</v>
      </c>
      <c r="Y201" t="s">
        <v>47</v>
      </c>
      <c r="Z201" t="s">
        <v>37</v>
      </c>
      <c r="AA201">
        <v>3.72</v>
      </c>
      <c r="AB201" t="s">
        <v>37</v>
      </c>
      <c r="AC201">
        <v>3.72</v>
      </c>
      <c r="AD201">
        <v>11</v>
      </c>
      <c r="AE201">
        <v>40000</v>
      </c>
      <c r="AF201" t="str">
        <f>IF(Table1[[#This Row],[What is your current CGPA?]]&gt;=3.5,"High",IF(Table1[[#This Row],[What is your current CGPA?]]&gt;=2.5,"Medium","Low"))</f>
        <v>High</v>
      </c>
      <c r="AG201" t="str">
        <f>IF(AND(Table1[[#This Row],[Average attendance on class]]&lt;75,Table1[[#This Row],[How many hour do you study daily?]]&lt;1),"At Risk","Normal")</f>
        <v>Normal</v>
      </c>
      <c r="AH201">
        <f>(Table1[[#This Row],[Average attendance on class]]*0.4)+(Table1[[#This Row],[How many hour do you study daily?]]*10*0.3)+(Table1[[#This Row],[How many hour do you spent daily on your skill development?]]*10*0.3)</f>
        <v>58</v>
      </c>
    </row>
    <row r="202" spans="1:34" x14ac:dyDescent="0.25">
      <c r="A202">
        <v>2022</v>
      </c>
      <c r="B202" t="s">
        <v>48</v>
      </c>
      <c r="C202">
        <v>21</v>
      </c>
      <c r="D202">
        <v>2018</v>
      </c>
      <c r="E202" t="s">
        <v>35</v>
      </c>
      <c r="F202">
        <v>10</v>
      </c>
      <c r="G202" t="s">
        <v>37</v>
      </c>
      <c r="H202" t="s">
        <v>36</v>
      </c>
      <c r="I202">
        <v>2</v>
      </c>
      <c r="J202">
        <v>1</v>
      </c>
      <c r="K202" t="s">
        <v>38</v>
      </c>
      <c r="L202" t="s">
        <v>36</v>
      </c>
      <c r="M202" t="s">
        <v>36</v>
      </c>
      <c r="N202">
        <v>2</v>
      </c>
      <c r="O202" t="s">
        <v>39</v>
      </c>
      <c r="P202">
        <v>90</v>
      </c>
      <c r="Q202" t="s">
        <v>37</v>
      </c>
      <c r="R202" t="s">
        <v>37</v>
      </c>
      <c r="S202" t="s">
        <v>36</v>
      </c>
      <c r="T202" t="s">
        <v>40</v>
      </c>
      <c r="U202">
        <v>1</v>
      </c>
      <c r="V202" t="s">
        <v>49</v>
      </c>
      <c r="W202" t="s">
        <v>42</v>
      </c>
      <c r="X202" t="s">
        <v>37</v>
      </c>
      <c r="Y202" t="s">
        <v>47</v>
      </c>
      <c r="Z202" t="s">
        <v>37</v>
      </c>
      <c r="AA202">
        <v>3.51</v>
      </c>
      <c r="AB202" t="s">
        <v>37</v>
      </c>
      <c r="AC202">
        <v>3.56</v>
      </c>
      <c r="AD202">
        <v>125</v>
      </c>
      <c r="AE202">
        <v>40000</v>
      </c>
      <c r="AF202" t="str">
        <f>IF(Table1[[#This Row],[What is your current CGPA?]]&gt;=3.5,"High",IF(Table1[[#This Row],[What is your current CGPA?]]&gt;=2.5,"Medium","Low"))</f>
        <v>High</v>
      </c>
      <c r="AG202" t="str">
        <f>IF(AND(Table1[[#This Row],[Average attendance on class]]&lt;75,Table1[[#This Row],[How many hour do you study daily?]]&lt;1),"At Risk","Normal")</f>
        <v>Normal</v>
      </c>
      <c r="AH202">
        <f>(Table1[[#This Row],[Average attendance on class]]*0.4)+(Table1[[#This Row],[How many hour do you study daily?]]*10*0.3)+(Table1[[#This Row],[How many hour do you spent daily on your skill development?]]*10*0.3)</f>
        <v>45</v>
      </c>
    </row>
    <row r="203" spans="1:34" x14ac:dyDescent="0.25">
      <c r="A203">
        <v>2020</v>
      </c>
      <c r="B203" t="s">
        <v>34</v>
      </c>
      <c r="C203">
        <v>22</v>
      </c>
      <c r="D203">
        <v>2018</v>
      </c>
      <c r="E203" t="s">
        <v>35</v>
      </c>
      <c r="F203">
        <v>8</v>
      </c>
      <c r="G203" t="s">
        <v>37</v>
      </c>
      <c r="H203" t="s">
        <v>37</v>
      </c>
      <c r="I203">
        <v>8</v>
      </c>
      <c r="J203">
        <v>7</v>
      </c>
      <c r="K203" t="s">
        <v>44</v>
      </c>
      <c r="L203" t="s">
        <v>36</v>
      </c>
      <c r="M203" t="s">
        <v>37</v>
      </c>
      <c r="N203">
        <v>4</v>
      </c>
      <c r="O203" t="s">
        <v>39</v>
      </c>
      <c r="P203">
        <v>90</v>
      </c>
      <c r="Q203" t="s">
        <v>37</v>
      </c>
      <c r="R203" t="s">
        <v>37</v>
      </c>
      <c r="S203" t="s">
        <v>36</v>
      </c>
      <c r="T203" t="s">
        <v>40</v>
      </c>
      <c r="U203">
        <v>5</v>
      </c>
      <c r="V203" t="s">
        <v>40</v>
      </c>
      <c r="W203" t="s">
        <v>42</v>
      </c>
      <c r="X203" t="s">
        <v>37</v>
      </c>
      <c r="Y203" t="s">
        <v>43</v>
      </c>
      <c r="Z203" t="s">
        <v>36</v>
      </c>
      <c r="AA203">
        <v>3.48</v>
      </c>
      <c r="AB203" t="s">
        <v>37</v>
      </c>
      <c r="AC203">
        <v>3.35</v>
      </c>
      <c r="AD203">
        <v>75</v>
      </c>
      <c r="AE203">
        <v>40000</v>
      </c>
      <c r="AF203" t="str">
        <f>IF(Table1[[#This Row],[What is your current CGPA?]]&gt;=3.5,"High",IF(Table1[[#This Row],[What is your current CGPA?]]&gt;=2.5,"Medium","Low"))</f>
        <v>Medium</v>
      </c>
      <c r="AG203" t="str">
        <f>IF(AND(Table1[[#This Row],[Average attendance on class]]&lt;75,Table1[[#This Row],[How many hour do you study daily?]]&lt;1),"At Risk","Normal")</f>
        <v>Normal</v>
      </c>
      <c r="AH203">
        <f>(Table1[[#This Row],[Average attendance on class]]*0.4)+(Table1[[#This Row],[How many hour do you study daily?]]*10*0.3)+(Table1[[#This Row],[How many hour do you spent daily on your skill development?]]*10*0.3)</f>
        <v>75</v>
      </c>
    </row>
    <row r="204" spans="1:34" x14ac:dyDescent="0.25">
      <c r="A204">
        <v>2019</v>
      </c>
      <c r="B204" t="s">
        <v>34</v>
      </c>
      <c r="C204">
        <v>22</v>
      </c>
      <c r="D204">
        <v>2018</v>
      </c>
      <c r="E204" t="s">
        <v>35</v>
      </c>
      <c r="F204">
        <v>11</v>
      </c>
      <c r="G204" t="s">
        <v>37</v>
      </c>
      <c r="H204" t="s">
        <v>37</v>
      </c>
      <c r="I204">
        <v>3</v>
      </c>
      <c r="J204">
        <v>2</v>
      </c>
      <c r="K204" t="s">
        <v>38</v>
      </c>
      <c r="L204" t="s">
        <v>36</v>
      </c>
      <c r="M204" t="s">
        <v>36</v>
      </c>
      <c r="N204">
        <v>20</v>
      </c>
      <c r="O204" t="s">
        <v>45</v>
      </c>
      <c r="P204">
        <v>90</v>
      </c>
      <c r="Q204" t="s">
        <v>37</v>
      </c>
      <c r="R204" t="s">
        <v>37</v>
      </c>
      <c r="S204" t="s">
        <v>36</v>
      </c>
      <c r="T204" t="s">
        <v>40</v>
      </c>
      <c r="U204">
        <v>1</v>
      </c>
      <c r="V204" t="s">
        <v>52</v>
      </c>
      <c r="W204" t="s">
        <v>42</v>
      </c>
      <c r="X204" t="s">
        <v>37</v>
      </c>
      <c r="Y204" t="s">
        <v>43</v>
      </c>
      <c r="Z204" t="s">
        <v>37</v>
      </c>
      <c r="AA204">
        <v>2.65</v>
      </c>
      <c r="AB204" t="s">
        <v>37</v>
      </c>
      <c r="AC204">
        <v>2.99</v>
      </c>
      <c r="AD204">
        <v>121</v>
      </c>
      <c r="AE204">
        <v>50000</v>
      </c>
      <c r="AF204" t="str">
        <f>IF(Table1[[#This Row],[What is your current CGPA?]]&gt;=3.5,"High",IF(Table1[[#This Row],[What is your current CGPA?]]&gt;=2.5,"Medium","Low"))</f>
        <v>Medium</v>
      </c>
      <c r="AG204" t="str">
        <f>IF(AND(Table1[[#This Row],[Average attendance on class]]&lt;75,Table1[[#This Row],[How many hour do you study daily?]]&lt;1),"At Risk","Normal")</f>
        <v>Normal</v>
      </c>
      <c r="AH204">
        <f>(Table1[[#This Row],[Average attendance on class]]*0.4)+(Table1[[#This Row],[How many hour do you study daily?]]*10*0.3)+(Table1[[#This Row],[How many hour do you spent daily on your skill development?]]*10*0.3)</f>
        <v>48</v>
      </c>
    </row>
    <row r="205" spans="1:34" x14ac:dyDescent="0.25">
      <c r="A205">
        <v>2019</v>
      </c>
      <c r="B205" t="s">
        <v>34</v>
      </c>
      <c r="C205">
        <v>22</v>
      </c>
      <c r="D205">
        <v>2018</v>
      </c>
      <c r="E205" t="s">
        <v>35</v>
      </c>
      <c r="F205">
        <v>11</v>
      </c>
      <c r="G205" t="s">
        <v>37</v>
      </c>
      <c r="H205" t="s">
        <v>36</v>
      </c>
      <c r="I205">
        <v>6</v>
      </c>
      <c r="J205">
        <v>3</v>
      </c>
      <c r="K205" t="s">
        <v>44</v>
      </c>
      <c r="L205" t="s">
        <v>36</v>
      </c>
      <c r="M205" t="s">
        <v>36</v>
      </c>
      <c r="N205">
        <v>2</v>
      </c>
      <c r="O205" t="s">
        <v>39</v>
      </c>
      <c r="P205">
        <v>100</v>
      </c>
      <c r="Q205" t="s">
        <v>37</v>
      </c>
      <c r="R205" t="s">
        <v>37</v>
      </c>
      <c r="S205" t="s">
        <v>36</v>
      </c>
      <c r="T205" t="s">
        <v>40</v>
      </c>
      <c r="U205">
        <v>5</v>
      </c>
      <c r="V205" t="s">
        <v>40</v>
      </c>
      <c r="W205" t="s">
        <v>50</v>
      </c>
      <c r="X205" t="s">
        <v>36</v>
      </c>
      <c r="Y205" t="s">
        <v>43</v>
      </c>
      <c r="Z205" t="s">
        <v>37</v>
      </c>
      <c r="AA205">
        <v>3.72</v>
      </c>
      <c r="AB205" t="s">
        <v>37</v>
      </c>
      <c r="AC205">
        <v>3.42</v>
      </c>
      <c r="AD205">
        <v>131</v>
      </c>
      <c r="AE205">
        <v>62488</v>
      </c>
      <c r="AF205" t="str">
        <f>IF(Table1[[#This Row],[What is your current CGPA?]]&gt;=3.5,"High",IF(Table1[[#This Row],[What is your current CGPA?]]&gt;=2.5,"Medium","Low"))</f>
        <v>Medium</v>
      </c>
      <c r="AG205" t="str">
        <f>IF(AND(Table1[[#This Row],[Average attendance on class]]&lt;75,Table1[[#This Row],[How many hour do you study daily?]]&lt;1),"At Risk","Normal")</f>
        <v>Normal</v>
      </c>
      <c r="AH205">
        <f>(Table1[[#This Row],[Average attendance on class]]*0.4)+(Table1[[#This Row],[How many hour do you study daily?]]*10*0.3)+(Table1[[#This Row],[How many hour do you spent daily on your skill development?]]*10*0.3)</f>
        <v>73</v>
      </c>
    </row>
    <row r="206" spans="1:34" x14ac:dyDescent="0.25">
      <c r="A206">
        <v>2021</v>
      </c>
      <c r="B206" t="s">
        <v>34</v>
      </c>
      <c r="C206">
        <v>23</v>
      </c>
      <c r="D206">
        <v>2018</v>
      </c>
      <c r="E206" t="s">
        <v>35</v>
      </c>
      <c r="F206">
        <v>2</v>
      </c>
      <c r="G206" t="s">
        <v>36</v>
      </c>
      <c r="H206" t="s">
        <v>37</v>
      </c>
      <c r="I206">
        <v>3</v>
      </c>
      <c r="J206">
        <v>2</v>
      </c>
      <c r="K206" t="s">
        <v>44</v>
      </c>
      <c r="L206" t="s">
        <v>36</v>
      </c>
      <c r="M206" t="s">
        <v>37</v>
      </c>
      <c r="N206">
        <v>3</v>
      </c>
      <c r="O206" t="s">
        <v>45</v>
      </c>
      <c r="P206">
        <v>85</v>
      </c>
      <c r="Q206" t="s">
        <v>36</v>
      </c>
      <c r="R206" t="s">
        <v>37</v>
      </c>
      <c r="S206" t="s">
        <v>36</v>
      </c>
      <c r="T206" t="s">
        <v>40</v>
      </c>
      <c r="U206">
        <v>1</v>
      </c>
      <c r="V206" t="s">
        <v>40</v>
      </c>
      <c r="W206" t="s">
        <v>42</v>
      </c>
      <c r="X206" t="s">
        <v>37</v>
      </c>
      <c r="Y206" t="s">
        <v>43</v>
      </c>
      <c r="Z206" t="s">
        <v>37</v>
      </c>
      <c r="AA206">
        <v>1.96</v>
      </c>
      <c r="AB206" t="s">
        <v>37</v>
      </c>
      <c r="AC206">
        <v>1.96</v>
      </c>
      <c r="AD206">
        <v>11</v>
      </c>
      <c r="AE206">
        <v>62488</v>
      </c>
      <c r="AF206" t="str">
        <f>IF(Table1[[#This Row],[What is your current CGPA?]]&gt;=3.5,"High",IF(Table1[[#This Row],[What is your current CGPA?]]&gt;=2.5,"Medium","Low"))</f>
        <v>Low</v>
      </c>
      <c r="AG206" t="str">
        <f>IF(AND(Table1[[#This Row],[Average attendance on class]]&lt;75,Table1[[#This Row],[How many hour do you study daily?]]&lt;1),"At Risk","Normal")</f>
        <v>Normal</v>
      </c>
      <c r="AH206">
        <f>(Table1[[#This Row],[Average attendance on class]]*0.4)+(Table1[[#This Row],[How many hour do you study daily?]]*10*0.3)+(Table1[[#This Row],[How many hour do you spent daily on your skill development?]]*10*0.3)</f>
        <v>46</v>
      </c>
    </row>
    <row r="207" spans="1:34" x14ac:dyDescent="0.25">
      <c r="A207">
        <v>2019</v>
      </c>
      <c r="B207" t="s">
        <v>48</v>
      </c>
      <c r="C207">
        <v>23</v>
      </c>
      <c r="D207">
        <v>2017</v>
      </c>
      <c r="E207" t="s">
        <v>35</v>
      </c>
      <c r="F207">
        <v>10</v>
      </c>
      <c r="G207" t="s">
        <v>36</v>
      </c>
      <c r="H207" t="s">
        <v>36</v>
      </c>
      <c r="I207">
        <v>2</v>
      </c>
      <c r="J207">
        <v>2</v>
      </c>
      <c r="K207" t="s">
        <v>38</v>
      </c>
      <c r="L207" t="s">
        <v>36</v>
      </c>
      <c r="M207" t="s">
        <v>36</v>
      </c>
      <c r="N207">
        <v>1</v>
      </c>
      <c r="O207" t="s">
        <v>53</v>
      </c>
      <c r="P207">
        <v>95</v>
      </c>
      <c r="Q207" t="s">
        <v>37</v>
      </c>
      <c r="R207" t="s">
        <v>37</v>
      </c>
      <c r="S207" t="s">
        <v>36</v>
      </c>
      <c r="T207" t="s">
        <v>51</v>
      </c>
      <c r="U207">
        <v>2</v>
      </c>
      <c r="V207" t="s">
        <v>51</v>
      </c>
      <c r="W207" t="s">
        <v>56</v>
      </c>
      <c r="X207" t="s">
        <v>36</v>
      </c>
      <c r="Y207" t="s">
        <v>47</v>
      </c>
      <c r="Z207" t="s">
        <v>37</v>
      </c>
      <c r="AA207">
        <v>3.38</v>
      </c>
      <c r="AB207" t="s">
        <v>37</v>
      </c>
      <c r="AC207">
        <v>3.6</v>
      </c>
      <c r="AD207">
        <v>120</v>
      </c>
      <c r="AE207">
        <v>50000</v>
      </c>
      <c r="AF207" t="str">
        <f>IF(Table1[[#This Row],[What is your current CGPA?]]&gt;=3.5,"High",IF(Table1[[#This Row],[What is your current CGPA?]]&gt;=2.5,"Medium","Low"))</f>
        <v>High</v>
      </c>
      <c r="AG207" t="str">
        <f>IF(AND(Table1[[#This Row],[Average attendance on class]]&lt;75,Table1[[#This Row],[How many hour do you study daily?]]&lt;1),"At Risk","Normal")</f>
        <v>Normal</v>
      </c>
      <c r="AH207">
        <f>(Table1[[#This Row],[Average attendance on class]]*0.4)+(Table1[[#This Row],[How many hour do you study daily?]]*10*0.3)+(Table1[[#This Row],[How many hour do you spent daily on your skill development?]]*10*0.3)</f>
        <v>50</v>
      </c>
    </row>
    <row r="208" spans="1:34" x14ac:dyDescent="0.25">
      <c r="A208">
        <v>2018</v>
      </c>
      <c r="B208" t="s">
        <v>34</v>
      </c>
      <c r="C208">
        <v>23</v>
      </c>
      <c r="D208">
        <v>2017</v>
      </c>
      <c r="E208" t="s">
        <v>35</v>
      </c>
      <c r="F208">
        <v>14</v>
      </c>
      <c r="G208" t="s">
        <v>37</v>
      </c>
      <c r="H208" t="s">
        <v>36</v>
      </c>
      <c r="I208">
        <v>7</v>
      </c>
      <c r="J208">
        <v>2</v>
      </c>
      <c r="K208" t="s">
        <v>44</v>
      </c>
      <c r="L208" t="s">
        <v>36</v>
      </c>
      <c r="M208" t="s">
        <v>36</v>
      </c>
      <c r="N208">
        <v>2</v>
      </c>
      <c r="O208" t="s">
        <v>39</v>
      </c>
      <c r="P208">
        <v>80</v>
      </c>
      <c r="Q208" t="s">
        <v>36</v>
      </c>
      <c r="R208" t="s">
        <v>37</v>
      </c>
      <c r="S208" t="s">
        <v>37</v>
      </c>
      <c r="T208" t="s">
        <v>40</v>
      </c>
      <c r="U208">
        <v>2</v>
      </c>
      <c r="V208" t="s">
        <v>40</v>
      </c>
      <c r="W208" t="s">
        <v>50</v>
      </c>
      <c r="X208" t="s">
        <v>36</v>
      </c>
      <c r="Y208" t="s">
        <v>47</v>
      </c>
      <c r="Z208" t="s">
        <v>37</v>
      </c>
      <c r="AA208">
        <v>2.8</v>
      </c>
      <c r="AB208" t="s">
        <v>37</v>
      </c>
      <c r="AC208">
        <v>2.8</v>
      </c>
      <c r="AD208">
        <v>130</v>
      </c>
      <c r="AE208">
        <v>18000</v>
      </c>
      <c r="AF208" t="str">
        <f>IF(Table1[[#This Row],[What is your current CGPA?]]&gt;=3.5,"High",IF(Table1[[#This Row],[What is your current CGPA?]]&gt;=2.5,"Medium","Low"))</f>
        <v>Medium</v>
      </c>
      <c r="AG208" t="str">
        <f>IF(AND(Table1[[#This Row],[Average attendance on class]]&lt;75,Table1[[#This Row],[How many hour do you study daily?]]&lt;1),"At Risk","Normal")</f>
        <v>Normal</v>
      </c>
      <c r="AH208">
        <f>(Table1[[#This Row],[Average attendance on class]]*0.4)+(Table1[[#This Row],[How many hour do you study daily?]]*10*0.3)+(Table1[[#This Row],[How many hour do you spent daily on your skill development?]]*10*0.3)</f>
        <v>59</v>
      </c>
    </row>
    <row r="209" spans="1:34" x14ac:dyDescent="0.25">
      <c r="A209">
        <v>2019</v>
      </c>
      <c r="B209" t="s">
        <v>48</v>
      </c>
      <c r="C209">
        <v>21</v>
      </c>
      <c r="D209">
        <v>2018</v>
      </c>
      <c r="E209" t="s">
        <v>35</v>
      </c>
      <c r="F209">
        <v>9</v>
      </c>
      <c r="G209" t="s">
        <v>37</v>
      </c>
      <c r="H209" t="s">
        <v>37</v>
      </c>
      <c r="I209">
        <v>5</v>
      </c>
      <c r="J209">
        <v>2</v>
      </c>
      <c r="K209" t="s">
        <v>44</v>
      </c>
      <c r="L209" t="s">
        <v>36</v>
      </c>
      <c r="M209" t="s">
        <v>36</v>
      </c>
      <c r="N209">
        <v>4</v>
      </c>
      <c r="O209" t="s">
        <v>39</v>
      </c>
      <c r="P209">
        <v>100</v>
      </c>
      <c r="Q209" t="s">
        <v>37</v>
      </c>
      <c r="R209" t="s">
        <v>37</v>
      </c>
      <c r="S209" t="s">
        <v>36</v>
      </c>
      <c r="T209" t="s">
        <v>40</v>
      </c>
      <c r="U209">
        <v>2</v>
      </c>
      <c r="V209" t="s">
        <v>40</v>
      </c>
      <c r="W209" t="s">
        <v>42</v>
      </c>
      <c r="X209" t="s">
        <v>37</v>
      </c>
      <c r="Y209" t="s">
        <v>47</v>
      </c>
      <c r="Z209" t="s">
        <v>36</v>
      </c>
      <c r="AA209">
        <v>3.36</v>
      </c>
      <c r="AB209" t="s">
        <v>37</v>
      </c>
      <c r="AC209">
        <v>3.59</v>
      </c>
      <c r="AD209">
        <v>100</v>
      </c>
      <c r="AE209">
        <v>40000</v>
      </c>
      <c r="AF209" t="str">
        <f>IF(Table1[[#This Row],[What is your current CGPA?]]&gt;=3.5,"High",IF(Table1[[#This Row],[What is your current CGPA?]]&gt;=2.5,"Medium","Low"))</f>
        <v>High</v>
      </c>
      <c r="AG209" t="str">
        <f>IF(AND(Table1[[#This Row],[Average attendance on class]]&lt;75,Table1[[#This Row],[How many hour do you study daily?]]&lt;1),"At Risk","Normal")</f>
        <v>Normal</v>
      </c>
      <c r="AH209">
        <f>(Table1[[#This Row],[Average attendance on class]]*0.4)+(Table1[[#This Row],[How many hour do you study daily?]]*10*0.3)+(Table1[[#This Row],[How many hour do you spent daily on your skill development?]]*10*0.3)</f>
        <v>61</v>
      </c>
    </row>
    <row r="210" spans="1:34" x14ac:dyDescent="0.25">
      <c r="A210">
        <v>2020</v>
      </c>
      <c r="B210" t="s">
        <v>34</v>
      </c>
      <c r="C210">
        <v>22</v>
      </c>
      <c r="D210">
        <v>2022</v>
      </c>
      <c r="E210" t="s">
        <v>35</v>
      </c>
      <c r="F210">
        <v>8</v>
      </c>
      <c r="G210" t="s">
        <v>37</v>
      </c>
      <c r="H210" t="s">
        <v>37</v>
      </c>
      <c r="I210">
        <v>2</v>
      </c>
      <c r="J210">
        <v>2</v>
      </c>
      <c r="K210" t="s">
        <v>38</v>
      </c>
      <c r="L210" t="s">
        <v>36</v>
      </c>
      <c r="M210" t="s">
        <v>36</v>
      </c>
      <c r="N210">
        <v>4</v>
      </c>
      <c r="O210" t="s">
        <v>39</v>
      </c>
      <c r="P210">
        <v>85</v>
      </c>
      <c r="Q210" t="s">
        <v>37</v>
      </c>
      <c r="R210" t="s">
        <v>37</v>
      </c>
      <c r="S210" t="s">
        <v>36</v>
      </c>
      <c r="T210" t="s">
        <v>40</v>
      </c>
      <c r="U210">
        <v>1</v>
      </c>
      <c r="V210" t="s">
        <v>40</v>
      </c>
      <c r="W210" t="s">
        <v>42</v>
      </c>
      <c r="X210" t="s">
        <v>37</v>
      </c>
      <c r="Y210" t="s">
        <v>43</v>
      </c>
      <c r="Z210" t="s">
        <v>37</v>
      </c>
      <c r="AA210">
        <v>3.33</v>
      </c>
      <c r="AB210" t="s">
        <v>37</v>
      </c>
      <c r="AC210">
        <v>3.1</v>
      </c>
      <c r="AD210">
        <v>80</v>
      </c>
      <c r="AE210">
        <v>62488</v>
      </c>
      <c r="AF210" t="str">
        <f>IF(Table1[[#This Row],[What is your current CGPA?]]&gt;=3.5,"High",IF(Table1[[#This Row],[What is your current CGPA?]]&gt;=2.5,"Medium","Low"))</f>
        <v>Medium</v>
      </c>
      <c r="AG210" t="str">
        <f>IF(AND(Table1[[#This Row],[Average attendance on class]]&lt;75,Table1[[#This Row],[How many hour do you study daily?]]&lt;1),"At Risk","Normal")</f>
        <v>Normal</v>
      </c>
      <c r="AH210">
        <f>(Table1[[#This Row],[Average attendance on class]]*0.4)+(Table1[[#This Row],[How many hour do you study daily?]]*10*0.3)+(Table1[[#This Row],[How many hour do you spent daily on your skill development?]]*10*0.3)</f>
        <v>43</v>
      </c>
    </row>
    <row r="211" spans="1:34" x14ac:dyDescent="0.25">
      <c r="A211">
        <v>2017</v>
      </c>
      <c r="B211" t="s">
        <v>34</v>
      </c>
      <c r="C211">
        <v>25</v>
      </c>
      <c r="D211">
        <v>2016</v>
      </c>
      <c r="E211" t="s">
        <v>35</v>
      </c>
      <c r="F211">
        <v>15</v>
      </c>
      <c r="G211" t="s">
        <v>37</v>
      </c>
      <c r="H211" t="s">
        <v>37</v>
      </c>
      <c r="I211">
        <v>1</v>
      </c>
      <c r="J211">
        <v>1</v>
      </c>
      <c r="K211" t="s">
        <v>44</v>
      </c>
      <c r="L211" t="s">
        <v>36</v>
      </c>
      <c r="M211" t="s">
        <v>36</v>
      </c>
      <c r="N211">
        <v>2</v>
      </c>
      <c r="O211" t="s">
        <v>39</v>
      </c>
      <c r="P211">
        <v>90</v>
      </c>
      <c r="Q211" t="s">
        <v>36</v>
      </c>
      <c r="R211" t="s">
        <v>37</v>
      </c>
      <c r="S211" t="s">
        <v>36</v>
      </c>
      <c r="T211" t="s">
        <v>68</v>
      </c>
      <c r="U211">
        <v>2</v>
      </c>
      <c r="V211" t="s">
        <v>59</v>
      </c>
      <c r="W211" t="s">
        <v>42</v>
      </c>
      <c r="X211" t="s">
        <v>36</v>
      </c>
      <c r="Y211" t="s">
        <v>47</v>
      </c>
      <c r="Z211" t="s">
        <v>36</v>
      </c>
      <c r="AA211">
        <v>2.11</v>
      </c>
      <c r="AB211" t="s">
        <v>36</v>
      </c>
      <c r="AC211">
        <v>2.54</v>
      </c>
      <c r="AD211">
        <v>126</v>
      </c>
      <c r="AE211">
        <v>80000</v>
      </c>
      <c r="AF211" t="str">
        <f>IF(Table1[[#This Row],[What is your current CGPA?]]&gt;=3.5,"High",IF(Table1[[#This Row],[What is your current CGPA?]]&gt;=2.5,"Medium","Low"))</f>
        <v>Medium</v>
      </c>
      <c r="AG211" t="str">
        <f>IF(AND(Table1[[#This Row],[Average attendance on class]]&lt;75,Table1[[#This Row],[How many hour do you study daily?]]&lt;1),"At Risk","Normal")</f>
        <v>Normal</v>
      </c>
      <c r="AH211">
        <f>(Table1[[#This Row],[Average attendance on class]]*0.4)+(Table1[[#This Row],[How many hour do you study daily?]]*10*0.3)+(Table1[[#This Row],[How many hour do you spent daily on your skill development?]]*10*0.3)</f>
        <v>45</v>
      </c>
    </row>
    <row r="212" spans="1:34" x14ac:dyDescent="0.25">
      <c r="A212">
        <v>2021</v>
      </c>
      <c r="B212" t="s">
        <v>34</v>
      </c>
      <c r="C212">
        <v>21</v>
      </c>
      <c r="D212">
        <v>2020</v>
      </c>
      <c r="E212" t="s">
        <v>35</v>
      </c>
      <c r="F212">
        <v>4</v>
      </c>
      <c r="G212" t="s">
        <v>37</v>
      </c>
      <c r="H212" t="s">
        <v>37</v>
      </c>
      <c r="I212">
        <v>1</v>
      </c>
      <c r="J212">
        <v>1</v>
      </c>
      <c r="K212" t="s">
        <v>38</v>
      </c>
      <c r="L212" t="s">
        <v>36</v>
      </c>
      <c r="M212" t="s">
        <v>36</v>
      </c>
      <c r="N212">
        <v>6</v>
      </c>
      <c r="O212" t="s">
        <v>45</v>
      </c>
      <c r="P212">
        <v>52</v>
      </c>
      <c r="Q212" t="s">
        <v>37</v>
      </c>
      <c r="R212" t="s">
        <v>37</v>
      </c>
      <c r="S212" t="s">
        <v>36</v>
      </c>
      <c r="T212" t="s">
        <v>40</v>
      </c>
      <c r="U212">
        <v>1</v>
      </c>
      <c r="V212" t="s">
        <v>40</v>
      </c>
      <c r="W212" t="s">
        <v>42</v>
      </c>
      <c r="X212" t="s">
        <v>37</v>
      </c>
      <c r="Y212" t="s">
        <v>47</v>
      </c>
      <c r="Z212" t="s">
        <v>36</v>
      </c>
      <c r="AA212">
        <v>2.83</v>
      </c>
      <c r="AB212" t="s">
        <v>37</v>
      </c>
      <c r="AC212">
        <v>3.05</v>
      </c>
      <c r="AD212">
        <v>37</v>
      </c>
      <c r="AE212">
        <v>20000</v>
      </c>
      <c r="AF212" t="str">
        <f>IF(Table1[[#This Row],[What is your current CGPA?]]&gt;=3.5,"High",IF(Table1[[#This Row],[What is your current CGPA?]]&gt;=2.5,"Medium","Low"))</f>
        <v>Medium</v>
      </c>
      <c r="AG212" t="str">
        <f>IF(AND(Table1[[#This Row],[Average attendance on class]]&lt;75,Table1[[#This Row],[How many hour do you study daily?]]&lt;1),"At Risk","Normal")</f>
        <v>Normal</v>
      </c>
      <c r="AH212">
        <f>(Table1[[#This Row],[Average attendance on class]]*0.4)+(Table1[[#This Row],[How many hour do you study daily?]]*10*0.3)+(Table1[[#This Row],[How many hour do you spent daily on your skill development?]]*10*0.3)</f>
        <v>26.8</v>
      </c>
    </row>
    <row r="213" spans="1:34" x14ac:dyDescent="0.25">
      <c r="A213">
        <v>2021</v>
      </c>
      <c r="B213" t="s">
        <v>34</v>
      </c>
      <c r="C213">
        <v>21</v>
      </c>
      <c r="D213">
        <v>2019</v>
      </c>
      <c r="E213" t="s">
        <v>35</v>
      </c>
      <c r="F213">
        <v>4</v>
      </c>
      <c r="G213" t="s">
        <v>36</v>
      </c>
      <c r="H213" t="s">
        <v>36</v>
      </c>
      <c r="I213">
        <v>3</v>
      </c>
      <c r="J213">
        <v>2</v>
      </c>
      <c r="K213" t="s">
        <v>44</v>
      </c>
      <c r="L213" t="s">
        <v>36</v>
      </c>
      <c r="M213" t="s">
        <v>36</v>
      </c>
      <c r="N213">
        <v>4</v>
      </c>
      <c r="O213" t="s">
        <v>39</v>
      </c>
      <c r="P213">
        <v>88</v>
      </c>
      <c r="Q213" t="s">
        <v>36</v>
      </c>
      <c r="R213" t="s">
        <v>37</v>
      </c>
      <c r="S213" t="s">
        <v>37</v>
      </c>
      <c r="T213" t="s">
        <v>40</v>
      </c>
      <c r="U213">
        <v>2</v>
      </c>
      <c r="V213" t="s">
        <v>40</v>
      </c>
      <c r="W213" t="s">
        <v>42</v>
      </c>
      <c r="X213" t="s">
        <v>36</v>
      </c>
      <c r="Y213" t="s">
        <v>47</v>
      </c>
      <c r="Z213" t="s">
        <v>37</v>
      </c>
      <c r="AA213">
        <v>2.2000000000000002</v>
      </c>
      <c r="AB213" t="s">
        <v>37</v>
      </c>
      <c r="AC213">
        <v>2.2000000000000002</v>
      </c>
      <c r="AD213">
        <v>30</v>
      </c>
      <c r="AE213">
        <v>62488</v>
      </c>
      <c r="AF213" t="str">
        <f>IF(Table1[[#This Row],[What is your current CGPA?]]&gt;=3.5,"High",IF(Table1[[#This Row],[What is your current CGPA?]]&gt;=2.5,"Medium","Low"))</f>
        <v>Low</v>
      </c>
      <c r="AG213" t="str">
        <f>IF(AND(Table1[[#This Row],[Average attendance on class]]&lt;75,Table1[[#This Row],[How many hour do you study daily?]]&lt;1),"At Risk","Normal")</f>
        <v>Normal</v>
      </c>
      <c r="AH213">
        <f>(Table1[[#This Row],[Average attendance on class]]*0.4)+(Table1[[#This Row],[How many hour do you study daily?]]*10*0.3)+(Table1[[#This Row],[How many hour do you spent daily on your skill development?]]*10*0.3)</f>
        <v>50.2</v>
      </c>
    </row>
    <row r="214" spans="1:34" x14ac:dyDescent="0.25">
      <c r="A214">
        <v>2019</v>
      </c>
      <c r="B214" t="s">
        <v>34</v>
      </c>
      <c r="C214">
        <v>23</v>
      </c>
      <c r="D214">
        <v>2018</v>
      </c>
      <c r="E214" t="s">
        <v>35</v>
      </c>
      <c r="F214">
        <v>11</v>
      </c>
      <c r="G214" t="s">
        <v>37</v>
      </c>
      <c r="H214" t="s">
        <v>36</v>
      </c>
      <c r="I214">
        <v>6</v>
      </c>
      <c r="J214">
        <v>3</v>
      </c>
      <c r="K214" t="s">
        <v>38</v>
      </c>
      <c r="L214" t="s">
        <v>36</v>
      </c>
      <c r="M214" t="s">
        <v>36</v>
      </c>
      <c r="N214">
        <v>6</v>
      </c>
      <c r="O214" t="s">
        <v>39</v>
      </c>
      <c r="P214">
        <v>98</v>
      </c>
      <c r="Q214" t="s">
        <v>37</v>
      </c>
      <c r="R214" t="s">
        <v>37</v>
      </c>
      <c r="S214" t="s">
        <v>36</v>
      </c>
      <c r="T214" t="s">
        <v>40</v>
      </c>
      <c r="U214">
        <v>3</v>
      </c>
      <c r="V214" t="s">
        <v>40</v>
      </c>
      <c r="W214" t="s">
        <v>42</v>
      </c>
      <c r="X214" t="s">
        <v>36</v>
      </c>
      <c r="Y214" t="s">
        <v>47</v>
      </c>
      <c r="Z214" t="s">
        <v>37</v>
      </c>
      <c r="AA214">
        <v>3.2</v>
      </c>
      <c r="AB214" t="s">
        <v>37</v>
      </c>
      <c r="AC214">
        <v>3.22</v>
      </c>
      <c r="AD214">
        <v>110</v>
      </c>
      <c r="AE214">
        <v>50000</v>
      </c>
      <c r="AF214" t="str">
        <f>IF(Table1[[#This Row],[What is your current CGPA?]]&gt;=3.5,"High",IF(Table1[[#This Row],[What is your current CGPA?]]&gt;=2.5,"Medium","Low"))</f>
        <v>Medium</v>
      </c>
      <c r="AG214" t="str">
        <f>IF(AND(Table1[[#This Row],[Average attendance on class]]&lt;75,Table1[[#This Row],[How many hour do you study daily?]]&lt;1),"At Risk","Normal")</f>
        <v>Normal</v>
      </c>
      <c r="AH214">
        <f>(Table1[[#This Row],[Average attendance on class]]*0.4)+(Table1[[#This Row],[How many hour do you study daily?]]*10*0.3)+(Table1[[#This Row],[How many hour do you spent daily on your skill development?]]*10*0.3)</f>
        <v>66.2</v>
      </c>
    </row>
    <row r="215" spans="1:34" x14ac:dyDescent="0.25">
      <c r="A215">
        <v>2019</v>
      </c>
      <c r="B215" t="s">
        <v>34</v>
      </c>
      <c r="C215">
        <v>26</v>
      </c>
      <c r="D215">
        <v>2014</v>
      </c>
      <c r="E215" t="s">
        <v>35</v>
      </c>
      <c r="F215">
        <v>10</v>
      </c>
      <c r="G215" t="s">
        <v>37</v>
      </c>
      <c r="H215" t="s">
        <v>37</v>
      </c>
      <c r="I215">
        <v>4</v>
      </c>
      <c r="J215">
        <v>2</v>
      </c>
      <c r="K215" t="s">
        <v>38</v>
      </c>
      <c r="L215" t="s">
        <v>36</v>
      </c>
      <c r="M215" t="s">
        <v>36</v>
      </c>
      <c r="N215">
        <v>1</v>
      </c>
      <c r="O215" t="s">
        <v>39</v>
      </c>
      <c r="P215">
        <v>70</v>
      </c>
      <c r="Q215" t="s">
        <v>36</v>
      </c>
      <c r="R215" t="s">
        <v>37</v>
      </c>
      <c r="S215" t="s">
        <v>36</v>
      </c>
      <c r="T215" t="s">
        <v>40</v>
      </c>
      <c r="U215">
        <v>2</v>
      </c>
      <c r="V215" t="s">
        <v>40</v>
      </c>
      <c r="W215" t="s">
        <v>42</v>
      </c>
      <c r="X215" t="s">
        <v>36</v>
      </c>
      <c r="Y215" t="s">
        <v>43</v>
      </c>
      <c r="Z215" t="s">
        <v>37</v>
      </c>
      <c r="AA215">
        <v>2.81</v>
      </c>
      <c r="AB215" t="s">
        <v>37</v>
      </c>
      <c r="AC215">
        <v>3.2</v>
      </c>
      <c r="AD215">
        <v>104</v>
      </c>
      <c r="AE215">
        <v>12000</v>
      </c>
      <c r="AF215" t="str">
        <f>IF(Table1[[#This Row],[What is your current CGPA?]]&gt;=3.5,"High",IF(Table1[[#This Row],[What is your current CGPA?]]&gt;=2.5,"Medium","Low"))</f>
        <v>Medium</v>
      </c>
      <c r="AG215" t="str">
        <f>IF(AND(Table1[[#This Row],[Average attendance on class]]&lt;75,Table1[[#This Row],[How many hour do you study daily?]]&lt;1),"At Risk","Normal")</f>
        <v>Normal</v>
      </c>
      <c r="AH215">
        <f>(Table1[[#This Row],[Average attendance on class]]*0.4)+(Table1[[#This Row],[How many hour do you study daily?]]*10*0.3)+(Table1[[#This Row],[How many hour do you spent daily on your skill development?]]*10*0.3)</f>
        <v>46</v>
      </c>
    </row>
    <row r="216" spans="1:34" x14ac:dyDescent="0.25">
      <c r="A216">
        <v>2022</v>
      </c>
      <c r="B216" t="s">
        <v>34</v>
      </c>
      <c r="C216">
        <v>20</v>
      </c>
      <c r="D216">
        <v>2020</v>
      </c>
      <c r="E216" t="s">
        <v>35</v>
      </c>
      <c r="F216">
        <v>2</v>
      </c>
      <c r="G216" t="s">
        <v>37</v>
      </c>
      <c r="H216" t="s">
        <v>37</v>
      </c>
      <c r="I216">
        <v>5</v>
      </c>
      <c r="J216">
        <v>3</v>
      </c>
      <c r="K216" t="s">
        <v>38</v>
      </c>
      <c r="L216" t="s">
        <v>37</v>
      </c>
      <c r="M216" t="s">
        <v>36</v>
      </c>
      <c r="N216">
        <v>2</v>
      </c>
      <c r="O216" t="s">
        <v>45</v>
      </c>
      <c r="P216">
        <v>100</v>
      </c>
      <c r="Q216" t="s">
        <v>37</v>
      </c>
      <c r="R216" t="s">
        <v>37</v>
      </c>
      <c r="S216" t="s">
        <v>37</v>
      </c>
      <c r="T216" t="s">
        <v>40</v>
      </c>
      <c r="U216">
        <v>5</v>
      </c>
      <c r="V216" t="s">
        <v>40</v>
      </c>
      <c r="W216" t="s">
        <v>42</v>
      </c>
      <c r="X216" t="s">
        <v>36</v>
      </c>
      <c r="Y216" t="s">
        <v>43</v>
      </c>
      <c r="Z216" t="s">
        <v>37</v>
      </c>
      <c r="AA216">
        <v>3.48</v>
      </c>
      <c r="AB216" t="s">
        <v>37</v>
      </c>
      <c r="AC216">
        <v>3.48</v>
      </c>
      <c r="AD216">
        <v>11</v>
      </c>
      <c r="AE216">
        <v>20000</v>
      </c>
      <c r="AF216" t="str">
        <f>IF(Table1[[#This Row],[What is your current CGPA?]]&gt;=3.5,"High",IF(Table1[[#This Row],[What is your current CGPA?]]&gt;=2.5,"Medium","Low"))</f>
        <v>Medium</v>
      </c>
      <c r="AG216" t="str">
        <f>IF(AND(Table1[[#This Row],[Average attendance on class]]&lt;75,Table1[[#This Row],[How many hour do you study daily?]]&lt;1),"At Risk","Normal")</f>
        <v>Normal</v>
      </c>
      <c r="AH216">
        <f>(Table1[[#This Row],[Average attendance on class]]*0.4)+(Table1[[#This Row],[How many hour do you study daily?]]*10*0.3)+(Table1[[#This Row],[How many hour do you spent daily on your skill development?]]*10*0.3)</f>
        <v>70</v>
      </c>
    </row>
    <row r="217" spans="1:34" x14ac:dyDescent="0.25">
      <c r="A217">
        <v>2022</v>
      </c>
      <c r="B217" t="s">
        <v>48</v>
      </c>
      <c r="C217">
        <v>20</v>
      </c>
      <c r="D217">
        <v>2020</v>
      </c>
      <c r="E217" t="s">
        <v>35</v>
      </c>
      <c r="F217">
        <v>2</v>
      </c>
      <c r="G217" t="s">
        <v>36</v>
      </c>
      <c r="H217" t="s">
        <v>37</v>
      </c>
      <c r="I217">
        <v>5</v>
      </c>
      <c r="J217">
        <v>1</v>
      </c>
      <c r="K217" t="s">
        <v>38</v>
      </c>
      <c r="L217" t="s">
        <v>36</v>
      </c>
      <c r="M217" t="s">
        <v>36</v>
      </c>
      <c r="N217">
        <v>6</v>
      </c>
      <c r="O217" t="s">
        <v>39</v>
      </c>
      <c r="P217">
        <v>90</v>
      </c>
      <c r="Q217" t="s">
        <v>37</v>
      </c>
      <c r="R217" t="s">
        <v>37</v>
      </c>
      <c r="S217" t="s">
        <v>37</v>
      </c>
      <c r="T217" t="s">
        <v>40</v>
      </c>
      <c r="U217">
        <v>5</v>
      </c>
      <c r="V217" t="s">
        <v>40</v>
      </c>
      <c r="W217" t="s">
        <v>42</v>
      </c>
      <c r="X217" t="s">
        <v>37</v>
      </c>
      <c r="Y217" t="s">
        <v>47</v>
      </c>
      <c r="Z217" t="s">
        <v>36</v>
      </c>
      <c r="AA217">
        <v>4</v>
      </c>
      <c r="AB217" t="s">
        <v>37</v>
      </c>
      <c r="AC217">
        <v>0</v>
      </c>
      <c r="AD217">
        <v>11</v>
      </c>
      <c r="AE217">
        <v>50000</v>
      </c>
      <c r="AF217" t="str">
        <f>IF(Table1[[#This Row],[What is your current CGPA?]]&gt;=3.5,"High",IF(Table1[[#This Row],[What is your current CGPA?]]&gt;=2.5,"Medium","Low"))</f>
        <v>Low</v>
      </c>
      <c r="AG217" t="str">
        <f>IF(AND(Table1[[#This Row],[Average attendance on class]]&lt;75,Table1[[#This Row],[How many hour do you study daily?]]&lt;1),"At Risk","Normal")</f>
        <v>Normal</v>
      </c>
      <c r="AH217">
        <f>(Table1[[#This Row],[Average attendance on class]]*0.4)+(Table1[[#This Row],[How many hour do you study daily?]]*10*0.3)+(Table1[[#This Row],[How many hour do you spent daily on your skill development?]]*10*0.3)</f>
        <v>66</v>
      </c>
    </row>
    <row r="218" spans="1:34" x14ac:dyDescent="0.25">
      <c r="A218">
        <v>2022</v>
      </c>
      <c r="B218" t="s">
        <v>34</v>
      </c>
      <c r="C218">
        <v>20</v>
      </c>
      <c r="D218">
        <v>2020</v>
      </c>
      <c r="E218" t="s">
        <v>35</v>
      </c>
      <c r="F218">
        <v>1</v>
      </c>
      <c r="G218" t="s">
        <v>36</v>
      </c>
      <c r="H218" t="s">
        <v>36</v>
      </c>
      <c r="I218">
        <v>2</v>
      </c>
      <c r="J218">
        <v>7</v>
      </c>
      <c r="K218" t="s">
        <v>38</v>
      </c>
      <c r="L218" t="s">
        <v>36</v>
      </c>
      <c r="M218" t="s">
        <v>36</v>
      </c>
      <c r="N218">
        <v>6</v>
      </c>
      <c r="O218" t="s">
        <v>45</v>
      </c>
      <c r="P218">
        <v>100</v>
      </c>
      <c r="Q218" t="s">
        <v>36</v>
      </c>
      <c r="R218" t="s">
        <v>37</v>
      </c>
      <c r="S218" t="s">
        <v>37</v>
      </c>
      <c r="T218" t="s">
        <v>40</v>
      </c>
      <c r="U218">
        <v>4</v>
      </c>
      <c r="V218" t="s">
        <v>40</v>
      </c>
      <c r="W218" t="s">
        <v>42</v>
      </c>
      <c r="X218" t="s">
        <v>37</v>
      </c>
      <c r="Y218" t="s">
        <v>47</v>
      </c>
      <c r="Z218" t="s">
        <v>37</v>
      </c>
      <c r="AA218">
        <v>4</v>
      </c>
      <c r="AB218" t="s">
        <v>37</v>
      </c>
      <c r="AC218">
        <v>4</v>
      </c>
      <c r="AD218">
        <v>14</v>
      </c>
      <c r="AE218">
        <v>62488</v>
      </c>
      <c r="AF218" t="str">
        <f>IF(Table1[[#This Row],[What is your current CGPA?]]&gt;=3.5,"High",IF(Table1[[#This Row],[What is your current CGPA?]]&gt;=2.5,"Medium","Low"))</f>
        <v>High</v>
      </c>
      <c r="AG218" t="str">
        <f>IF(AND(Table1[[#This Row],[Average attendance on class]]&lt;75,Table1[[#This Row],[How many hour do you study daily?]]&lt;1),"At Risk","Normal")</f>
        <v>Normal</v>
      </c>
      <c r="AH218">
        <f>(Table1[[#This Row],[Average attendance on class]]*0.4)+(Table1[[#This Row],[How many hour do you study daily?]]*10*0.3)+(Table1[[#This Row],[How many hour do you spent daily on your skill development?]]*10*0.3)</f>
        <v>58</v>
      </c>
    </row>
    <row r="219" spans="1:34" x14ac:dyDescent="0.25">
      <c r="A219">
        <v>2019</v>
      </c>
      <c r="B219" t="s">
        <v>34</v>
      </c>
      <c r="C219">
        <v>23</v>
      </c>
      <c r="D219">
        <v>2017</v>
      </c>
      <c r="E219" t="s">
        <v>35</v>
      </c>
      <c r="F219">
        <v>9</v>
      </c>
      <c r="G219" t="s">
        <v>36</v>
      </c>
      <c r="H219" t="s">
        <v>36</v>
      </c>
      <c r="I219">
        <v>4</v>
      </c>
      <c r="J219">
        <v>2</v>
      </c>
      <c r="K219" t="s">
        <v>38</v>
      </c>
      <c r="L219" t="s">
        <v>36</v>
      </c>
      <c r="M219" t="s">
        <v>36</v>
      </c>
      <c r="N219">
        <v>6</v>
      </c>
      <c r="O219" t="s">
        <v>39</v>
      </c>
      <c r="P219">
        <v>90</v>
      </c>
      <c r="Q219" t="s">
        <v>37</v>
      </c>
      <c r="R219" t="s">
        <v>37</v>
      </c>
      <c r="S219" t="s">
        <v>37</v>
      </c>
      <c r="T219" t="s">
        <v>40</v>
      </c>
      <c r="U219">
        <v>1</v>
      </c>
      <c r="V219" t="s">
        <v>52</v>
      </c>
      <c r="W219" t="s">
        <v>42</v>
      </c>
      <c r="X219" t="s">
        <v>37</v>
      </c>
      <c r="Y219" t="s">
        <v>43</v>
      </c>
      <c r="Z219" t="s">
        <v>37</v>
      </c>
      <c r="AA219">
        <v>3.7</v>
      </c>
      <c r="AB219" t="s">
        <v>37</v>
      </c>
      <c r="AC219">
        <v>3.5</v>
      </c>
      <c r="AD219">
        <v>89</v>
      </c>
      <c r="AE219">
        <v>50000</v>
      </c>
      <c r="AF219" t="str">
        <f>IF(Table1[[#This Row],[What is your current CGPA?]]&gt;=3.5,"High",IF(Table1[[#This Row],[What is your current CGPA?]]&gt;=2.5,"Medium","Low"))</f>
        <v>High</v>
      </c>
      <c r="AG219" t="str">
        <f>IF(AND(Table1[[#This Row],[Average attendance on class]]&lt;75,Table1[[#This Row],[How many hour do you study daily?]]&lt;1),"At Risk","Normal")</f>
        <v>Normal</v>
      </c>
      <c r="AH219">
        <f>(Table1[[#This Row],[Average attendance on class]]*0.4)+(Table1[[#This Row],[How many hour do you study daily?]]*10*0.3)+(Table1[[#This Row],[How many hour do you spent daily on your skill development?]]*10*0.3)</f>
        <v>51</v>
      </c>
    </row>
    <row r="220" spans="1:34" x14ac:dyDescent="0.25">
      <c r="A220">
        <v>2022</v>
      </c>
      <c r="B220" t="s">
        <v>34</v>
      </c>
      <c r="C220">
        <v>20</v>
      </c>
      <c r="D220">
        <v>2020</v>
      </c>
      <c r="E220" t="s">
        <v>35</v>
      </c>
      <c r="F220">
        <v>1</v>
      </c>
      <c r="G220" t="s">
        <v>36</v>
      </c>
      <c r="H220" t="s">
        <v>36</v>
      </c>
      <c r="I220">
        <v>3</v>
      </c>
      <c r="J220">
        <v>1</v>
      </c>
      <c r="K220" t="s">
        <v>38</v>
      </c>
      <c r="L220" t="s">
        <v>36</v>
      </c>
      <c r="M220" t="s">
        <v>37</v>
      </c>
      <c r="N220">
        <v>6</v>
      </c>
      <c r="O220" t="s">
        <v>45</v>
      </c>
      <c r="P220">
        <v>100</v>
      </c>
      <c r="Q220" t="s">
        <v>37</v>
      </c>
      <c r="R220" t="s">
        <v>37</v>
      </c>
      <c r="S220" t="s">
        <v>36</v>
      </c>
      <c r="T220" t="s">
        <v>40</v>
      </c>
      <c r="U220">
        <v>0</v>
      </c>
      <c r="V220" t="s">
        <v>40</v>
      </c>
      <c r="W220" t="s">
        <v>50</v>
      </c>
      <c r="X220" t="s">
        <v>36</v>
      </c>
      <c r="Y220" t="s">
        <v>47</v>
      </c>
      <c r="Z220" t="s">
        <v>37</v>
      </c>
      <c r="AA220">
        <v>0</v>
      </c>
      <c r="AB220" t="s">
        <v>37</v>
      </c>
      <c r="AC220">
        <v>0</v>
      </c>
      <c r="AD220">
        <v>11</v>
      </c>
      <c r="AE220">
        <v>25000</v>
      </c>
      <c r="AF220" t="str">
        <f>IF(Table1[[#This Row],[What is your current CGPA?]]&gt;=3.5,"High",IF(Table1[[#This Row],[What is your current CGPA?]]&gt;=2.5,"Medium","Low"))</f>
        <v>Low</v>
      </c>
      <c r="AG220" t="str">
        <f>IF(AND(Table1[[#This Row],[Average attendance on class]]&lt;75,Table1[[#This Row],[How many hour do you study daily?]]&lt;1),"At Risk","Normal")</f>
        <v>Normal</v>
      </c>
      <c r="AH220">
        <f>(Table1[[#This Row],[Average attendance on class]]*0.4)+(Table1[[#This Row],[How many hour do you study daily?]]*10*0.3)+(Table1[[#This Row],[How many hour do you spent daily on your skill development?]]*10*0.3)</f>
        <v>49</v>
      </c>
    </row>
    <row r="221" spans="1:34" x14ac:dyDescent="0.25">
      <c r="A221">
        <v>2022</v>
      </c>
      <c r="B221" t="s">
        <v>48</v>
      </c>
      <c r="C221">
        <v>21</v>
      </c>
      <c r="D221">
        <v>2019</v>
      </c>
      <c r="E221" t="s">
        <v>35</v>
      </c>
      <c r="F221">
        <v>2</v>
      </c>
      <c r="G221" t="s">
        <v>36</v>
      </c>
      <c r="H221" t="s">
        <v>36</v>
      </c>
      <c r="I221">
        <v>4</v>
      </c>
      <c r="J221">
        <v>3</v>
      </c>
      <c r="K221" t="s">
        <v>38</v>
      </c>
      <c r="L221" t="s">
        <v>36</v>
      </c>
      <c r="M221" t="s">
        <v>36</v>
      </c>
      <c r="N221">
        <v>5</v>
      </c>
      <c r="O221" t="s">
        <v>39</v>
      </c>
      <c r="P221">
        <v>90</v>
      </c>
      <c r="Q221" t="s">
        <v>37</v>
      </c>
      <c r="R221" t="s">
        <v>37</v>
      </c>
      <c r="S221" t="s">
        <v>37</v>
      </c>
      <c r="T221" t="s">
        <v>40</v>
      </c>
      <c r="U221">
        <v>3</v>
      </c>
      <c r="V221" t="s">
        <v>40</v>
      </c>
      <c r="W221" t="s">
        <v>42</v>
      </c>
      <c r="X221" t="s">
        <v>37</v>
      </c>
      <c r="Y221" t="s">
        <v>47</v>
      </c>
      <c r="Z221" t="s">
        <v>37</v>
      </c>
      <c r="AA221">
        <v>3.68</v>
      </c>
      <c r="AB221" t="s">
        <v>37</v>
      </c>
      <c r="AC221">
        <v>0</v>
      </c>
      <c r="AD221">
        <v>11</v>
      </c>
      <c r="AE221">
        <v>25000</v>
      </c>
      <c r="AF221" t="str">
        <f>IF(Table1[[#This Row],[What is your current CGPA?]]&gt;=3.5,"High",IF(Table1[[#This Row],[What is your current CGPA?]]&gt;=2.5,"Medium","Low"))</f>
        <v>Low</v>
      </c>
      <c r="AG221" t="str">
        <f>IF(AND(Table1[[#This Row],[Average attendance on class]]&lt;75,Table1[[#This Row],[How many hour do you study daily?]]&lt;1),"At Risk","Normal")</f>
        <v>Normal</v>
      </c>
      <c r="AH221">
        <f>(Table1[[#This Row],[Average attendance on class]]*0.4)+(Table1[[#This Row],[How many hour do you study daily?]]*10*0.3)+(Table1[[#This Row],[How many hour do you spent daily on your skill development?]]*10*0.3)</f>
        <v>57</v>
      </c>
    </row>
    <row r="222" spans="1:34" x14ac:dyDescent="0.25">
      <c r="A222">
        <v>2022</v>
      </c>
      <c r="B222" t="s">
        <v>34</v>
      </c>
      <c r="C222">
        <v>21</v>
      </c>
      <c r="D222">
        <v>2020</v>
      </c>
      <c r="E222" t="s">
        <v>35</v>
      </c>
      <c r="F222">
        <v>1</v>
      </c>
      <c r="G222" t="s">
        <v>36</v>
      </c>
      <c r="H222" t="s">
        <v>37</v>
      </c>
      <c r="I222">
        <v>5</v>
      </c>
      <c r="J222">
        <v>2</v>
      </c>
      <c r="K222" t="s">
        <v>38</v>
      </c>
      <c r="L222" t="s">
        <v>36</v>
      </c>
      <c r="M222" t="s">
        <v>36</v>
      </c>
      <c r="N222">
        <v>2</v>
      </c>
      <c r="O222" t="s">
        <v>39</v>
      </c>
      <c r="P222">
        <v>95</v>
      </c>
      <c r="Q222" t="s">
        <v>37</v>
      </c>
      <c r="R222" t="s">
        <v>37</v>
      </c>
      <c r="S222" t="s">
        <v>37</v>
      </c>
      <c r="T222" t="s">
        <v>40</v>
      </c>
      <c r="U222">
        <v>2</v>
      </c>
      <c r="V222" t="s">
        <v>40</v>
      </c>
      <c r="W222" t="s">
        <v>42</v>
      </c>
      <c r="X222" t="s">
        <v>37</v>
      </c>
      <c r="Y222" t="s">
        <v>43</v>
      </c>
      <c r="Z222" t="s">
        <v>37</v>
      </c>
      <c r="AA222">
        <v>3.3</v>
      </c>
      <c r="AB222" t="s">
        <v>37</v>
      </c>
      <c r="AC222">
        <v>3.3</v>
      </c>
      <c r="AD222">
        <v>11</v>
      </c>
      <c r="AE222">
        <v>50000</v>
      </c>
      <c r="AF222" t="str">
        <f>IF(Table1[[#This Row],[What is your current CGPA?]]&gt;=3.5,"High",IF(Table1[[#This Row],[What is your current CGPA?]]&gt;=2.5,"Medium","Low"))</f>
        <v>Medium</v>
      </c>
      <c r="AG222" t="str">
        <f>IF(AND(Table1[[#This Row],[Average attendance on class]]&lt;75,Table1[[#This Row],[How many hour do you study daily?]]&lt;1),"At Risk","Normal")</f>
        <v>Normal</v>
      </c>
      <c r="AH222">
        <f>(Table1[[#This Row],[Average attendance on class]]*0.4)+(Table1[[#This Row],[How many hour do you study daily?]]*10*0.3)+(Table1[[#This Row],[How many hour do you spent daily on your skill development?]]*10*0.3)</f>
        <v>59</v>
      </c>
    </row>
    <row r="223" spans="1:34" x14ac:dyDescent="0.25">
      <c r="A223">
        <v>2018</v>
      </c>
      <c r="B223" t="s">
        <v>34</v>
      </c>
      <c r="C223">
        <v>22</v>
      </c>
      <c r="D223">
        <v>2016</v>
      </c>
      <c r="E223" t="s">
        <v>35</v>
      </c>
      <c r="F223">
        <v>12</v>
      </c>
      <c r="G223" t="s">
        <v>37</v>
      </c>
      <c r="H223" t="s">
        <v>37</v>
      </c>
      <c r="I223">
        <v>4</v>
      </c>
      <c r="J223">
        <v>2</v>
      </c>
      <c r="K223" t="s">
        <v>44</v>
      </c>
      <c r="L223" t="s">
        <v>36</v>
      </c>
      <c r="M223" t="s">
        <v>36</v>
      </c>
      <c r="N223">
        <v>2</v>
      </c>
      <c r="O223" t="s">
        <v>39</v>
      </c>
      <c r="P223">
        <v>88</v>
      </c>
      <c r="Q223" t="s">
        <v>37</v>
      </c>
      <c r="R223" t="s">
        <v>37</v>
      </c>
      <c r="S223" t="s">
        <v>36</v>
      </c>
      <c r="T223" t="s">
        <v>61</v>
      </c>
      <c r="U223">
        <v>6</v>
      </c>
      <c r="V223" t="s">
        <v>59</v>
      </c>
      <c r="W223" t="s">
        <v>42</v>
      </c>
      <c r="X223" t="s">
        <v>36</v>
      </c>
      <c r="Y223" t="s">
        <v>43</v>
      </c>
      <c r="Z223" t="s">
        <v>37</v>
      </c>
      <c r="AA223">
        <v>3.85</v>
      </c>
      <c r="AB223" t="s">
        <v>37</v>
      </c>
      <c r="AC223">
        <v>3.1</v>
      </c>
      <c r="AD223">
        <v>115</v>
      </c>
      <c r="AE223">
        <v>62488</v>
      </c>
      <c r="AF223" t="str">
        <f>IF(Table1[[#This Row],[What is your current CGPA?]]&gt;=3.5,"High",IF(Table1[[#This Row],[What is your current CGPA?]]&gt;=2.5,"Medium","Low"))</f>
        <v>Medium</v>
      </c>
      <c r="AG223" t="str">
        <f>IF(AND(Table1[[#This Row],[Average attendance on class]]&lt;75,Table1[[#This Row],[How many hour do you study daily?]]&lt;1),"At Risk","Normal")</f>
        <v>Normal</v>
      </c>
      <c r="AH223">
        <f>(Table1[[#This Row],[Average attendance on class]]*0.4)+(Table1[[#This Row],[How many hour do you study daily?]]*10*0.3)+(Table1[[#This Row],[How many hour do you spent daily on your skill development?]]*10*0.3)</f>
        <v>65.2</v>
      </c>
    </row>
    <row r="224" spans="1:34" x14ac:dyDescent="0.25">
      <c r="A224">
        <v>2019</v>
      </c>
      <c r="B224" t="s">
        <v>34</v>
      </c>
      <c r="C224">
        <v>21</v>
      </c>
      <c r="D224">
        <v>2018</v>
      </c>
      <c r="E224" t="s">
        <v>35</v>
      </c>
      <c r="F224">
        <v>11</v>
      </c>
      <c r="G224" t="s">
        <v>36</v>
      </c>
      <c r="H224" t="s">
        <v>37</v>
      </c>
      <c r="I224">
        <v>2</v>
      </c>
      <c r="J224">
        <v>2</v>
      </c>
      <c r="K224" t="s">
        <v>44</v>
      </c>
      <c r="L224" t="s">
        <v>36</v>
      </c>
      <c r="M224" t="s">
        <v>36</v>
      </c>
      <c r="N224">
        <v>3</v>
      </c>
      <c r="O224" t="s">
        <v>39</v>
      </c>
      <c r="P224">
        <v>90</v>
      </c>
      <c r="Q224" t="s">
        <v>37</v>
      </c>
      <c r="R224" t="s">
        <v>37</v>
      </c>
      <c r="S224" t="s">
        <v>36</v>
      </c>
      <c r="T224" t="s">
        <v>40</v>
      </c>
      <c r="U224">
        <v>5</v>
      </c>
      <c r="V224" t="s">
        <v>40</v>
      </c>
      <c r="W224" t="s">
        <v>42</v>
      </c>
      <c r="X224" t="s">
        <v>37</v>
      </c>
      <c r="Y224" t="s">
        <v>43</v>
      </c>
      <c r="Z224" t="s">
        <v>37</v>
      </c>
      <c r="AA224">
        <v>4</v>
      </c>
      <c r="AB224" t="s">
        <v>37</v>
      </c>
      <c r="AC224">
        <v>3.78</v>
      </c>
      <c r="AD224">
        <v>120</v>
      </c>
      <c r="AE224">
        <v>50000</v>
      </c>
      <c r="AF224" t="str">
        <f>IF(Table1[[#This Row],[What is your current CGPA?]]&gt;=3.5,"High",IF(Table1[[#This Row],[What is your current CGPA?]]&gt;=2.5,"Medium","Low"))</f>
        <v>High</v>
      </c>
      <c r="AG224" t="str">
        <f>IF(AND(Table1[[#This Row],[Average attendance on class]]&lt;75,Table1[[#This Row],[How many hour do you study daily?]]&lt;1),"At Risk","Normal")</f>
        <v>Normal</v>
      </c>
      <c r="AH224">
        <f>(Table1[[#This Row],[Average attendance on class]]*0.4)+(Table1[[#This Row],[How many hour do you study daily?]]*10*0.3)+(Table1[[#This Row],[How many hour do you spent daily on your skill development?]]*10*0.3)</f>
        <v>57</v>
      </c>
    </row>
    <row r="225" spans="1:34" x14ac:dyDescent="0.25">
      <c r="A225">
        <v>2018</v>
      </c>
      <c r="B225" t="s">
        <v>48</v>
      </c>
      <c r="C225">
        <v>24</v>
      </c>
      <c r="D225">
        <v>2018</v>
      </c>
      <c r="E225" t="s">
        <v>35</v>
      </c>
      <c r="F225">
        <v>12</v>
      </c>
      <c r="G225" t="s">
        <v>37</v>
      </c>
      <c r="H225" t="s">
        <v>37</v>
      </c>
      <c r="I225">
        <v>4</v>
      </c>
      <c r="J225">
        <v>2</v>
      </c>
      <c r="K225" t="s">
        <v>38</v>
      </c>
      <c r="L225" t="s">
        <v>36</v>
      </c>
      <c r="M225" t="s">
        <v>36</v>
      </c>
      <c r="N225">
        <v>1</v>
      </c>
      <c r="O225" t="s">
        <v>39</v>
      </c>
      <c r="P225">
        <v>97</v>
      </c>
      <c r="Q225" t="s">
        <v>37</v>
      </c>
      <c r="R225" t="s">
        <v>37</v>
      </c>
      <c r="S225" t="s">
        <v>37</v>
      </c>
      <c r="T225" t="s">
        <v>40</v>
      </c>
      <c r="U225">
        <v>2</v>
      </c>
      <c r="V225" t="s">
        <v>52</v>
      </c>
      <c r="W225" t="s">
        <v>42</v>
      </c>
      <c r="X225" t="s">
        <v>36</v>
      </c>
      <c r="Y225" t="s">
        <v>47</v>
      </c>
      <c r="Z225" t="s">
        <v>37</v>
      </c>
      <c r="AA225">
        <v>2.98</v>
      </c>
      <c r="AB225" t="s">
        <v>37</v>
      </c>
      <c r="AC225">
        <v>2.91</v>
      </c>
      <c r="AD225">
        <v>136</v>
      </c>
      <c r="AE225">
        <v>20000</v>
      </c>
      <c r="AF225" t="str">
        <f>IF(Table1[[#This Row],[What is your current CGPA?]]&gt;=3.5,"High",IF(Table1[[#This Row],[What is your current CGPA?]]&gt;=2.5,"Medium","Low"))</f>
        <v>Medium</v>
      </c>
      <c r="AG225" t="str">
        <f>IF(AND(Table1[[#This Row],[Average attendance on class]]&lt;75,Table1[[#This Row],[How many hour do you study daily?]]&lt;1),"At Risk","Normal")</f>
        <v>Normal</v>
      </c>
      <c r="AH225">
        <f>(Table1[[#This Row],[Average attendance on class]]*0.4)+(Table1[[#This Row],[How many hour do you study daily?]]*10*0.3)+(Table1[[#This Row],[How many hour do you spent daily on your skill development?]]*10*0.3)</f>
        <v>56.800000000000004</v>
      </c>
    </row>
    <row r="226" spans="1:34" x14ac:dyDescent="0.25">
      <c r="A226">
        <v>2020</v>
      </c>
      <c r="B226" t="s">
        <v>48</v>
      </c>
      <c r="C226">
        <v>22</v>
      </c>
      <c r="D226">
        <v>2018</v>
      </c>
      <c r="E226" t="s">
        <v>35</v>
      </c>
      <c r="F226">
        <v>8</v>
      </c>
      <c r="G226" t="s">
        <v>36</v>
      </c>
      <c r="H226" t="s">
        <v>36</v>
      </c>
      <c r="I226">
        <v>5</v>
      </c>
      <c r="J226">
        <v>3</v>
      </c>
      <c r="K226" t="s">
        <v>38</v>
      </c>
      <c r="L226" t="s">
        <v>36</v>
      </c>
      <c r="M226" t="s">
        <v>36</v>
      </c>
      <c r="N226">
        <v>15</v>
      </c>
      <c r="O226" t="s">
        <v>53</v>
      </c>
      <c r="P226">
        <v>100</v>
      </c>
      <c r="Q226" t="s">
        <v>37</v>
      </c>
      <c r="R226" t="s">
        <v>37</v>
      </c>
      <c r="S226" t="s">
        <v>37</v>
      </c>
      <c r="T226" t="s">
        <v>40</v>
      </c>
      <c r="U226">
        <v>4</v>
      </c>
      <c r="V226" t="s">
        <v>59</v>
      </c>
      <c r="W226" t="s">
        <v>42</v>
      </c>
      <c r="X226" t="s">
        <v>36</v>
      </c>
      <c r="Y226" t="s">
        <v>47</v>
      </c>
      <c r="Z226" t="s">
        <v>37</v>
      </c>
      <c r="AA226">
        <v>3.64</v>
      </c>
      <c r="AB226" t="s">
        <v>37</v>
      </c>
      <c r="AC226">
        <v>3.75</v>
      </c>
      <c r="AD226">
        <v>88</v>
      </c>
      <c r="AE226">
        <v>34000</v>
      </c>
      <c r="AF226" t="str">
        <f>IF(Table1[[#This Row],[What is your current CGPA?]]&gt;=3.5,"High",IF(Table1[[#This Row],[What is your current CGPA?]]&gt;=2.5,"Medium","Low"))</f>
        <v>High</v>
      </c>
      <c r="AG226" t="str">
        <f>IF(AND(Table1[[#This Row],[Average attendance on class]]&lt;75,Table1[[#This Row],[How many hour do you study daily?]]&lt;1),"At Risk","Normal")</f>
        <v>Normal</v>
      </c>
      <c r="AH226">
        <f>(Table1[[#This Row],[Average attendance on class]]*0.4)+(Table1[[#This Row],[How many hour do you study daily?]]*10*0.3)+(Table1[[#This Row],[How many hour do you spent daily on your skill development?]]*10*0.3)</f>
        <v>67</v>
      </c>
    </row>
    <row r="227" spans="1:34" x14ac:dyDescent="0.25">
      <c r="A227">
        <v>2022</v>
      </c>
      <c r="B227" t="s">
        <v>48</v>
      </c>
      <c r="C227">
        <v>19</v>
      </c>
      <c r="D227">
        <v>2020</v>
      </c>
      <c r="E227" t="s">
        <v>35</v>
      </c>
      <c r="F227">
        <v>2</v>
      </c>
      <c r="G227" t="s">
        <v>36</v>
      </c>
      <c r="H227" t="s">
        <v>37</v>
      </c>
      <c r="I227">
        <v>6</v>
      </c>
      <c r="J227">
        <v>5</v>
      </c>
      <c r="K227" t="s">
        <v>38</v>
      </c>
      <c r="L227" t="s">
        <v>36</v>
      </c>
      <c r="M227" t="s">
        <v>36</v>
      </c>
      <c r="N227">
        <v>1</v>
      </c>
      <c r="O227" t="s">
        <v>39</v>
      </c>
      <c r="P227">
        <v>95</v>
      </c>
      <c r="Q227" t="s">
        <v>37</v>
      </c>
      <c r="R227" t="s">
        <v>37</v>
      </c>
      <c r="S227" t="s">
        <v>37</v>
      </c>
      <c r="T227" t="s">
        <v>40</v>
      </c>
      <c r="U227">
        <v>2</v>
      </c>
      <c r="V227" t="s">
        <v>40</v>
      </c>
      <c r="W227" t="s">
        <v>42</v>
      </c>
      <c r="X227" t="s">
        <v>37</v>
      </c>
      <c r="Y227" t="s">
        <v>43</v>
      </c>
      <c r="Z227" t="s">
        <v>37</v>
      </c>
      <c r="AA227">
        <v>3.56</v>
      </c>
      <c r="AB227" t="s">
        <v>37</v>
      </c>
      <c r="AC227">
        <v>3.58</v>
      </c>
      <c r="AD227">
        <v>11</v>
      </c>
      <c r="AE227">
        <v>10000</v>
      </c>
      <c r="AF227" t="str">
        <f>IF(Table1[[#This Row],[What is your current CGPA?]]&gt;=3.5,"High",IF(Table1[[#This Row],[What is your current CGPA?]]&gt;=2.5,"Medium","Low"))</f>
        <v>High</v>
      </c>
      <c r="AG227" t="str">
        <f>IF(AND(Table1[[#This Row],[Average attendance on class]]&lt;75,Table1[[#This Row],[How many hour do you study daily?]]&lt;1),"At Risk","Normal")</f>
        <v>Normal</v>
      </c>
      <c r="AH227">
        <f>(Table1[[#This Row],[Average attendance on class]]*0.4)+(Table1[[#This Row],[How many hour do you study daily?]]*10*0.3)+(Table1[[#This Row],[How many hour do you spent daily on your skill development?]]*10*0.3)</f>
        <v>62</v>
      </c>
    </row>
    <row r="228" spans="1:34" x14ac:dyDescent="0.25">
      <c r="A228">
        <v>2019</v>
      </c>
      <c r="B228" t="s">
        <v>34</v>
      </c>
      <c r="C228">
        <v>23</v>
      </c>
      <c r="D228">
        <v>2018</v>
      </c>
      <c r="E228" t="s">
        <v>35</v>
      </c>
      <c r="F228">
        <v>11</v>
      </c>
      <c r="G228" t="s">
        <v>37</v>
      </c>
      <c r="H228" t="s">
        <v>36</v>
      </c>
      <c r="I228">
        <v>1</v>
      </c>
      <c r="J228">
        <v>1</v>
      </c>
      <c r="K228" t="s">
        <v>38</v>
      </c>
      <c r="L228" t="s">
        <v>36</v>
      </c>
      <c r="M228" t="s">
        <v>36</v>
      </c>
      <c r="N228">
        <v>2</v>
      </c>
      <c r="O228" t="s">
        <v>53</v>
      </c>
      <c r="P228">
        <v>65</v>
      </c>
      <c r="Q228" t="s">
        <v>37</v>
      </c>
      <c r="R228" t="s">
        <v>37</v>
      </c>
      <c r="S228" t="s">
        <v>36</v>
      </c>
      <c r="T228" t="s">
        <v>69</v>
      </c>
      <c r="U228">
        <v>1</v>
      </c>
      <c r="V228" t="s">
        <v>59</v>
      </c>
      <c r="W228" t="s">
        <v>50</v>
      </c>
      <c r="X228" t="s">
        <v>37</v>
      </c>
      <c r="Y228" t="s">
        <v>47</v>
      </c>
      <c r="Z228" t="s">
        <v>37</v>
      </c>
      <c r="AA228">
        <v>1.68</v>
      </c>
      <c r="AB228" t="s">
        <v>37</v>
      </c>
      <c r="AC228">
        <v>3.1</v>
      </c>
      <c r="AD228">
        <v>120</v>
      </c>
      <c r="AE228">
        <v>30000</v>
      </c>
      <c r="AF228" t="str">
        <f>IF(Table1[[#This Row],[What is your current CGPA?]]&gt;=3.5,"High",IF(Table1[[#This Row],[What is your current CGPA?]]&gt;=2.5,"Medium","Low"))</f>
        <v>Medium</v>
      </c>
      <c r="AG228" t="str">
        <f>IF(AND(Table1[[#This Row],[Average attendance on class]]&lt;75,Table1[[#This Row],[How many hour do you study daily?]]&lt;1),"At Risk","Normal")</f>
        <v>Normal</v>
      </c>
      <c r="AH228">
        <f>(Table1[[#This Row],[Average attendance on class]]*0.4)+(Table1[[#This Row],[How many hour do you study daily?]]*10*0.3)+(Table1[[#This Row],[How many hour do you spent daily on your skill development?]]*10*0.3)</f>
        <v>32</v>
      </c>
    </row>
    <row r="229" spans="1:34" x14ac:dyDescent="0.25">
      <c r="A229">
        <v>2022</v>
      </c>
      <c r="B229" t="s">
        <v>34</v>
      </c>
      <c r="C229">
        <v>20</v>
      </c>
      <c r="D229">
        <v>2020</v>
      </c>
      <c r="E229" t="s">
        <v>35</v>
      </c>
      <c r="F229">
        <v>2</v>
      </c>
      <c r="G229" t="s">
        <v>37</v>
      </c>
      <c r="H229" t="s">
        <v>36</v>
      </c>
      <c r="I229">
        <v>3</v>
      </c>
      <c r="J229">
        <v>3</v>
      </c>
      <c r="K229" t="s">
        <v>44</v>
      </c>
      <c r="L229" t="s">
        <v>36</v>
      </c>
      <c r="M229" t="s">
        <v>36</v>
      </c>
      <c r="N229">
        <v>5</v>
      </c>
      <c r="O229" t="s">
        <v>45</v>
      </c>
      <c r="P229">
        <v>80</v>
      </c>
      <c r="Q229" t="s">
        <v>37</v>
      </c>
      <c r="R229" t="s">
        <v>37</v>
      </c>
      <c r="S229" t="s">
        <v>37</v>
      </c>
      <c r="T229" t="s">
        <v>40</v>
      </c>
      <c r="U229">
        <v>2</v>
      </c>
      <c r="V229" t="s">
        <v>51</v>
      </c>
      <c r="W229" t="s">
        <v>42</v>
      </c>
      <c r="X229" t="s">
        <v>37</v>
      </c>
      <c r="Y229" t="s">
        <v>43</v>
      </c>
      <c r="Z229" t="s">
        <v>37</v>
      </c>
      <c r="AA229">
        <v>2.54</v>
      </c>
      <c r="AB229" t="s">
        <v>37</v>
      </c>
      <c r="AC229">
        <v>2.54</v>
      </c>
      <c r="AD229">
        <v>11</v>
      </c>
      <c r="AE229">
        <v>40000</v>
      </c>
      <c r="AF229" t="str">
        <f>IF(Table1[[#This Row],[What is your current CGPA?]]&gt;=3.5,"High",IF(Table1[[#This Row],[What is your current CGPA?]]&gt;=2.5,"Medium","Low"))</f>
        <v>Medium</v>
      </c>
      <c r="AG229" t="str">
        <f>IF(AND(Table1[[#This Row],[Average attendance on class]]&lt;75,Table1[[#This Row],[How many hour do you study daily?]]&lt;1),"At Risk","Normal")</f>
        <v>Normal</v>
      </c>
      <c r="AH229">
        <f>(Table1[[#This Row],[Average attendance on class]]*0.4)+(Table1[[#This Row],[How many hour do you study daily?]]*10*0.3)+(Table1[[#This Row],[How many hour do you spent daily on your skill development?]]*10*0.3)</f>
        <v>47</v>
      </c>
    </row>
    <row r="230" spans="1:34" x14ac:dyDescent="0.25">
      <c r="A230">
        <v>2022</v>
      </c>
      <c r="B230" t="s">
        <v>34</v>
      </c>
      <c r="C230">
        <v>20</v>
      </c>
      <c r="D230">
        <v>2020</v>
      </c>
      <c r="E230" t="s">
        <v>35</v>
      </c>
      <c r="F230">
        <v>2</v>
      </c>
      <c r="G230" t="s">
        <v>37</v>
      </c>
      <c r="H230" t="s">
        <v>37</v>
      </c>
      <c r="I230">
        <v>7</v>
      </c>
      <c r="J230">
        <v>3</v>
      </c>
      <c r="K230" t="s">
        <v>38</v>
      </c>
      <c r="L230" t="s">
        <v>36</v>
      </c>
      <c r="M230" t="s">
        <v>36</v>
      </c>
      <c r="N230">
        <v>1</v>
      </c>
      <c r="O230" t="s">
        <v>45</v>
      </c>
      <c r="P230">
        <v>95</v>
      </c>
      <c r="Q230" t="s">
        <v>37</v>
      </c>
      <c r="R230" t="s">
        <v>37</v>
      </c>
      <c r="S230" t="s">
        <v>37</v>
      </c>
      <c r="T230" t="s">
        <v>40</v>
      </c>
      <c r="U230">
        <v>1</v>
      </c>
      <c r="V230" t="s">
        <v>40</v>
      </c>
      <c r="W230" t="s">
        <v>42</v>
      </c>
      <c r="X230" t="s">
        <v>37</v>
      </c>
      <c r="Y230" t="s">
        <v>43</v>
      </c>
      <c r="Z230" t="s">
        <v>37</v>
      </c>
      <c r="AA230">
        <v>3.9</v>
      </c>
      <c r="AB230" t="s">
        <v>37</v>
      </c>
      <c r="AC230">
        <v>3.9</v>
      </c>
      <c r="AD230">
        <v>11</v>
      </c>
      <c r="AE230">
        <v>50000</v>
      </c>
      <c r="AF230" t="str">
        <f>IF(Table1[[#This Row],[What is your current CGPA?]]&gt;=3.5,"High",IF(Table1[[#This Row],[What is your current CGPA?]]&gt;=2.5,"Medium","Low"))</f>
        <v>High</v>
      </c>
      <c r="AG230" t="str">
        <f>IF(AND(Table1[[#This Row],[Average attendance on class]]&lt;75,Table1[[#This Row],[How many hour do you study daily?]]&lt;1),"At Risk","Normal")</f>
        <v>Normal</v>
      </c>
      <c r="AH230">
        <f>(Table1[[#This Row],[Average attendance on class]]*0.4)+(Table1[[#This Row],[How many hour do you study daily?]]*10*0.3)+(Table1[[#This Row],[How many hour do you spent daily on your skill development?]]*10*0.3)</f>
        <v>62</v>
      </c>
    </row>
    <row r="231" spans="1:34" x14ac:dyDescent="0.25">
      <c r="A231">
        <v>2019</v>
      </c>
      <c r="B231" t="s">
        <v>48</v>
      </c>
      <c r="C231">
        <v>22</v>
      </c>
      <c r="D231">
        <v>2019</v>
      </c>
      <c r="E231" t="s">
        <v>35</v>
      </c>
      <c r="F231">
        <v>9</v>
      </c>
      <c r="G231" t="s">
        <v>36</v>
      </c>
      <c r="H231" t="s">
        <v>36</v>
      </c>
      <c r="I231">
        <v>6</v>
      </c>
      <c r="J231">
        <v>3</v>
      </c>
      <c r="K231" t="s">
        <v>38</v>
      </c>
      <c r="L231" t="s">
        <v>36</v>
      </c>
      <c r="M231" t="s">
        <v>36</v>
      </c>
      <c r="N231">
        <v>3</v>
      </c>
      <c r="O231" t="s">
        <v>45</v>
      </c>
      <c r="P231">
        <v>90</v>
      </c>
      <c r="Q231" t="s">
        <v>37</v>
      </c>
      <c r="R231" t="s">
        <v>37</v>
      </c>
      <c r="S231" t="s">
        <v>36</v>
      </c>
      <c r="T231" t="s">
        <v>51</v>
      </c>
      <c r="U231">
        <v>1</v>
      </c>
      <c r="V231" t="s">
        <v>51</v>
      </c>
      <c r="W231" t="s">
        <v>42</v>
      </c>
      <c r="X231" t="s">
        <v>37</v>
      </c>
      <c r="Y231" t="s">
        <v>47</v>
      </c>
      <c r="Z231" t="s">
        <v>37</v>
      </c>
      <c r="AA231">
        <v>3.84</v>
      </c>
      <c r="AB231" t="s">
        <v>37</v>
      </c>
      <c r="AC231">
        <v>3.77</v>
      </c>
      <c r="AD231">
        <v>99</v>
      </c>
      <c r="AE231">
        <v>60000</v>
      </c>
      <c r="AF231" t="str">
        <f>IF(Table1[[#This Row],[What is your current CGPA?]]&gt;=3.5,"High",IF(Table1[[#This Row],[What is your current CGPA?]]&gt;=2.5,"Medium","Low"))</f>
        <v>High</v>
      </c>
      <c r="AG231" t="str">
        <f>IF(AND(Table1[[#This Row],[Average attendance on class]]&lt;75,Table1[[#This Row],[How many hour do you study daily?]]&lt;1),"At Risk","Normal")</f>
        <v>Normal</v>
      </c>
      <c r="AH231">
        <f>(Table1[[#This Row],[Average attendance on class]]*0.4)+(Table1[[#This Row],[How many hour do you study daily?]]*10*0.3)+(Table1[[#This Row],[How many hour do you spent daily on your skill development?]]*10*0.3)</f>
        <v>57</v>
      </c>
    </row>
    <row r="232" spans="1:34" x14ac:dyDescent="0.25">
      <c r="A232">
        <v>2019</v>
      </c>
      <c r="B232" t="s">
        <v>34</v>
      </c>
      <c r="C232">
        <v>22</v>
      </c>
      <c r="D232">
        <v>2018</v>
      </c>
      <c r="E232" t="s">
        <v>35</v>
      </c>
      <c r="F232">
        <v>10</v>
      </c>
      <c r="G232" t="s">
        <v>36</v>
      </c>
      <c r="H232" t="s">
        <v>36</v>
      </c>
      <c r="I232">
        <v>1</v>
      </c>
      <c r="J232">
        <v>2</v>
      </c>
      <c r="K232" t="s">
        <v>38</v>
      </c>
      <c r="L232" t="s">
        <v>36</v>
      </c>
      <c r="M232" t="s">
        <v>36</v>
      </c>
      <c r="N232">
        <v>1</v>
      </c>
      <c r="O232" t="s">
        <v>39</v>
      </c>
      <c r="P232">
        <v>70</v>
      </c>
      <c r="Q232" t="s">
        <v>37</v>
      </c>
      <c r="R232" t="s">
        <v>37</v>
      </c>
      <c r="S232" t="s">
        <v>36</v>
      </c>
      <c r="T232" t="s">
        <v>40</v>
      </c>
      <c r="U232">
        <v>6</v>
      </c>
      <c r="V232" t="s">
        <v>40</v>
      </c>
      <c r="W232" t="s">
        <v>42</v>
      </c>
      <c r="X232" t="s">
        <v>36</v>
      </c>
      <c r="Y232" t="s">
        <v>43</v>
      </c>
      <c r="Z232" t="s">
        <v>36</v>
      </c>
      <c r="AA232">
        <v>3.68</v>
      </c>
      <c r="AB232" t="s">
        <v>37</v>
      </c>
      <c r="AC232">
        <v>3.39</v>
      </c>
      <c r="AD232">
        <v>117</v>
      </c>
      <c r="AE232">
        <v>16000</v>
      </c>
      <c r="AF232" t="str">
        <f>IF(Table1[[#This Row],[What is your current CGPA?]]&gt;=3.5,"High",IF(Table1[[#This Row],[What is your current CGPA?]]&gt;=2.5,"Medium","Low"))</f>
        <v>Medium</v>
      </c>
      <c r="AG232" t="str">
        <f>IF(AND(Table1[[#This Row],[Average attendance on class]]&lt;75,Table1[[#This Row],[How many hour do you study daily?]]&lt;1),"At Risk","Normal")</f>
        <v>Normal</v>
      </c>
      <c r="AH232">
        <f>(Table1[[#This Row],[Average attendance on class]]*0.4)+(Table1[[#This Row],[How many hour do you study daily?]]*10*0.3)+(Table1[[#This Row],[How many hour do you spent daily on your skill development?]]*10*0.3)</f>
        <v>49</v>
      </c>
    </row>
    <row r="233" spans="1:34" x14ac:dyDescent="0.25">
      <c r="A233">
        <v>2018</v>
      </c>
      <c r="B233" t="s">
        <v>48</v>
      </c>
      <c r="C233">
        <v>23</v>
      </c>
      <c r="D233">
        <v>2016</v>
      </c>
      <c r="E233" t="s">
        <v>35</v>
      </c>
      <c r="F233">
        <v>9</v>
      </c>
      <c r="G233" t="s">
        <v>36</v>
      </c>
      <c r="H233" t="s">
        <v>36</v>
      </c>
      <c r="I233">
        <v>2</v>
      </c>
      <c r="J233">
        <v>1</v>
      </c>
      <c r="K233" t="s">
        <v>38</v>
      </c>
      <c r="L233" t="s">
        <v>36</v>
      </c>
      <c r="M233" t="s">
        <v>36</v>
      </c>
      <c r="N233">
        <v>2</v>
      </c>
      <c r="O233" t="s">
        <v>53</v>
      </c>
      <c r="P233">
        <v>95</v>
      </c>
      <c r="Q233" t="s">
        <v>37</v>
      </c>
      <c r="R233" t="s">
        <v>37</v>
      </c>
      <c r="S233" t="s">
        <v>37</v>
      </c>
      <c r="T233" t="s">
        <v>40</v>
      </c>
      <c r="U233">
        <v>2</v>
      </c>
      <c r="V233" t="s">
        <v>52</v>
      </c>
      <c r="W233" t="s">
        <v>42</v>
      </c>
      <c r="X233" t="s">
        <v>37</v>
      </c>
      <c r="Y233" t="s">
        <v>47</v>
      </c>
      <c r="Z233" t="s">
        <v>37</v>
      </c>
      <c r="AA233">
        <v>3.14</v>
      </c>
      <c r="AB233" t="s">
        <v>37</v>
      </c>
      <c r="AC233">
        <v>3.14</v>
      </c>
      <c r="AD233">
        <v>101</v>
      </c>
      <c r="AE233">
        <v>40000</v>
      </c>
      <c r="AF233" t="str">
        <f>IF(Table1[[#This Row],[What is your current CGPA?]]&gt;=3.5,"High",IF(Table1[[#This Row],[What is your current CGPA?]]&gt;=2.5,"Medium","Low"))</f>
        <v>Medium</v>
      </c>
      <c r="AG233" t="str">
        <f>IF(AND(Table1[[#This Row],[Average attendance on class]]&lt;75,Table1[[#This Row],[How many hour do you study daily?]]&lt;1),"At Risk","Normal")</f>
        <v>Normal</v>
      </c>
      <c r="AH233">
        <f>(Table1[[#This Row],[Average attendance on class]]*0.4)+(Table1[[#This Row],[How many hour do you study daily?]]*10*0.3)+(Table1[[#This Row],[How many hour do you spent daily on your skill development?]]*10*0.3)</f>
        <v>50</v>
      </c>
    </row>
    <row r="234" spans="1:34" x14ac:dyDescent="0.25">
      <c r="A234">
        <v>2019</v>
      </c>
      <c r="B234" t="s">
        <v>34</v>
      </c>
      <c r="C234">
        <v>23</v>
      </c>
      <c r="D234">
        <v>2018</v>
      </c>
      <c r="E234" t="s">
        <v>35</v>
      </c>
      <c r="F234">
        <v>11</v>
      </c>
      <c r="G234" t="s">
        <v>37</v>
      </c>
      <c r="H234" t="s">
        <v>37</v>
      </c>
      <c r="I234">
        <v>4</v>
      </c>
      <c r="J234">
        <v>2</v>
      </c>
      <c r="K234" t="s">
        <v>38</v>
      </c>
      <c r="L234" t="s">
        <v>36</v>
      </c>
      <c r="M234" t="s">
        <v>36</v>
      </c>
      <c r="N234">
        <v>4</v>
      </c>
      <c r="O234" t="s">
        <v>39</v>
      </c>
      <c r="P234">
        <v>95</v>
      </c>
      <c r="Q234" t="s">
        <v>37</v>
      </c>
      <c r="R234" t="s">
        <v>37</v>
      </c>
      <c r="S234" t="s">
        <v>36</v>
      </c>
      <c r="T234" t="s">
        <v>40</v>
      </c>
      <c r="U234">
        <v>1</v>
      </c>
      <c r="V234" t="s">
        <v>51</v>
      </c>
      <c r="W234" t="s">
        <v>42</v>
      </c>
      <c r="X234" t="s">
        <v>37</v>
      </c>
      <c r="Y234" t="s">
        <v>43</v>
      </c>
      <c r="Z234" t="s">
        <v>37</v>
      </c>
      <c r="AA234">
        <v>3.69</v>
      </c>
      <c r="AB234" t="s">
        <v>37</v>
      </c>
      <c r="AC234">
        <v>3.23</v>
      </c>
      <c r="AD234">
        <v>125</v>
      </c>
      <c r="AE234">
        <v>30000</v>
      </c>
      <c r="AF234" t="str">
        <f>IF(Table1[[#This Row],[What is your current CGPA?]]&gt;=3.5,"High",IF(Table1[[#This Row],[What is your current CGPA?]]&gt;=2.5,"Medium","Low"))</f>
        <v>Medium</v>
      </c>
      <c r="AG234" t="str">
        <f>IF(AND(Table1[[#This Row],[Average attendance on class]]&lt;75,Table1[[#This Row],[How many hour do you study daily?]]&lt;1),"At Risk","Normal")</f>
        <v>Normal</v>
      </c>
      <c r="AH234">
        <f>(Table1[[#This Row],[Average attendance on class]]*0.4)+(Table1[[#This Row],[How many hour do you study daily?]]*10*0.3)+(Table1[[#This Row],[How many hour do you spent daily on your skill development?]]*10*0.3)</f>
        <v>53</v>
      </c>
    </row>
    <row r="235" spans="1:34" x14ac:dyDescent="0.25">
      <c r="A235">
        <v>2017</v>
      </c>
      <c r="B235" t="s">
        <v>34</v>
      </c>
      <c r="C235">
        <v>26</v>
      </c>
      <c r="D235">
        <v>2014</v>
      </c>
      <c r="E235" t="s">
        <v>35</v>
      </c>
      <c r="F235">
        <v>17</v>
      </c>
      <c r="G235" t="s">
        <v>37</v>
      </c>
      <c r="H235" t="s">
        <v>37</v>
      </c>
      <c r="I235">
        <v>3</v>
      </c>
      <c r="J235">
        <v>2</v>
      </c>
      <c r="K235" t="s">
        <v>44</v>
      </c>
      <c r="L235" t="s">
        <v>36</v>
      </c>
      <c r="M235" t="s">
        <v>36</v>
      </c>
      <c r="N235">
        <v>1</v>
      </c>
      <c r="O235" t="s">
        <v>39</v>
      </c>
      <c r="P235">
        <v>95</v>
      </c>
      <c r="Q235" t="s">
        <v>37</v>
      </c>
      <c r="R235" t="s">
        <v>37</v>
      </c>
      <c r="S235" t="s">
        <v>36</v>
      </c>
      <c r="T235" t="s">
        <v>40</v>
      </c>
      <c r="U235">
        <v>6</v>
      </c>
      <c r="V235" t="s">
        <v>40</v>
      </c>
      <c r="W235" t="s">
        <v>42</v>
      </c>
      <c r="X235" t="s">
        <v>37</v>
      </c>
      <c r="Y235" t="s">
        <v>43</v>
      </c>
      <c r="Z235" t="s">
        <v>37</v>
      </c>
      <c r="AA235">
        <v>2.73</v>
      </c>
      <c r="AB235" t="s">
        <v>37</v>
      </c>
      <c r="AC235">
        <v>3.08</v>
      </c>
      <c r="AD235">
        <v>110</v>
      </c>
      <c r="AE235">
        <v>25000</v>
      </c>
      <c r="AF235" t="str">
        <f>IF(Table1[[#This Row],[What is your current CGPA?]]&gt;=3.5,"High",IF(Table1[[#This Row],[What is your current CGPA?]]&gt;=2.5,"Medium","Low"))</f>
        <v>Medium</v>
      </c>
      <c r="AG235" t="str">
        <f>IF(AND(Table1[[#This Row],[Average attendance on class]]&lt;75,Table1[[#This Row],[How many hour do you study daily?]]&lt;1),"At Risk","Normal")</f>
        <v>Normal</v>
      </c>
      <c r="AH235">
        <f>(Table1[[#This Row],[Average attendance on class]]*0.4)+(Table1[[#This Row],[How many hour do you study daily?]]*10*0.3)+(Table1[[#This Row],[How many hour do you spent daily on your skill development?]]*10*0.3)</f>
        <v>65</v>
      </c>
    </row>
    <row r="236" spans="1:34" x14ac:dyDescent="0.25">
      <c r="A236">
        <v>2019</v>
      </c>
      <c r="B236" t="s">
        <v>34</v>
      </c>
      <c r="C236">
        <v>24</v>
      </c>
      <c r="D236">
        <v>2018</v>
      </c>
      <c r="E236" t="s">
        <v>35</v>
      </c>
      <c r="F236">
        <v>11</v>
      </c>
      <c r="G236" t="s">
        <v>37</v>
      </c>
      <c r="H236" t="s">
        <v>37</v>
      </c>
      <c r="I236">
        <v>2</v>
      </c>
      <c r="J236">
        <v>2</v>
      </c>
      <c r="K236" t="s">
        <v>44</v>
      </c>
      <c r="L236" t="s">
        <v>36</v>
      </c>
      <c r="M236" t="s">
        <v>36</v>
      </c>
      <c r="N236">
        <v>1</v>
      </c>
      <c r="O236" t="s">
        <v>39</v>
      </c>
      <c r="P236">
        <v>80</v>
      </c>
      <c r="Q236" t="s">
        <v>37</v>
      </c>
      <c r="R236" t="s">
        <v>37</v>
      </c>
      <c r="S236" t="s">
        <v>37</v>
      </c>
      <c r="T236" t="s">
        <v>40</v>
      </c>
      <c r="U236">
        <v>4</v>
      </c>
      <c r="V236" t="s">
        <v>40</v>
      </c>
      <c r="W236" t="s">
        <v>42</v>
      </c>
      <c r="X236" t="s">
        <v>37</v>
      </c>
      <c r="Y236" t="s">
        <v>43</v>
      </c>
      <c r="Z236" t="s">
        <v>37</v>
      </c>
      <c r="AA236">
        <v>3.48</v>
      </c>
      <c r="AB236" t="s">
        <v>37</v>
      </c>
      <c r="AC236">
        <v>3</v>
      </c>
      <c r="AD236">
        <v>123</v>
      </c>
      <c r="AE236">
        <v>62488</v>
      </c>
      <c r="AF236" t="str">
        <f>IF(Table1[[#This Row],[What is your current CGPA?]]&gt;=3.5,"High",IF(Table1[[#This Row],[What is your current CGPA?]]&gt;=2.5,"Medium","Low"))</f>
        <v>Medium</v>
      </c>
      <c r="AG236" t="str">
        <f>IF(AND(Table1[[#This Row],[Average attendance on class]]&lt;75,Table1[[#This Row],[How many hour do you study daily?]]&lt;1),"At Risk","Normal")</f>
        <v>Normal</v>
      </c>
      <c r="AH236">
        <f>(Table1[[#This Row],[Average attendance on class]]*0.4)+(Table1[[#This Row],[How many hour do you study daily?]]*10*0.3)+(Table1[[#This Row],[How many hour do you spent daily on your skill development?]]*10*0.3)</f>
        <v>50</v>
      </c>
    </row>
    <row r="237" spans="1:34" x14ac:dyDescent="0.25">
      <c r="A237">
        <v>2022</v>
      </c>
      <c r="B237" t="s">
        <v>34</v>
      </c>
      <c r="C237">
        <v>20</v>
      </c>
      <c r="D237">
        <v>2020</v>
      </c>
      <c r="E237" t="s">
        <v>35</v>
      </c>
      <c r="F237">
        <v>2</v>
      </c>
      <c r="G237" t="s">
        <v>36</v>
      </c>
      <c r="H237" t="s">
        <v>36</v>
      </c>
      <c r="I237">
        <v>5</v>
      </c>
      <c r="J237">
        <v>2</v>
      </c>
      <c r="K237" t="s">
        <v>44</v>
      </c>
      <c r="L237" t="s">
        <v>36</v>
      </c>
      <c r="M237" t="s">
        <v>36</v>
      </c>
      <c r="N237">
        <v>12</v>
      </c>
      <c r="O237" t="s">
        <v>39</v>
      </c>
      <c r="P237">
        <v>75</v>
      </c>
      <c r="Q237" t="s">
        <v>37</v>
      </c>
      <c r="R237" t="s">
        <v>37</v>
      </c>
      <c r="S237" t="s">
        <v>36</v>
      </c>
      <c r="T237" t="s">
        <v>40</v>
      </c>
      <c r="U237">
        <v>2</v>
      </c>
      <c r="V237" t="s">
        <v>40</v>
      </c>
      <c r="W237" t="s">
        <v>42</v>
      </c>
      <c r="X237" t="s">
        <v>36</v>
      </c>
      <c r="Y237" t="s">
        <v>47</v>
      </c>
      <c r="Z237" t="s">
        <v>37</v>
      </c>
      <c r="AA237">
        <v>2.61</v>
      </c>
      <c r="AB237" t="s">
        <v>37</v>
      </c>
      <c r="AC237">
        <v>2.61</v>
      </c>
      <c r="AD237">
        <v>11</v>
      </c>
      <c r="AE237">
        <v>40000</v>
      </c>
      <c r="AF237" t="str">
        <f>IF(Table1[[#This Row],[What is your current CGPA?]]&gt;=3.5,"High",IF(Table1[[#This Row],[What is your current CGPA?]]&gt;=2.5,"Medium","Low"))</f>
        <v>Medium</v>
      </c>
      <c r="AG237" t="str">
        <f>IF(AND(Table1[[#This Row],[Average attendance on class]]&lt;75,Table1[[#This Row],[How many hour do you study daily?]]&lt;1),"At Risk","Normal")</f>
        <v>Normal</v>
      </c>
      <c r="AH237">
        <f>(Table1[[#This Row],[Average attendance on class]]*0.4)+(Table1[[#This Row],[How many hour do you study daily?]]*10*0.3)+(Table1[[#This Row],[How many hour do you spent daily on your skill development?]]*10*0.3)</f>
        <v>51</v>
      </c>
    </row>
    <row r="238" spans="1:34" x14ac:dyDescent="0.25">
      <c r="A238">
        <v>2022</v>
      </c>
      <c r="B238" t="s">
        <v>48</v>
      </c>
      <c r="C238">
        <v>19</v>
      </c>
      <c r="D238">
        <v>2020</v>
      </c>
      <c r="E238" t="s">
        <v>35</v>
      </c>
      <c r="F238">
        <v>1</v>
      </c>
      <c r="G238" t="s">
        <v>37</v>
      </c>
      <c r="H238" t="s">
        <v>37</v>
      </c>
      <c r="I238">
        <v>7</v>
      </c>
      <c r="J238">
        <v>2</v>
      </c>
      <c r="K238" t="s">
        <v>38</v>
      </c>
      <c r="L238" t="s">
        <v>36</v>
      </c>
      <c r="M238" t="s">
        <v>36</v>
      </c>
      <c r="N238">
        <v>2</v>
      </c>
      <c r="O238" t="s">
        <v>39</v>
      </c>
      <c r="P238">
        <v>100</v>
      </c>
      <c r="Q238" t="s">
        <v>37</v>
      </c>
      <c r="R238" t="s">
        <v>37</v>
      </c>
      <c r="S238" t="s">
        <v>36</v>
      </c>
      <c r="T238" t="s">
        <v>40</v>
      </c>
      <c r="U238">
        <v>2</v>
      </c>
      <c r="V238" t="s">
        <v>40</v>
      </c>
      <c r="W238" t="s">
        <v>42</v>
      </c>
      <c r="X238" t="s">
        <v>36</v>
      </c>
      <c r="Y238" t="s">
        <v>43</v>
      </c>
      <c r="Z238" t="s">
        <v>37</v>
      </c>
      <c r="AA238">
        <v>0</v>
      </c>
      <c r="AB238" t="s">
        <v>37</v>
      </c>
      <c r="AC238">
        <v>0</v>
      </c>
      <c r="AD238">
        <v>0</v>
      </c>
      <c r="AE238">
        <v>70000</v>
      </c>
      <c r="AF238" t="str">
        <f>IF(Table1[[#This Row],[What is your current CGPA?]]&gt;=3.5,"High",IF(Table1[[#This Row],[What is your current CGPA?]]&gt;=2.5,"Medium","Low"))</f>
        <v>Low</v>
      </c>
      <c r="AG238" t="str">
        <f>IF(AND(Table1[[#This Row],[Average attendance on class]]&lt;75,Table1[[#This Row],[How many hour do you study daily?]]&lt;1),"At Risk","Normal")</f>
        <v>Normal</v>
      </c>
      <c r="AH238">
        <f>(Table1[[#This Row],[Average attendance on class]]*0.4)+(Table1[[#This Row],[How many hour do you study daily?]]*10*0.3)+(Table1[[#This Row],[How many hour do you spent daily on your skill development?]]*10*0.3)</f>
        <v>67</v>
      </c>
    </row>
    <row r="239" spans="1:34" x14ac:dyDescent="0.25">
      <c r="A239">
        <v>2018</v>
      </c>
      <c r="B239" t="s">
        <v>34</v>
      </c>
      <c r="C239">
        <v>23</v>
      </c>
      <c r="D239">
        <v>2018</v>
      </c>
      <c r="E239" t="s">
        <v>35</v>
      </c>
      <c r="F239">
        <v>12</v>
      </c>
      <c r="G239" t="s">
        <v>37</v>
      </c>
      <c r="H239" t="s">
        <v>37</v>
      </c>
      <c r="I239">
        <v>1</v>
      </c>
      <c r="J239">
        <v>1</v>
      </c>
      <c r="K239" t="s">
        <v>38</v>
      </c>
      <c r="L239" t="s">
        <v>36</v>
      </c>
      <c r="M239" t="s">
        <v>36</v>
      </c>
      <c r="N239">
        <v>2</v>
      </c>
      <c r="O239" t="s">
        <v>39</v>
      </c>
      <c r="P239">
        <v>88</v>
      </c>
      <c r="Q239" t="s">
        <v>36</v>
      </c>
      <c r="R239" t="s">
        <v>37</v>
      </c>
      <c r="S239" t="s">
        <v>36</v>
      </c>
      <c r="T239" t="s">
        <v>40</v>
      </c>
      <c r="U239">
        <v>1</v>
      </c>
      <c r="V239" t="s">
        <v>40</v>
      </c>
      <c r="W239" t="s">
        <v>42</v>
      </c>
      <c r="X239" t="s">
        <v>36</v>
      </c>
      <c r="Y239" t="s">
        <v>43</v>
      </c>
      <c r="Z239" t="s">
        <v>37</v>
      </c>
      <c r="AA239">
        <v>2.8</v>
      </c>
      <c r="AB239" t="s">
        <v>37</v>
      </c>
      <c r="AC239">
        <v>2.68</v>
      </c>
      <c r="AD239">
        <v>84</v>
      </c>
      <c r="AE239">
        <v>50000</v>
      </c>
      <c r="AF239" t="str">
        <f>IF(Table1[[#This Row],[What is your current CGPA?]]&gt;=3.5,"High",IF(Table1[[#This Row],[What is your current CGPA?]]&gt;=2.5,"Medium","Low"))</f>
        <v>Medium</v>
      </c>
      <c r="AG239" t="str">
        <f>IF(AND(Table1[[#This Row],[Average attendance on class]]&lt;75,Table1[[#This Row],[How many hour do you study daily?]]&lt;1),"At Risk","Normal")</f>
        <v>Normal</v>
      </c>
      <c r="AH239">
        <f>(Table1[[#This Row],[Average attendance on class]]*0.4)+(Table1[[#This Row],[How many hour do you study daily?]]*10*0.3)+(Table1[[#This Row],[How many hour do you spent daily on your skill development?]]*10*0.3)</f>
        <v>41.2</v>
      </c>
    </row>
    <row r="240" spans="1:34" x14ac:dyDescent="0.25">
      <c r="A240">
        <v>2020</v>
      </c>
      <c r="B240" t="s">
        <v>34</v>
      </c>
      <c r="C240">
        <v>23</v>
      </c>
      <c r="D240">
        <v>2019</v>
      </c>
      <c r="E240" t="s">
        <v>35</v>
      </c>
      <c r="F240">
        <v>7</v>
      </c>
      <c r="G240" t="s">
        <v>37</v>
      </c>
      <c r="H240" t="s">
        <v>37</v>
      </c>
      <c r="I240">
        <v>1</v>
      </c>
      <c r="J240">
        <v>3</v>
      </c>
      <c r="K240" t="s">
        <v>38</v>
      </c>
      <c r="L240" t="s">
        <v>36</v>
      </c>
      <c r="M240" t="s">
        <v>36</v>
      </c>
      <c r="N240">
        <v>1</v>
      </c>
      <c r="O240" t="s">
        <v>45</v>
      </c>
      <c r="P240">
        <v>90</v>
      </c>
      <c r="Q240" t="s">
        <v>36</v>
      </c>
      <c r="R240" t="s">
        <v>37</v>
      </c>
      <c r="S240" t="s">
        <v>36</v>
      </c>
      <c r="T240" t="s">
        <v>40</v>
      </c>
      <c r="U240">
        <v>2</v>
      </c>
      <c r="V240" t="s">
        <v>40</v>
      </c>
      <c r="W240" t="s">
        <v>42</v>
      </c>
      <c r="X240" t="s">
        <v>37</v>
      </c>
      <c r="Y240" t="s">
        <v>43</v>
      </c>
      <c r="Z240" t="s">
        <v>37</v>
      </c>
      <c r="AA240">
        <v>1.52</v>
      </c>
      <c r="AB240" t="s">
        <v>37</v>
      </c>
      <c r="AC240">
        <v>2.15</v>
      </c>
      <c r="AD240">
        <v>70</v>
      </c>
      <c r="AE240">
        <v>36000</v>
      </c>
      <c r="AF240" t="str">
        <f>IF(Table1[[#This Row],[What is your current CGPA?]]&gt;=3.5,"High",IF(Table1[[#This Row],[What is your current CGPA?]]&gt;=2.5,"Medium","Low"))</f>
        <v>Low</v>
      </c>
      <c r="AG240" t="str">
        <f>IF(AND(Table1[[#This Row],[Average attendance on class]]&lt;75,Table1[[#This Row],[How many hour do you study daily?]]&lt;1),"At Risk","Normal")</f>
        <v>Normal</v>
      </c>
      <c r="AH240">
        <f>(Table1[[#This Row],[Average attendance on class]]*0.4)+(Table1[[#This Row],[How many hour do you study daily?]]*10*0.3)+(Table1[[#This Row],[How many hour do you spent daily on your skill development?]]*10*0.3)</f>
        <v>45</v>
      </c>
    </row>
    <row r="241" spans="1:34" x14ac:dyDescent="0.25">
      <c r="A241">
        <v>2020</v>
      </c>
      <c r="B241" t="s">
        <v>34</v>
      </c>
      <c r="C241">
        <v>22</v>
      </c>
      <c r="D241">
        <v>2019</v>
      </c>
      <c r="E241" t="s">
        <v>35</v>
      </c>
      <c r="F241">
        <v>8</v>
      </c>
      <c r="G241" t="s">
        <v>37</v>
      </c>
      <c r="H241" t="s">
        <v>37</v>
      </c>
      <c r="I241">
        <v>2</v>
      </c>
      <c r="J241">
        <v>1</v>
      </c>
      <c r="K241" t="s">
        <v>38</v>
      </c>
      <c r="L241" t="s">
        <v>36</v>
      </c>
      <c r="M241" t="s">
        <v>36</v>
      </c>
      <c r="N241">
        <v>3</v>
      </c>
      <c r="O241" t="s">
        <v>39</v>
      </c>
      <c r="P241">
        <v>85</v>
      </c>
      <c r="Q241" t="s">
        <v>37</v>
      </c>
      <c r="R241" t="s">
        <v>37</v>
      </c>
      <c r="S241" t="s">
        <v>36</v>
      </c>
      <c r="T241" t="s">
        <v>40</v>
      </c>
      <c r="U241">
        <v>3</v>
      </c>
      <c r="V241" t="s">
        <v>40</v>
      </c>
      <c r="W241" t="s">
        <v>42</v>
      </c>
      <c r="X241" t="s">
        <v>36</v>
      </c>
      <c r="Y241" t="s">
        <v>43</v>
      </c>
      <c r="Z241" t="s">
        <v>37</v>
      </c>
      <c r="AA241">
        <v>3.12</v>
      </c>
      <c r="AB241" t="s">
        <v>37</v>
      </c>
      <c r="AC241">
        <v>3.08</v>
      </c>
      <c r="AD241">
        <v>83</v>
      </c>
      <c r="AE241">
        <v>30000</v>
      </c>
      <c r="AF241" t="str">
        <f>IF(Table1[[#This Row],[What is your current CGPA?]]&gt;=3.5,"High",IF(Table1[[#This Row],[What is your current CGPA?]]&gt;=2.5,"Medium","Low"))</f>
        <v>Medium</v>
      </c>
      <c r="AG241" t="str">
        <f>IF(AND(Table1[[#This Row],[Average attendance on class]]&lt;75,Table1[[#This Row],[How many hour do you study daily?]]&lt;1),"At Risk","Normal")</f>
        <v>Normal</v>
      </c>
      <c r="AH241">
        <f>(Table1[[#This Row],[Average attendance on class]]*0.4)+(Table1[[#This Row],[How many hour do you study daily?]]*10*0.3)+(Table1[[#This Row],[How many hour do you spent daily on your skill development?]]*10*0.3)</f>
        <v>49</v>
      </c>
    </row>
    <row r="242" spans="1:34" x14ac:dyDescent="0.25">
      <c r="A242">
        <v>2018</v>
      </c>
      <c r="B242" t="s">
        <v>34</v>
      </c>
      <c r="C242">
        <v>24</v>
      </c>
      <c r="D242">
        <v>2017</v>
      </c>
      <c r="E242" t="s">
        <v>35</v>
      </c>
      <c r="F242">
        <v>12</v>
      </c>
      <c r="G242" t="s">
        <v>37</v>
      </c>
      <c r="H242" t="s">
        <v>37</v>
      </c>
      <c r="I242">
        <v>5</v>
      </c>
      <c r="J242">
        <v>2</v>
      </c>
      <c r="K242" t="s">
        <v>38</v>
      </c>
      <c r="L242" t="s">
        <v>36</v>
      </c>
      <c r="M242" t="s">
        <v>36</v>
      </c>
      <c r="N242">
        <v>1</v>
      </c>
      <c r="O242" t="s">
        <v>39</v>
      </c>
      <c r="P242">
        <v>90</v>
      </c>
      <c r="Q242" t="s">
        <v>37</v>
      </c>
      <c r="R242" t="s">
        <v>37</v>
      </c>
      <c r="S242" t="s">
        <v>36</v>
      </c>
      <c r="T242" t="s">
        <v>51</v>
      </c>
      <c r="U242">
        <v>3</v>
      </c>
      <c r="V242" t="s">
        <v>51</v>
      </c>
      <c r="W242" t="s">
        <v>50</v>
      </c>
      <c r="X242" t="s">
        <v>37</v>
      </c>
      <c r="Y242" t="s">
        <v>47</v>
      </c>
      <c r="Z242" t="s">
        <v>37</v>
      </c>
      <c r="AA242">
        <v>3.68</v>
      </c>
      <c r="AB242" t="s">
        <v>37</v>
      </c>
      <c r="AC242">
        <v>3.33</v>
      </c>
      <c r="AD242">
        <v>118</v>
      </c>
      <c r="AE242">
        <v>20000</v>
      </c>
      <c r="AF242" t="str">
        <f>IF(Table1[[#This Row],[What is your current CGPA?]]&gt;=3.5,"High",IF(Table1[[#This Row],[What is your current CGPA?]]&gt;=2.5,"Medium","Low"))</f>
        <v>Medium</v>
      </c>
      <c r="AG242" t="str">
        <f>IF(AND(Table1[[#This Row],[Average attendance on class]]&lt;75,Table1[[#This Row],[How many hour do you study daily?]]&lt;1),"At Risk","Normal")</f>
        <v>Normal</v>
      </c>
      <c r="AH242">
        <f>(Table1[[#This Row],[Average attendance on class]]*0.4)+(Table1[[#This Row],[How many hour do you study daily?]]*10*0.3)+(Table1[[#This Row],[How many hour do you spent daily on your skill development?]]*10*0.3)</f>
        <v>60</v>
      </c>
    </row>
    <row r="243" spans="1:34" x14ac:dyDescent="0.25">
      <c r="A243">
        <v>2019</v>
      </c>
      <c r="B243" t="s">
        <v>34</v>
      </c>
      <c r="C243">
        <v>24</v>
      </c>
      <c r="D243">
        <v>2018</v>
      </c>
      <c r="E243" t="s">
        <v>35</v>
      </c>
      <c r="F243">
        <v>11</v>
      </c>
      <c r="G243" t="s">
        <v>36</v>
      </c>
      <c r="H243" t="s">
        <v>37</v>
      </c>
      <c r="I243">
        <v>4</v>
      </c>
      <c r="J243">
        <v>2</v>
      </c>
      <c r="K243" t="s">
        <v>44</v>
      </c>
      <c r="L243" t="s">
        <v>36</v>
      </c>
      <c r="M243" t="s">
        <v>37</v>
      </c>
      <c r="N243">
        <v>1</v>
      </c>
      <c r="O243" t="s">
        <v>39</v>
      </c>
      <c r="P243">
        <v>85</v>
      </c>
      <c r="Q243" t="s">
        <v>36</v>
      </c>
      <c r="R243" t="s">
        <v>36</v>
      </c>
      <c r="S243" t="s">
        <v>36</v>
      </c>
      <c r="T243" t="s">
        <v>70</v>
      </c>
      <c r="U243">
        <v>1</v>
      </c>
      <c r="V243" t="s">
        <v>51</v>
      </c>
      <c r="W243" t="s">
        <v>42</v>
      </c>
      <c r="X243" t="s">
        <v>37</v>
      </c>
      <c r="Y243" t="s">
        <v>47</v>
      </c>
      <c r="Z243" t="s">
        <v>37</v>
      </c>
      <c r="AA243">
        <v>2.25</v>
      </c>
      <c r="AB243" t="s">
        <v>37</v>
      </c>
      <c r="AC243">
        <v>2.64</v>
      </c>
      <c r="AD243">
        <v>103</v>
      </c>
      <c r="AE243">
        <v>20000</v>
      </c>
      <c r="AF243" t="str">
        <f>IF(Table1[[#This Row],[What is your current CGPA?]]&gt;=3.5,"High",IF(Table1[[#This Row],[What is your current CGPA?]]&gt;=2.5,"Medium","Low"))</f>
        <v>Medium</v>
      </c>
      <c r="AG243" t="str">
        <f>IF(AND(Table1[[#This Row],[Average attendance on class]]&lt;75,Table1[[#This Row],[How many hour do you study daily?]]&lt;1),"At Risk","Normal")</f>
        <v>Normal</v>
      </c>
      <c r="AH243">
        <f>(Table1[[#This Row],[Average attendance on class]]*0.4)+(Table1[[#This Row],[How many hour do you study daily?]]*10*0.3)+(Table1[[#This Row],[How many hour do you spent daily on your skill development?]]*10*0.3)</f>
        <v>49</v>
      </c>
    </row>
    <row r="244" spans="1:34" x14ac:dyDescent="0.25">
      <c r="A244">
        <v>2019</v>
      </c>
      <c r="B244" t="s">
        <v>34</v>
      </c>
      <c r="C244">
        <v>22</v>
      </c>
      <c r="D244">
        <v>2018</v>
      </c>
      <c r="E244" t="s">
        <v>35</v>
      </c>
      <c r="F244">
        <v>11</v>
      </c>
      <c r="G244" t="s">
        <v>36</v>
      </c>
      <c r="H244" t="s">
        <v>37</v>
      </c>
      <c r="I244">
        <v>1</v>
      </c>
      <c r="J244">
        <v>2</v>
      </c>
      <c r="K244" t="s">
        <v>44</v>
      </c>
      <c r="L244" t="s">
        <v>36</v>
      </c>
      <c r="M244" t="s">
        <v>36</v>
      </c>
      <c r="N244">
        <v>1</v>
      </c>
      <c r="O244" t="s">
        <v>39</v>
      </c>
      <c r="P244">
        <v>90</v>
      </c>
      <c r="Q244" t="s">
        <v>37</v>
      </c>
      <c r="R244" t="s">
        <v>37</v>
      </c>
      <c r="S244" t="s">
        <v>36</v>
      </c>
      <c r="T244" t="s">
        <v>40</v>
      </c>
      <c r="U244">
        <v>1</v>
      </c>
      <c r="V244" t="s">
        <v>40</v>
      </c>
      <c r="W244" t="s">
        <v>50</v>
      </c>
      <c r="X244" t="s">
        <v>37</v>
      </c>
      <c r="Y244" t="s">
        <v>47</v>
      </c>
      <c r="Z244" t="s">
        <v>37</v>
      </c>
      <c r="AA244">
        <v>3.5</v>
      </c>
      <c r="AB244" t="s">
        <v>37</v>
      </c>
      <c r="AC244">
        <v>3.43</v>
      </c>
      <c r="AD244">
        <v>126</v>
      </c>
      <c r="AE244">
        <v>100000</v>
      </c>
      <c r="AF244" t="str">
        <f>IF(Table1[[#This Row],[What is your current CGPA?]]&gt;=3.5,"High",IF(Table1[[#This Row],[What is your current CGPA?]]&gt;=2.5,"Medium","Low"))</f>
        <v>Medium</v>
      </c>
      <c r="AG244" t="str">
        <f>IF(AND(Table1[[#This Row],[Average attendance on class]]&lt;75,Table1[[#This Row],[How many hour do you study daily?]]&lt;1),"At Risk","Normal")</f>
        <v>Normal</v>
      </c>
      <c r="AH244">
        <f>(Table1[[#This Row],[Average attendance on class]]*0.4)+(Table1[[#This Row],[How many hour do you study daily?]]*10*0.3)+(Table1[[#This Row],[How many hour do you spent daily on your skill development?]]*10*0.3)</f>
        <v>42</v>
      </c>
    </row>
    <row r="245" spans="1:34" x14ac:dyDescent="0.25">
      <c r="A245">
        <v>2022</v>
      </c>
      <c r="B245" t="s">
        <v>48</v>
      </c>
      <c r="C245">
        <v>20</v>
      </c>
      <c r="D245">
        <v>2020</v>
      </c>
      <c r="E245" t="s">
        <v>35</v>
      </c>
      <c r="F245">
        <v>1</v>
      </c>
      <c r="G245" t="s">
        <v>36</v>
      </c>
      <c r="H245" t="s">
        <v>36</v>
      </c>
      <c r="I245">
        <v>6</v>
      </c>
      <c r="J245">
        <v>2</v>
      </c>
      <c r="K245" t="s">
        <v>38</v>
      </c>
      <c r="L245" t="s">
        <v>37</v>
      </c>
      <c r="M245" t="s">
        <v>37</v>
      </c>
      <c r="N245">
        <v>1</v>
      </c>
      <c r="O245" t="s">
        <v>45</v>
      </c>
      <c r="P245">
        <v>100</v>
      </c>
      <c r="Q245" t="s">
        <v>37</v>
      </c>
      <c r="R245" t="s">
        <v>37</v>
      </c>
      <c r="S245" t="s">
        <v>36</v>
      </c>
      <c r="T245" t="s">
        <v>40</v>
      </c>
      <c r="U245">
        <v>3</v>
      </c>
      <c r="V245" t="s">
        <v>40</v>
      </c>
      <c r="W245" t="s">
        <v>42</v>
      </c>
      <c r="X245" t="s">
        <v>37</v>
      </c>
      <c r="Y245" t="s">
        <v>47</v>
      </c>
      <c r="Z245" t="s">
        <v>37</v>
      </c>
      <c r="AA245">
        <v>0</v>
      </c>
      <c r="AB245" t="s">
        <v>37</v>
      </c>
      <c r="AC245">
        <v>0</v>
      </c>
      <c r="AD245">
        <v>0</v>
      </c>
      <c r="AE245">
        <v>50000</v>
      </c>
      <c r="AF245" t="str">
        <f>IF(Table1[[#This Row],[What is your current CGPA?]]&gt;=3.5,"High",IF(Table1[[#This Row],[What is your current CGPA?]]&gt;=2.5,"Medium","Low"))</f>
        <v>Low</v>
      </c>
      <c r="AG245" t="str">
        <f>IF(AND(Table1[[#This Row],[Average attendance on class]]&lt;75,Table1[[#This Row],[How many hour do you study daily?]]&lt;1),"At Risk","Normal")</f>
        <v>Normal</v>
      </c>
      <c r="AH245">
        <f>(Table1[[#This Row],[Average attendance on class]]*0.4)+(Table1[[#This Row],[How many hour do you study daily?]]*10*0.3)+(Table1[[#This Row],[How many hour do you spent daily on your skill development?]]*10*0.3)</f>
        <v>67</v>
      </c>
    </row>
    <row r="246" spans="1:34" x14ac:dyDescent="0.25">
      <c r="A246">
        <v>2020</v>
      </c>
      <c r="B246" t="s">
        <v>34</v>
      </c>
      <c r="C246">
        <v>19</v>
      </c>
      <c r="D246">
        <v>2019</v>
      </c>
      <c r="E246" t="s">
        <v>35</v>
      </c>
      <c r="F246">
        <v>8</v>
      </c>
      <c r="G246" t="s">
        <v>36</v>
      </c>
      <c r="H246" t="s">
        <v>37</v>
      </c>
      <c r="I246">
        <v>2</v>
      </c>
      <c r="J246">
        <v>1</v>
      </c>
      <c r="K246" t="s">
        <v>44</v>
      </c>
      <c r="L246" t="s">
        <v>36</v>
      </c>
      <c r="M246" t="s">
        <v>36</v>
      </c>
      <c r="N246">
        <v>1</v>
      </c>
      <c r="O246" t="s">
        <v>45</v>
      </c>
      <c r="P246">
        <v>90</v>
      </c>
      <c r="Q246" t="s">
        <v>37</v>
      </c>
      <c r="R246" t="s">
        <v>37</v>
      </c>
      <c r="S246" t="s">
        <v>37</v>
      </c>
      <c r="T246" t="s">
        <v>40</v>
      </c>
      <c r="U246">
        <v>2</v>
      </c>
      <c r="V246" t="s">
        <v>40</v>
      </c>
      <c r="W246" t="s">
        <v>42</v>
      </c>
      <c r="X246" t="s">
        <v>37</v>
      </c>
      <c r="Y246" t="s">
        <v>43</v>
      </c>
      <c r="Z246" t="s">
        <v>37</v>
      </c>
      <c r="AA246">
        <v>3.36</v>
      </c>
      <c r="AB246" t="s">
        <v>37</v>
      </c>
      <c r="AC246">
        <v>3.72</v>
      </c>
      <c r="AD246">
        <v>88</v>
      </c>
      <c r="AE246">
        <v>20000</v>
      </c>
      <c r="AF246" t="str">
        <f>IF(Table1[[#This Row],[What is your current CGPA?]]&gt;=3.5,"High",IF(Table1[[#This Row],[What is your current CGPA?]]&gt;=2.5,"Medium","Low"))</f>
        <v>High</v>
      </c>
      <c r="AG246" t="str">
        <f>IF(AND(Table1[[#This Row],[Average attendance on class]]&lt;75,Table1[[#This Row],[How many hour do you study daily?]]&lt;1),"At Risk","Normal")</f>
        <v>Normal</v>
      </c>
      <c r="AH246">
        <f>(Table1[[#This Row],[Average attendance on class]]*0.4)+(Table1[[#This Row],[How many hour do you study daily?]]*10*0.3)+(Table1[[#This Row],[How many hour do you spent daily on your skill development?]]*10*0.3)</f>
        <v>48</v>
      </c>
    </row>
    <row r="247" spans="1:34" x14ac:dyDescent="0.25">
      <c r="A247">
        <v>2022</v>
      </c>
      <c r="B247" t="s">
        <v>34</v>
      </c>
      <c r="C247">
        <v>20</v>
      </c>
      <c r="D247">
        <v>2020</v>
      </c>
      <c r="E247" t="s">
        <v>35</v>
      </c>
      <c r="F247">
        <v>2</v>
      </c>
      <c r="G247" t="s">
        <v>36</v>
      </c>
      <c r="H247" t="s">
        <v>37</v>
      </c>
      <c r="I247">
        <v>1</v>
      </c>
      <c r="J247">
        <v>1</v>
      </c>
      <c r="K247" t="s">
        <v>38</v>
      </c>
      <c r="L247" t="s">
        <v>36</v>
      </c>
      <c r="M247" t="s">
        <v>36</v>
      </c>
      <c r="N247">
        <v>4</v>
      </c>
      <c r="O247" t="s">
        <v>39</v>
      </c>
      <c r="P247">
        <v>99</v>
      </c>
      <c r="Q247" t="s">
        <v>37</v>
      </c>
      <c r="R247" t="s">
        <v>37</v>
      </c>
      <c r="S247" t="s">
        <v>37</v>
      </c>
      <c r="T247" t="s">
        <v>40</v>
      </c>
      <c r="U247">
        <v>2</v>
      </c>
      <c r="V247" t="s">
        <v>40</v>
      </c>
      <c r="W247" t="s">
        <v>42</v>
      </c>
      <c r="X247" t="s">
        <v>37</v>
      </c>
      <c r="Y247" t="s">
        <v>47</v>
      </c>
      <c r="Z247" t="s">
        <v>37</v>
      </c>
      <c r="AA247">
        <v>3.83</v>
      </c>
      <c r="AB247" t="s">
        <v>37</v>
      </c>
      <c r="AC247">
        <v>3.83</v>
      </c>
      <c r="AD247">
        <v>11</v>
      </c>
      <c r="AE247">
        <v>35000</v>
      </c>
      <c r="AF247" t="str">
        <f>IF(Table1[[#This Row],[What is your current CGPA?]]&gt;=3.5,"High",IF(Table1[[#This Row],[What is your current CGPA?]]&gt;=2.5,"Medium","Low"))</f>
        <v>High</v>
      </c>
      <c r="AG247" t="str">
        <f>IF(AND(Table1[[#This Row],[Average attendance on class]]&lt;75,Table1[[#This Row],[How many hour do you study daily?]]&lt;1),"At Risk","Normal")</f>
        <v>Normal</v>
      </c>
      <c r="AH247">
        <f>(Table1[[#This Row],[Average attendance on class]]*0.4)+(Table1[[#This Row],[How many hour do you study daily?]]*10*0.3)+(Table1[[#This Row],[How many hour do you spent daily on your skill development?]]*10*0.3)</f>
        <v>48.6</v>
      </c>
    </row>
    <row r="248" spans="1:34" x14ac:dyDescent="0.25">
      <c r="A248">
        <v>2019</v>
      </c>
      <c r="B248" t="s">
        <v>34</v>
      </c>
      <c r="C248">
        <v>22</v>
      </c>
      <c r="D248">
        <v>2018</v>
      </c>
      <c r="E248" t="s">
        <v>35</v>
      </c>
      <c r="F248">
        <v>10</v>
      </c>
      <c r="G248" t="s">
        <v>37</v>
      </c>
      <c r="H248" t="s">
        <v>36</v>
      </c>
      <c r="I248">
        <v>4</v>
      </c>
      <c r="J248">
        <v>2</v>
      </c>
      <c r="K248" t="s">
        <v>44</v>
      </c>
      <c r="L248" t="s">
        <v>36</v>
      </c>
      <c r="M248" t="s">
        <v>36</v>
      </c>
      <c r="N248">
        <v>1</v>
      </c>
      <c r="O248" t="s">
        <v>39</v>
      </c>
      <c r="P248">
        <v>90</v>
      </c>
      <c r="Q248" t="s">
        <v>37</v>
      </c>
      <c r="R248" t="s">
        <v>37</v>
      </c>
      <c r="S248" t="s">
        <v>36</v>
      </c>
      <c r="T248" t="s">
        <v>40</v>
      </c>
      <c r="U248">
        <v>4</v>
      </c>
      <c r="V248" t="s">
        <v>40</v>
      </c>
      <c r="W248" t="s">
        <v>42</v>
      </c>
      <c r="X248" t="s">
        <v>37</v>
      </c>
      <c r="Y248" t="s">
        <v>47</v>
      </c>
      <c r="Z248" t="s">
        <v>37</v>
      </c>
      <c r="AA248">
        <v>1.98</v>
      </c>
      <c r="AB248" t="s">
        <v>37</v>
      </c>
      <c r="AC248">
        <v>2.98</v>
      </c>
      <c r="AD248">
        <v>104</v>
      </c>
      <c r="AE248">
        <v>25000</v>
      </c>
      <c r="AF248" t="str">
        <f>IF(Table1[[#This Row],[What is your current CGPA?]]&gt;=3.5,"High",IF(Table1[[#This Row],[What is your current CGPA?]]&gt;=2.5,"Medium","Low"))</f>
        <v>Medium</v>
      </c>
      <c r="AG248" t="str">
        <f>IF(AND(Table1[[#This Row],[Average attendance on class]]&lt;75,Table1[[#This Row],[How many hour do you study daily?]]&lt;1),"At Risk","Normal")</f>
        <v>Normal</v>
      </c>
      <c r="AH248">
        <f>(Table1[[#This Row],[Average attendance on class]]*0.4)+(Table1[[#This Row],[How many hour do you study daily?]]*10*0.3)+(Table1[[#This Row],[How many hour do you spent daily on your skill development?]]*10*0.3)</f>
        <v>60</v>
      </c>
    </row>
    <row r="249" spans="1:34" x14ac:dyDescent="0.25">
      <c r="A249">
        <v>2021</v>
      </c>
      <c r="B249" t="s">
        <v>48</v>
      </c>
      <c r="C249">
        <v>19</v>
      </c>
      <c r="D249">
        <v>2020</v>
      </c>
      <c r="E249" t="s">
        <v>35</v>
      </c>
      <c r="F249">
        <v>2</v>
      </c>
      <c r="G249" t="s">
        <v>37</v>
      </c>
      <c r="H249" t="s">
        <v>36</v>
      </c>
      <c r="I249">
        <v>3</v>
      </c>
      <c r="J249">
        <v>2</v>
      </c>
      <c r="K249" t="s">
        <v>38</v>
      </c>
      <c r="L249" t="s">
        <v>36</v>
      </c>
      <c r="M249" t="s">
        <v>36</v>
      </c>
      <c r="N249">
        <v>2</v>
      </c>
      <c r="O249" t="s">
        <v>39</v>
      </c>
      <c r="P249">
        <v>98</v>
      </c>
      <c r="Q249" t="s">
        <v>37</v>
      </c>
      <c r="R249" t="s">
        <v>37</v>
      </c>
      <c r="S249" t="s">
        <v>37</v>
      </c>
      <c r="T249" t="s">
        <v>40</v>
      </c>
      <c r="U249">
        <v>2</v>
      </c>
      <c r="V249" t="s">
        <v>40</v>
      </c>
      <c r="W249" t="s">
        <v>42</v>
      </c>
      <c r="X249" t="s">
        <v>37</v>
      </c>
      <c r="Y249" t="s">
        <v>47</v>
      </c>
      <c r="Z249" t="s">
        <v>36</v>
      </c>
      <c r="AA249">
        <v>3.37</v>
      </c>
      <c r="AB249" t="s">
        <v>36</v>
      </c>
      <c r="AC249">
        <v>3.37</v>
      </c>
      <c r="AD249">
        <v>11</v>
      </c>
      <c r="AE249">
        <v>62488</v>
      </c>
      <c r="AF249" t="str">
        <f>IF(Table1[[#This Row],[What is your current CGPA?]]&gt;=3.5,"High",IF(Table1[[#This Row],[What is your current CGPA?]]&gt;=2.5,"Medium","Low"))</f>
        <v>Medium</v>
      </c>
      <c r="AG249" t="str">
        <f>IF(AND(Table1[[#This Row],[Average attendance on class]]&lt;75,Table1[[#This Row],[How many hour do you study daily?]]&lt;1),"At Risk","Normal")</f>
        <v>Normal</v>
      </c>
      <c r="AH249">
        <f>(Table1[[#This Row],[Average attendance on class]]*0.4)+(Table1[[#This Row],[How many hour do you study daily?]]*10*0.3)+(Table1[[#This Row],[How many hour do you spent daily on your skill development?]]*10*0.3)</f>
        <v>54.2</v>
      </c>
    </row>
    <row r="250" spans="1:34" x14ac:dyDescent="0.25">
      <c r="A250">
        <v>2022</v>
      </c>
      <c r="B250" t="s">
        <v>34</v>
      </c>
      <c r="C250">
        <v>21</v>
      </c>
      <c r="D250">
        <v>2021</v>
      </c>
      <c r="E250" t="s">
        <v>35</v>
      </c>
      <c r="F250">
        <v>1</v>
      </c>
      <c r="G250" t="s">
        <v>36</v>
      </c>
      <c r="H250" t="s">
        <v>36</v>
      </c>
      <c r="I250">
        <v>3</v>
      </c>
      <c r="J250">
        <v>2</v>
      </c>
      <c r="K250" t="s">
        <v>44</v>
      </c>
      <c r="L250" t="s">
        <v>36</v>
      </c>
      <c r="M250" t="s">
        <v>36</v>
      </c>
      <c r="N250">
        <v>3</v>
      </c>
      <c r="O250" t="s">
        <v>53</v>
      </c>
      <c r="P250">
        <v>88</v>
      </c>
      <c r="Q250" t="s">
        <v>37</v>
      </c>
      <c r="R250" t="s">
        <v>37</v>
      </c>
      <c r="S250" t="s">
        <v>36</v>
      </c>
      <c r="T250" t="s">
        <v>51</v>
      </c>
      <c r="U250">
        <v>1</v>
      </c>
      <c r="V250" t="s">
        <v>40</v>
      </c>
      <c r="W250" t="s">
        <v>42</v>
      </c>
      <c r="X250" t="s">
        <v>36</v>
      </c>
      <c r="Y250" t="s">
        <v>47</v>
      </c>
      <c r="Z250" t="s">
        <v>37</v>
      </c>
      <c r="AA250">
        <v>3.15</v>
      </c>
      <c r="AB250" t="s">
        <v>37</v>
      </c>
      <c r="AC250">
        <v>3.15</v>
      </c>
      <c r="AD250">
        <v>11</v>
      </c>
      <c r="AE250">
        <v>62488</v>
      </c>
      <c r="AF250" t="str">
        <f>IF(Table1[[#This Row],[What is your current CGPA?]]&gt;=3.5,"High",IF(Table1[[#This Row],[What is your current CGPA?]]&gt;=2.5,"Medium","Low"))</f>
        <v>Medium</v>
      </c>
      <c r="AG250" t="str">
        <f>IF(AND(Table1[[#This Row],[Average attendance on class]]&lt;75,Table1[[#This Row],[How many hour do you study daily?]]&lt;1),"At Risk","Normal")</f>
        <v>Normal</v>
      </c>
      <c r="AH250">
        <f>(Table1[[#This Row],[Average attendance on class]]*0.4)+(Table1[[#This Row],[How many hour do you study daily?]]*10*0.3)+(Table1[[#This Row],[How many hour do you spent daily on your skill development?]]*10*0.3)</f>
        <v>47.2</v>
      </c>
    </row>
    <row r="251" spans="1:34" x14ac:dyDescent="0.25">
      <c r="A251">
        <v>2022</v>
      </c>
      <c r="B251" t="s">
        <v>34</v>
      </c>
      <c r="C251">
        <v>19</v>
      </c>
      <c r="D251">
        <v>2020</v>
      </c>
      <c r="E251" t="s">
        <v>35</v>
      </c>
      <c r="F251">
        <v>1</v>
      </c>
      <c r="G251" t="s">
        <v>36</v>
      </c>
      <c r="H251" t="s">
        <v>37</v>
      </c>
      <c r="I251">
        <v>5</v>
      </c>
      <c r="J251">
        <v>3</v>
      </c>
      <c r="K251" t="s">
        <v>38</v>
      </c>
      <c r="L251" t="s">
        <v>36</v>
      </c>
      <c r="M251" t="s">
        <v>37</v>
      </c>
      <c r="N251">
        <v>3</v>
      </c>
      <c r="O251" t="s">
        <v>45</v>
      </c>
      <c r="P251">
        <v>88</v>
      </c>
      <c r="Q251" t="s">
        <v>37</v>
      </c>
      <c r="R251" t="s">
        <v>37</v>
      </c>
      <c r="S251" t="s">
        <v>37</v>
      </c>
      <c r="T251" t="s">
        <v>40</v>
      </c>
      <c r="U251">
        <v>2</v>
      </c>
      <c r="V251" t="s">
        <v>40</v>
      </c>
      <c r="W251" t="s">
        <v>42</v>
      </c>
      <c r="X251" t="s">
        <v>37</v>
      </c>
      <c r="Y251" t="s">
        <v>47</v>
      </c>
      <c r="Z251" t="s">
        <v>37</v>
      </c>
      <c r="AA251">
        <v>0</v>
      </c>
      <c r="AB251" t="s">
        <v>37</v>
      </c>
      <c r="AC251">
        <v>0</v>
      </c>
      <c r="AD251">
        <v>0</v>
      </c>
      <c r="AE251">
        <v>30000</v>
      </c>
      <c r="AF251" t="str">
        <f>IF(Table1[[#This Row],[What is your current CGPA?]]&gt;=3.5,"High",IF(Table1[[#This Row],[What is your current CGPA?]]&gt;=2.5,"Medium","Low"))</f>
        <v>Low</v>
      </c>
      <c r="AG251" t="str">
        <f>IF(AND(Table1[[#This Row],[Average attendance on class]]&lt;75,Table1[[#This Row],[How many hour do you study daily?]]&lt;1),"At Risk","Normal")</f>
        <v>Normal</v>
      </c>
      <c r="AH251">
        <f>(Table1[[#This Row],[Average attendance on class]]*0.4)+(Table1[[#This Row],[How many hour do you study daily?]]*10*0.3)+(Table1[[#This Row],[How many hour do you spent daily on your skill development?]]*10*0.3)</f>
        <v>56.2</v>
      </c>
    </row>
    <row r="252" spans="1:34" x14ac:dyDescent="0.25">
      <c r="A252">
        <v>2022</v>
      </c>
      <c r="B252" t="s">
        <v>34</v>
      </c>
      <c r="C252">
        <v>20</v>
      </c>
      <c r="D252">
        <v>2021</v>
      </c>
      <c r="E252" t="s">
        <v>35</v>
      </c>
      <c r="F252">
        <v>1</v>
      </c>
      <c r="G252" t="s">
        <v>36</v>
      </c>
      <c r="H252" t="s">
        <v>36</v>
      </c>
      <c r="I252">
        <v>1</v>
      </c>
      <c r="J252">
        <v>1</v>
      </c>
      <c r="K252" t="s">
        <v>38</v>
      </c>
      <c r="L252" t="s">
        <v>36</v>
      </c>
      <c r="M252" t="s">
        <v>36</v>
      </c>
      <c r="N252">
        <v>1</v>
      </c>
      <c r="O252" t="s">
        <v>39</v>
      </c>
      <c r="P252">
        <v>100</v>
      </c>
      <c r="Q252" t="s">
        <v>37</v>
      </c>
      <c r="R252" t="s">
        <v>37</v>
      </c>
      <c r="S252" t="s">
        <v>37</v>
      </c>
      <c r="T252" t="s">
        <v>51</v>
      </c>
      <c r="U252">
        <v>2</v>
      </c>
      <c r="V252" t="s">
        <v>40</v>
      </c>
      <c r="W252" t="s">
        <v>42</v>
      </c>
      <c r="X252" t="s">
        <v>36</v>
      </c>
      <c r="Y252" t="s">
        <v>47</v>
      </c>
      <c r="Z252" t="s">
        <v>37</v>
      </c>
      <c r="AA252">
        <v>0</v>
      </c>
      <c r="AB252" t="s">
        <v>37</v>
      </c>
      <c r="AC252">
        <v>0</v>
      </c>
      <c r="AD252">
        <v>0</v>
      </c>
      <c r="AE252">
        <v>150000</v>
      </c>
      <c r="AF252" t="str">
        <f>IF(Table1[[#This Row],[What is your current CGPA?]]&gt;=3.5,"High",IF(Table1[[#This Row],[What is your current CGPA?]]&gt;=2.5,"Medium","Low"))</f>
        <v>Low</v>
      </c>
      <c r="AG252" t="str">
        <f>IF(AND(Table1[[#This Row],[Average attendance on class]]&lt;75,Table1[[#This Row],[How many hour do you study daily?]]&lt;1),"At Risk","Normal")</f>
        <v>Normal</v>
      </c>
      <c r="AH252">
        <f>(Table1[[#This Row],[Average attendance on class]]*0.4)+(Table1[[#This Row],[How many hour do you study daily?]]*10*0.3)+(Table1[[#This Row],[How many hour do you spent daily on your skill development?]]*10*0.3)</f>
        <v>49</v>
      </c>
    </row>
    <row r="253" spans="1:34" x14ac:dyDescent="0.25">
      <c r="A253">
        <v>2022</v>
      </c>
      <c r="B253" t="s">
        <v>48</v>
      </c>
      <c r="C253">
        <v>20</v>
      </c>
      <c r="D253">
        <v>2020</v>
      </c>
      <c r="E253" t="s">
        <v>35</v>
      </c>
      <c r="F253">
        <v>1</v>
      </c>
      <c r="G253" t="s">
        <v>36</v>
      </c>
      <c r="H253" t="s">
        <v>37</v>
      </c>
      <c r="I253">
        <v>4</v>
      </c>
      <c r="J253">
        <v>2</v>
      </c>
      <c r="K253" t="s">
        <v>38</v>
      </c>
      <c r="L253" t="s">
        <v>36</v>
      </c>
      <c r="M253" t="s">
        <v>36</v>
      </c>
      <c r="N253">
        <v>3</v>
      </c>
      <c r="O253" t="s">
        <v>39</v>
      </c>
      <c r="P253">
        <v>98</v>
      </c>
      <c r="Q253" t="s">
        <v>37</v>
      </c>
      <c r="R253" t="s">
        <v>37</v>
      </c>
      <c r="S253" t="s">
        <v>36</v>
      </c>
      <c r="T253" t="s">
        <v>51</v>
      </c>
      <c r="U253">
        <v>2</v>
      </c>
      <c r="V253" t="s">
        <v>51</v>
      </c>
      <c r="W253" t="s">
        <v>42</v>
      </c>
      <c r="X253" t="s">
        <v>36</v>
      </c>
      <c r="Y253" t="s">
        <v>47</v>
      </c>
      <c r="Z253" t="s">
        <v>37</v>
      </c>
      <c r="AA253">
        <v>0</v>
      </c>
      <c r="AB253" t="s">
        <v>37</v>
      </c>
      <c r="AC253">
        <v>0</v>
      </c>
      <c r="AD253">
        <v>0</v>
      </c>
      <c r="AE253">
        <v>50000</v>
      </c>
      <c r="AF253" t="str">
        <f>IF(Table1[[#This Row],[What is your current CGPA?]]&gt;=3.5,"High",IF(Table1[[#This Row],[What is your current CGPA?]]&gt;=2.5,"Medium","Low"))</f>
        <v>Low</v>
      </c>
      <c r="AG253" t="str">
        <f>IF(AND(Table1[[#This Row],[Average attendance on class]]&lt;75,Table1[[#This Row],[How many hour do you study daily?]]&lt;1),"At Risk","Normal")</f>
        <v>Normal</v>
      </c>
      <c r="AH253">
        <f>(Table1[[#This Row],[Average attendance on class]]*0.4)+(Table1[[#This Row],[How many hour do you study daily?]]*10*0.3)+(Table1[[#This Row],[How many hour do you spent daily on your skill development?]]*10*0.3)</f>
        <v>57.2</v>
      </c>
    </row>
    <row r="254" spans="1:34" x14ac:dyDescent="0.25">
      <c r="A254">
        <v>2017</v>
      </c>
      <c r="B254" t="s">
        <v>48</v>
      </c>
      <c r="C254">
        <v>23</v>
      </c>
      <c r="D254">
        <v>2016</v>
      </c>
      <c r="E254" t="s">
        <v>35</v>
      </c>
      <c r="F254">
        <v>14</v>
      </c>
      <c r="G254" t="s">
        <v>37</v>
      </c>
      <c r="H254" t="s">
        <v>37</v>
      </c>
      <c r="I254">
        <v>3</v>
      </c>
      <c r="J254">
        <v>2</v>
      </c>
      <c r="K254" t="s">
        <v>44</v>
      </c>
      <c r="L254" t="s">
        <v>36</v>
      </c>
      <c r="M254" t="s">
        <v>36</v>
      </c>
      <c r="N254">
        <v>3</v>
      </c>
      <c r="O254" t="s">
        <v>45</v>
      </c>
      <c r="P254">
        <v>90</v>
      </c>
      <c r="Q254" t="s">
        <v>37</v>
      </c>
      <c r="R254" t="s">
        <v>37</v>
      </c>
      <c r="S254" t="s">
        <v>36</v>
      </c>
      <c r="T254" t="s">
        <v>40</v>
      </c>
      <c r="U254">
        <v>2</v>
      </c>
      <c r="V254" t="s">
        <v>40</v>
      </c>
      <c r="W254" t="s">
        <v>56</v>
      </c>
      <c r="X254" t="s">
        <v>37</v>
      </c>
      <c r="Y254" t="s">
        <v>47</v>
      </c>
      <c r="Z254" t="s">
        <v>37</v>
      </c>
      <c r="AA254">
        <v>2.79</v>
      </c>
      <c r="AB254" t="s">
        <v>37</v>
      </c>
      <c r="AC254">
        <v>2.84</v>
      </c>
      <c r="AD254">
        <v>133</v>
      </c>
      <c r="AE254">
        <v>30000</v>
      </c>
      <c r="AF254" t="str">
        <f>IF(Table1[[#This Row],[What is your current CGPA?]]&gt;=3.5,"High",IF(Table1[[#This Row],[What is your current CGPA?]]&gt;=2.5,"Medium","Low"))</f>
        <v>Medium</v>
      </c>
      <c r="AG254" t="str">
        <f>IF(AND(Table1[[#This Row],[Average attendance on class]]&lt;75,Table1[[#This Row],[How many hour do you study daily?]]&lt;1),"At Risk","Normal")</f>
        <v>Normal</v>
      </c>
      <c r="AH254">
        <f>(Table1[[#This Row],[Average attendance on class]]*0.4)+(Table1[[#This Row],[How many hour do you study daily?]]*10*0.3)+(Table1[[#This Row],[How many hour do you spent daily on your skill development?]]*10*0.3)</f>
        <v>51</v>
      </c>
    </row>
    <row r="255" spans="1:34" x14ac:dyDescent="0.25">
      <c r="A255">
        <v>2021</v>
      </c>
      <c r="B255" t="s">
        <v>34</v>
      </c>
      <c r="C255">
        <v>21</v>
      </c>
      <c r="D255">
        <v>2019</v>
      </c>
      <c r="E255" t="s">
        <v>35</v>
      </c>
      <c r="F255">
        <v>3</v>
      </c>
      <c r="G255" t="s">
        <v>36</v>
      </c>
      <c r="H255" t="s">
        <v>37</v>
      </c>
      <c r="I255">
        <v>5</v>
      </c>
      <c r="J255">
        <v>3</v>
      </c>
      <c r="K255" t="s">
        <v>38</v>
      </c>
      <c r="L255" t="s">
        <v>36</v>
      </c>
      <c r="M255" t="s">
        <v>36</v>
      </c>
      <c r="N255">
        <v>2</v>
      </c>
      <c r="O255" t="s">
        <v>39</v>
      </c>
      <c r="P255">
        <v>95</v>
      </c>
      <c r="Q255" t="s">
        <v>37</v>
      </c>
      <c r="R255" t="s">
        <v>37</v>
      </c>
      <c r="S255" t="s">
        <v>36</v>
      </c>
      <c r="T255" t="s">
        <v>40</v>
      </c>
      <c r="U255">
        <v>1</v>
      </c>
      <c r="V255" t="s">
        <v>40</v>
      </c>
      <c r="W255" t="s">
        <v>42</v>
      </c>
      <c r="X255" t="s">
        <v>36</v>
      </c>
      <c r="Y255" t="s">
        <v>43</v>
      </c>
      <c r="Z255" t="s">
        <v>37</v>
      </c>
      <c r="AA255">
        <v>3.52</v>
      </c>
      <c r="AB255" t="s">
        <v>37</v>
      </c>
      <c r="AC255">
        <v>3.65</v>
      </c>
      <c r="AD255">
        <v>23</v>
      </c>
      <c r="AE255">
        <v>62488</v>
      </c>
      <c r="AF255" t="str">
        <f>IF(Table1[[#This Row],[What is your current CGPA?]]&gt;=3.5,"High",IF(Table1[[#This Row],[What is your current CGPA?]]&gt;=2.5,"Medium","Low"))</f>
        <v>High</v>
      </c>
      <c r="AG255" t="str">
        <f>IF(AND(Table1[[#This Row],[Average attendance on class]]&lt;75,Table1[[#This Row],[How many hour do you study daily?]]&lt;1),"At Risk","Normal")</f>
        <v>Normal</v>
      </c>
      <c r="AH255">
        <f>(Table1[[#This Row],[Average attendance on class]]*0.4)+(Table1[[#This Row],[How many hour do you study daily?]]*10*0.3)+(Table1[[#This Row],[How many hour do you spent daily on your skill development?]]*10*0.3)</f>
        <v>56</v>
      </c>
    </row>
    <row r="256" spans="1:34" x14ac:dyDescent="0.25">
      <c r="A256">
        <v>2021</v>
      </c>
      <c r="B256" t="s">
        <v>34</v>
      </c>
      <c r="C256">
        <v>21</v>
      </c>
      <c r="D256">
        <v>2020</v>
      </c>
      <c r="E256" t="s">
        <v>35</v>
      </c>
      <c r="F256">
        <v>3</v>
      </c>
      <c r="G256" t="s">
        <v>36</v>
      </c>
      <c r="H256" t="s">
        <v>36</v>
      </c>
      <c r="I256">
        <v>1</v>
      </c>
      <c r="J256">
        <v>2</v>
      </c>
      <c r="K256" t="s">
        <v>44</v>
      </c>
      <c r="L256" t="s">
        <v>36</v>
      </c>
      <c r="M256" t="s">
        <v>36</v>
      </c>
      <c r="N256">
        <v>2</v>
      </c>
      <c r="O256" t="s">
        <v>39</v>
      </c>
      <c r="P256">
        <v>90</v>
      </c>
      <c r="Q256" t="s">
        <v>37</v>
      </c>
      <c r="R256" t="s">
        <v>37</v>
      </c>
      <c r="S256" t="s">
        <v>36</v>
      </c>
      <c r="T256" t="s">
        <v>40</v>
      </c>
      <c r="U256">
        <v>1</v>
      </c>
      <c r="V256" t="s">
        <v>59</v>
      </c>
      <c r="W256" t="s">
        <v>42</v>
      </c>
      <c r="X256" t="s">
        <v>37</v>
      </c>
      <c r="Y256" t="s">
        <v>47</v>
      </c>
      <c r="Z256" t="s">
        <v>37</v>
      </c>
      <c r="AA256">
        <v>3.85</v>
      </c>
      <c r="AB256" t="s">
        <v>37</v>
      </c>
      <c r="AC256">
        <v>3.79</v>
      </c>
      <c r="AD256">
        <v>35</v>
      </c>
      <c r="AE256">
        <v>35000</v>
      </c>
      <c r="AF256" t="str">
        <f>IF(Table1[[#This Row],[What is your current CGPA?]]&gt;=3.5,"High",IF(Table1[[#This Row],[What is your current CGPA?]]&gt;=2.5,"Medium","Low"))</f>
        <v>High</v>
      </c>
      <c r="AG256" t="str">
        <f>IF(AND(Table1[[#This Row],[Average attendance on class]]&lt;75,Table1[[#This Row],[How many hour do you study daily?]]&lt;1),"At Risk","Normal")</f>
        <v>Normal</v>
      </c>
      <c r="AH256">
        <f>(Table1[[#This Row],[Average attendance on class]]*0.4)+(Table1[[#This Row],[How many hour do you study daily?]]*10*0.3)+(Table1[[#This Row],[How many hour do you spent daily on your skill development?]]*10*0.3)</f>
        <v>42</v>
      </c>
    </row>
    <row r="257" spans="1:34" x14ac:dyDescent="0.25">
      <c r="A257">
        <v>2019</v>
      </c>
      <c r="B257" t="s">
        <v>48</v>
      </c>
      <c r="C257">
        <v>23</v>
      </c>
      <c r="D257">
        <v>2018</v>
      </c>
      <c r="E257" t="s">
        <v>35</v>
      </c>
      <c r="F257">
        <v>11</v>
      </c>
      <c r="G257" t="s">
        <v>36</v>
      </c>
      <c r="H257" t="s">
        <v>37</v>
      </c>
      <c r="I257">
        <v>4</v>
      </c>
      <c r="J257">
        <v>2</v>
      </c>
      <c r="K257" t="s">
        <v>44</v>
      </c>
      <c r="L257" t="s">
        <v>36</v>
      </c>
      <c r="M257" t="s">
        <v>36</v>
      </c>
      <c r="N257">
        <v>5</v>
      </c>
      <c r="O257" t="s">
        <v>53</v>
      </c>
      <c r="P257">
        <v>70</v>
      </c>
      <c r="Q257" t="s">
        <v>36</v>
      </c>
      <c r="R257" t="s">
        <v>37</v>
      </c>
      <c r="S257" t="s">
        <v>37</v>
      </c>
      <c r="T257" t="s">
        <v>61</v>
      </c>
      <c r="U257">
        <v>2</v>
      </c>
      <c r="V257" t="s">
        <v>62</v>
      </c>
      <c r="W257" t="s">
        <v>56</v>
      </c>
      <c r="X257" t="s">
        <v>36</v>
      </c>
      <c r="Y257" t="s">
        <v>43</v>
      </c>
      <c r="Z257" t="s">
        <v>36</v>
      </c>
      <c r="AA257">
        <v>3.01</v>
      </c>
      <c r="AB257" t="s">
        <v>37</v>
      </c>
      <c r="AC257">
        <v>2.89</v>
      </c>
      <c r="AD257">
        <v>120</v>
      </c>
      <c r="AE257">
        <v>90000</v>
      </c>
      <c r="AF257" t="str">
        <f>IF(Table1[[#This Row],[What is your current CGPA?]]&gt;=3.5,"High",IF(Table1[[#This Row],[What is your current CGPA?]]&gt;=2.5,"Medium","Low"))</f>
        <v>Medium</v>
      </c>
      <c r="AG257" t="str">
        <f>IF(AND(Table1[[#This Row],[Average attendance on class]]&lt;75,Table1[[#This Row],[How many hour do you study daily?]]&lt;1),"At Risk","Normal")</f>
        <v>Normal</v>
      </c>
      <c r="AH257">
        <f>(Table1[[#This Row],[Average attendance on class]]*0.4)+(Table1[[#This Row],[How many hour do you study daily?]]*10*0.3)+(Table1[[#This Row],[How many hour do you spent daily on your skill development?]]*10*0.3)</f>
        <v>46</v>
      </c>
    </row>
    <row r="258" spans="1:34" x14ac:dyDescent="0.25">
      <c r="A258">
        <v>2021</v>
      </c>
      <c r="B258" t="s">
        <v>48</v>
      </c>
      <c r="C258">
        <v>20</v>
      </c>
      <c r="D258">
        <v>2020</v>
      </c>
      <c r="E258" t="s">
        <v>35</v>
      </c>
      <c r="F258">
        <v>3</v>
      </c>
      <c r="G258" t="s">
        <v>36</v>
      </c>
      <c r="H258" t="s">
        <v>37</v>
      </c>
      <c r="I258">
        <v>3</v>
      </c>
      <c r="J258">
        <v>2</v>
      </c>
      <c r="K258" t="s">
        <v>38</v>
      </c>
      <c r="L258" t="s">
        <v>36</v>
      </c>
      <c r="M258" t="s">
        <v>36</v>
      </c>
      <c r="N258">
        <v>2</v>
      </c>
      <c r="O258" t="s">
        <v>53</v>
      </c>
      <c r="P258">
        <v>90</v>
      </c>
      <c r="Q258" t="s">
        <v>37</v>
      </c>
      <c r="R258" t="s">
        <v>37</v>
      </c>
      <c r="S258" t="s">
        <v>36</v>
      </c>
      <c r="T258" t="s">
        <v>40</v>
      </c>
      <c r="U258">
        <v>3</v>
      </c>
      <c r="V258" t="s">
        <v>51</v>
      </c>
      <c r="W258" t="s">
        <v>50</v>
      </c>
      <c r="X258" t="s">
        <v>37</v>
      </c>
      <c r="Y258" t="s">
        <v>47</v>
      </c>
      <c r="Z258" t="s">
        <v>37</v>
      </c>
      <c r="AA258">
        <v>3.18</v>
      </c>
      <c r="AB258" t="s">
        <v>37</v>
      </c>
      <c r="AC258">
        <v>3.18</v>
      </c>
      <c r="AD258">
        <v>24</v>
      </c>
      <c r="AE258">
        <v>80000</v>
      </c>
      <c r="AF258" t="str">
        <f>IF(Table1[[#This Row],[What is your current CGPA?]]&gt;=3.5,"High",IF(Table1[[#This Row],[What is your current CGPA?]]&gt;=2.5,"Medium","Low"))</f>
        <v>Medium</v>
      </c>
      <c r="AG258" t="str">
        <f>IF(AND(Table1[[#This Row],[Average attendance on class]]&lt;75,Table1[[#This Row],[How many hour do you study daily?]]&lt;1),"At Risk","Normal")</f>
        <v>Normal</v>
      </c>
      <c r="AH258">
        <f>(Table1[[#This Row],[Average attendance on class]]*0.4)+(Table1[[#This Row],[How many hour do you study daily?]]*10*0.3)+(Table1[[#This Row],[How many hour do you spent daily on your skill development?]]*10*0.3)</f>
        <v>54</v>
      </c>
    </row>
    <row r="259" spans="1:34" x14ac:dyDescent="0.25">
      <c r="A259">
        <v>2021</v>
      </c>
      <c r="B259" t="s">
        <v>34</v>
      </c>
      <c r="C259">
        <v>19</v>
      </c>
      <c r="D259">
        <v>2020</v>
      </c>
      <c r="E259" t="s">
        <v>35</v>
      </c>
      <c r="F259">
        <v>3</v>
      </c>
      <c r="G259" t="s">
        <v>36</v>
      </c>
      <c r="H259" t="s">
        <v>36</v>
      </c>
      <c r="I259">
        <v>5</v>
      </c>
      <c r="J259">
        <v>2</v>
      </c>
      <c r="K259" t="s">
        <v>38</v>
      </c>
      <c r="L259" t="s">
        <v>36</v>
      </c>
      <c r="M259" t="s">
        <v>36</v>
      </c>
      <c r="N259">
        <v>5</v>
      </c>
      <c r="O259" t="s">
        <v>39</v>
      </c>
      <c r="P259">
        <v>100</v>
      </c>
      <c r="Q259" t="s">
        <v>37</v>
      </c>
      <c r="R259" t="s">
        <v>37</v>
      </c>
      <c r="S259" t="s">
        <v>36</v>
      </c>
      <c r="T259" t="s">
        <v>40</v>
      </c>
      <c r="U259">
        <v>3</v>
      </c>
      <c r="V259" t="s">
        <v>40</v>
      </c>
      <c r="W259" t="s">
        <v>42</v>
      </c>
      <c r="X259" t="s">
        <v>36</v>
      </c>
      <c r="Y259" t="s">
        <v>43</v>
      </c>
      <c r="Z259" t="s">
        <v>37</v>
      </c>
      <c r="AA259">
        <v>3.72</v>
      </c>
      <c r="AB259" t="s">
        <v>37</v>
      </c>
      <c r="AC259">
        <v>3.89</v>
      </c>
      <c r="AD259">
        <v>26</v>
      </c>
      <c r="AE259">
        <v>60000</v>
      </c>
      <c r="AF259" t="str">
        <f>IF(Table1[[#This Row],[What is your current CGPA?]]&gt;=3.5,"High",IF(Table1[[#This Row],[What is your current CGPA?]]&gt;=2.5,"Medium","Low"))</f>
        <v>High</v>
      </c>
      <c r="AG259" t="str">
        <f>IF(AND(Table1[[#This Row],[Average attendance on class]]&lt;75,Table1[[#This Row],[How many hour do you study daily?]]&lt;1),"At Risk","Normal")</f>
        <v>Normal</v>
      </c>
      <c r="AH259">
        <f>(Table1[[#This Row],[Average attendance on class]]*0.4)+(Table1[[#This Row],[How many hour do you study daily?]]*10*0.3)+(Table1[[#This Row],[How many hour do you spent daily on your skill development?]]*10*0.3)</f>
        <v>64</v>
      </c>
    </row>
    <row r="260" spans="1:34" x14ac:dyDescent="0.25">
      <c r="A260">
        <v>2021</v>
      </c>
      <c r="B260" t="s">
        <v>48</v>
      </c>
      <c r="C260">
        <v>21</v>
      </c>
      <c r="D260">
        <v>2020</v>
      </c>
      <c r="E260" t="s">
        <v>35</v>
      </c>
      <c r="F260">
        <v>5</v>
      </c>
      <c r="G260" t="s">
        <v>36</v>
      </c>
      <c r="H260" t="s">
        <v>36</v>
      </c>
      <c r="I260">
        <v>3</v>
      </c>
      <c r="J260">
        <v>2</v>
      </c>
      <c r="K260" t="s">
        <v>44</v>
      </c>
      <c r="L260" t="s">
        <v>36</v>
      </c>
      <c r="M260" t="s">
        <v>37</v>
      </c>
      <c r="N260">
        <v>10</v>
      </c>
      <c r="O260" t="s">
        <v>39</v>
      </c>
      <c r="P260">
        <v>70</v>
      </c>
      <c r="Q260" t="s">
        <v>37</v>
      </c>
      <c r="R260" t="s">
        <v>37</v>
      </c>
      <c r="S260" t="s">
        <v>36</v>
      </c>
      <c r="T260" t="s">
        <v>40</v>
      </c>
      <c r="U260">
        <v>3</v>
      </c>
      <c r="V260" t="s">
        <v>40</v>
      </c>
      <c r="W260" t="s">
        <v>42</v>
      </c>
      <c r="X260" t="s">
        <v>37</v>
      </c>
      <c r="Y260" t="s">
        <v>47</v>
      </c>
      <c r="Z260" t="s">
        <v>36</v>
      </c>
      <c r="AA260">
        <v>2.8</v>
      </c>
      <c r="AB260" t="s">
        <v>37</v>
      </c>
      <c r="AC260">
        <v>2.9</v>
      </c>
      <c r="AD260">
        <v>40</v>
      </c>
      <c r="AE260">
        <v>500000</v>
      </c>
      <c r="AF260" t="str">
        <f>IF(Table1[[#This Row],[What is your current CGPA?]]&gt;=3.5,"High",IF(Table1[[#This Row],[What is your current CGPA?]]&gt;=2.5,"Medium","Low"))</f>
        <v>Medium</v>
      </c>
      <c r="AG260" t="str">
        <f>IF(AND(Table1[[#This Row],[Average attendance on class]]&lt;75,Table1[[#This Row],[How many hour do you study daily?]]&lt;1),"At Risk","Normal")</f>
        <v>Normal</v>
      </c>
      <c r="AH260">
        <f>(Table1[[#This Row],[Average attendance on class]]*0.4)+(Table1[[#This Row],[How many hour do you study daily?]]*10*0.3)+(Table1[[#This Row],[How many hour do you spent daily on your skill development?]]*10*0.3)</f>
        <v>46</v>
      </c>
    </row>
    <row r="261" spans="1:34" x14ac:dyDescent="0.25">
      <c r="A261">
        <v>2021</v>
      </c>
      <c r="B261" t="s">
        <v>34</v>
      </c>
      <c r="C261">
        <v>21</v>
      </c>
      <c r="D261">
        <v>2020</v>
      </c>
      <c r="E261" t="s">
        <v>35</v>
      </c>
      <c r="F261">
        <v>3</v>
      </c>
      <c r="G261" t="s">
        <v>36</v>
      </c>
      <c r="H261" t="s">
        <v>37</v>
      </c>
      <c r="I261">
        <v>2</v>
      </c>
      <c r="J261">
        <v>2</v>
      </c>
      <c r="K261" t="s">
        <v>44</v>
      </c>
      <c r="L261" t="s">
        <v>36</v>
      </c>
      <c r="M261" t="s">
        <v>36</v>
      </c>
      <c r="N261">
        <v>3</v>
      </c>
      <c r="O261" t="s">
        <v>45</v>
      </c>
      <c r="P261">
        <v>90</v>
      </c>
      <c r="Q261" t="s">
        <v>37</v>
      </c>
      <c r="R261" t="s">
        <v>37</v>
      </c>
      <c r="S261" t="s">
        <v>36</v>
      </c>
      <c r="T261" t="s">
        <v>40</v>
      </c>
      <c r="U261">
        <v>1</v>
      </c>
      <c r="V261" t="s">
        <v>40</v>
      </c>
      <c r="W261" t="s">
        <v>42</v>
      </c>
      <c r="X261" t="s">
        <v>37</v>
      </c>
      <c r="Y261" t="s">
        <v>47</v>
      </c>
      <c r="Z261" t="s">
        <v>37</v>
      </c>
      <c r="AA261">
        <v>3.42</v>
      </c>
      <c r="AB261" t="s">
        <v>37</v>
      </c>
      <c r="AC261">
        <v>3.56</v>
      </c>
      <c r="AD261">
        <v>23</v>
      </c>
      <c r="AE261">
        <v>50000</v>
      </c>
      <c r="AF261" t="str">
        <f>IF(Table1[[#This Row],[What is your current CGPA?]]&gt;=3.5,"High",IF(Table1[[#This Row],[What is your current CGPA?]]&gt;=2.5,"Medium","Low"))</f>
        <v>High</v>
      </c>
      <c r="AG261" t="str">
        <f>IF(AND(Table1[[#This Row],[Average attendance on class]]&lt;75,Table1[[#This Row],[How many hour do you study daily?]]&lt;1),"At Risk","Normal")</f>
        <v>Normal</v>
      </c>
      <c r="AH261">
        <f>(Table1[[#This Row],[Average attendance on class]]*0.4)+(Table1[[#This Row],[How many hour do you study daily?]]*10*0.3)+(Table1[[#This Row],[How many hour do you spent daily on your skill development?]]*10*0.3)</f>
        <v>45</v>
      </c>
    </row>
    <row r="262" spans="1:34" x14ac:dyDescent="0.25">
      <c r="A262">
        <v>2021</v>
      </c>
      <c r="B262" t="s">
        <v>34</v>
      </c>
      <c r="C262">
        <v>20</v>
      </c>
      <c r="D262">
        <v>2020</v>
      </c>
      <c r="E262" t="s">
        <v>35</v>
      </c>
      <c r="F262">
        <v>4</v>
      </c>
      <c r="G262" t="s">
        <v>36</v>
      </c>
      <c r="H262" t="s">
        <v>37</v>
      </c>
      <c r="I262">
        <v>3</v>
      </c>
      <c r="J262">
        <v>2</v>
      </c>
      <c r="K262" t="s">
        <v>38</v>
      </c>
      <c r="L262" t="s">
        <v>36</v>
      </c>
      <c r="M262" t="s">
        <v>36</v>
      </c>
      <c r="N262">
        <v>3</v>
      </c>
      <c r="O262" t="s">
        <v>45</v>
      </c>
      <c r="P262">
        <v>85</v>
      </c>
      <c r="Q262" t="s">
        <v>37</v>
      </c>
      <c r="R262" t="s">
        <v>37</v>
      </c>
      <c r="S262" t="s">
        <v>37</v>
      </c>
      <c r="T262" t="s">
        <v>40</v>
      </c>
      <c r="U262">
        <v>2</v>
      </c>
      <c r="V262" t="s">
        <v>40</v>
      </c>
      <c r="W262" t="s">
        <v>42</v>
      </c>
      <c r="X262" t="s">
        <v>37</v>
      </c>
      <c r="Y262" t="s">
        <v>43</v>
      </c>
      <c r="Z262" t="s">
        <v>37</v>
      </c>
      <c r="AA262">
        <v>2.4900000000000002</v>
      </c>
      <c r="AB262" t="s">
        <v>37</v>
      </c>
      <c r="AC262">
        <v>3.03</v>
      </c>
      <c r="AD262">
        <v>25</v>
      </c>
      <c r="AE262">
        <v>40000</v>
      </c>
      <c r="AF262" t="str">
        <f>IF(Table1[[#This Row],[What is your current CGPA?]]&gt;=3.5,"High",IF(Table1[[#This Row],[What is your current CGPA?]]&gt;=2.5,"Medium","Low"))</f>
        <v>Medium</v>
      </c>
      <c r="AG262" t="str">
        <f>IF(AND(Table1[[#This Row],[Average attendance on class]]&lt;75,Table1[[#This Row],[How many hour do you study daily?]]&lt;1),"At Risk","Normal")</f>
        <v>Normal</v>
      </c>
      <c r="AH262">
        <f>(Table1[[#This Row],[Average attendance on class]]*0.4)+(Table1[[#This Row],[How many hour do you study daily?]]*10*0.3)+(Table1[[#This Row],[How many hour do you spent daily on your skill development?]]*10*0.3)</f>
        <v>49</v>
      </c>
    </row>
    <row r="263" spans="1:34" x14ac:dyDescent="0.25">
      <c r="A263">
        <v>2021</v>
      </c>
      <c r="B263" t="s">
        <v>48</v>
      </c>
      <c r="C263">
        <v>19</v>
      </c>
      <c r="D263">
        <v>2020</v>
      </c>
      <c r="E263" t="s">
        <v>35</v>
      </c>
      <c r="F263">
        <v>3</v>
      </c>
      <c r="G263" t="s">
        <v>37</v>
      </c>
      <c r="H263" t="s">
        <v>36</v>
      </c>
      <c r="I263">
        <v>2</v>
      </c>
      <c r="J263">
        <v>1</v>
      </c>
      <c r="K263" t="s">
        <v>38</v>
      </c>
      <c r="L263" t="s">
        <v>36</v>
      </c>
      <c r="M263" t="s">
        <v>36</v>
      </c>
      <c r="N263">
        <v>3</v>
      </c>
      <c r="O263" t="s">
        <v>39</v>
      </c>
      <c r="P263">
        <v>95</v>
      </c>
      <c r="Q263" t="s">
        <v>37</v>
      </c>
      <c r="R263" t="s">
        <v>37</v>
      </c>
      <c r="S263" t="s">
        <v>36</v>
      </c>
      <c r="T263" t="s">
        <v>40</v>
      </c>
      <c r="U263">
        <v>1</v>
      </c>
      <c r="V263" t="s">
        <v>40</v>
      </c>
      <c r="W263" t="s">
        <v>42</v>
      </c>
      <c r="X263" t="s">
        <v>37</v>
      </c>
      <c r="Y263" t="s">
        <v>47</v>
      </c>
      <c r="Z263" t="s">
        <v>37</v>
      </c>
      <c r="AA263">
        <v>2.68</v>
      </c>
      <c r="AB263" t="s">
        <v>37</v>
      </c>
      <c r="AC263">
        <v>3.15</v>
      </c>
      <c r="AD263">
        <v>23</v>
      </c>
      <c r="AE263">
        <v>100000</v>
      </c>
      <c r="AF263" t="str">
        <f>IF(Table1[[#This Row],[What is your current CGPA?]]&gt;=3.5,"High",IF(Table1[[#This Row],[What is your current CGPA?]]&gt;=2.5,"Medium","Low"))</f>
        <v>Medium</v>
      </c>
      <c r="AG263" t="str">
        <f>IF(AND(Table1[[#This Row],[Average attendance on class]]&lt;75,Table1[[#This Row],[How many hour do you study daily?]]&lt;1),"At Risk","Normal")</f>
        <v>Normal</v>
      </c>
      <c r="AH263">
        <f>(Table1[[#This Row],[Average attendance on class]]*0.4)+(Table1[[#This Row],[How many hour do you study daily?]]*10*0.3)+(Table1[[#This Row],[How many hour do you spent daily on your skill development?]]*10*0.3)</f>
        <v>47</v>
      </c>
    </row>
    <row r="264" spans="1:34" x14ac:dyDescent="0.25">
      <c r="A264">
        <v>2021</v>
      </c>
      <c r="B264" t="s">
        <v>48</v>
      </c>
      <c r="C264">
        <v>22</v>
      </c>
      <c r="D264">
        <v>2017</v>
      </c>
      <c r="E264" t="s">
        <v>35</v>
      </c>
      <c r="F264">
        <v>5</v>
      </c>
      <c r="G264" t="s">
        <v>36</v>
      </c>
      <c r="H264" t="s">
        <v>36</v>
      </c>
      <c r="I264">
        <v>3</v>
      </c>
      <c r="J264">
        <v>2</v>
      </c>
      <c r="K264" t="s">
        <v>38</v>
      </c>
      <c r="L264" t="s">
        <v>36</v>
      </c>
      <c r="M264" t="s">
        <v>36</v>
      </c>
      <c r="N264">
        <v>2</v>
      </c>
      <c r="O264" t="s">
        <v>39</v>
      </c>
      <c r="P264">
        <v>90</v>
      </c>
      <c r="Q264" t="s">
        <v>37</v>
      </c>
      <c r="R264" t="s">
        <v>37</v>
      </c>
      <c r="S264" t="s">
        <v>36</v>
      </c>
      <c r="T264" t="s">
        <v>40</v>
      </c>
      <c r="U264">
        <v>1</v>
      </c>
      <c r="V264" t="s">
        <v>40</v>
      </c>
      <c r="W264" t="s">
        <v>42</v>
      </c>
      <c r="X264" t="s">
        <v>37</v>
      </c>
      <c r="Y264" t="s">
        <v>47</v>
      </c>
      <c r="Z264" t="s">
        <v>36</v>
      </c>
      <c r="AA264">
        <v>3.86</v>
      </c>
      <c r="AB264" t="s">
        <v>37</v>
      </c>
      <c r="AC264">
        <v>3.67</v>
      </c>
      <c r="AD264">
        <v>49</v>
      </c>
      <c r="AE264">
        <v>20000</v>
      </c>
      <c r="AF264" t="str">
        <f>IF(Table1[[#This Row],[What is your current CGPA?]]&gt;=3.5,"High",IF(Table1[[#This Row],[What is your current CGPA?]]&gt;=2.5,"Medium","Low"))</f>
        <v>High</v>
      </c>
      <c r="AG264" t="str">
        <f>IF(AND(Table1[[#This Row],[Average attendance on class]]&lt;75,Table1[[#This Row],[How many hour do you study daily?]]&lt;1),"At Risk","Normal")</f>
        <v>Normal</v>
      </c>
      <c r="AH264">
        <f>(Table1[[#This Row],[Average attendance on class]]*0.4)+(Table1[[#This Row],[How many hour do you study daily?]]*10*0.3)+(Table1[[#This Row],[How many hour do you spent daily on your skill development?]]*10*0.3)</f>
        <v>48</v>
      </c>
    </row>
    <row r="265" spans="1:34" x14ac:dyDescent="0.25">
      <c r="A265">
        <v>2022</v>
      </c>
      <c r="B265" t="s">
        <v>34</v>
      </c>
      <c r="C265">
        <v>20</v>
      </c>
      <c r="D265">
        <v>2020</v>
      </c>
      <c r="E265" t="s">
        <v>35</v>
      </c>
      <c r="F265">
        <v>1</v>
      </c>
      <c r="G265" t="s">
        <v>36</v>
      </c>
      <c r="H265" t="s">
        <v>36</v>
      </c>
      <c r="I265">
        <v>3</v>
      </c>
      <c r="J265">
        <v>1</v>
      </c>
      <c r="K265" t="s">
        <v>38</v>
      </c>
      <c r="L265" t="s">
        <v>36</v>
      </c>
      <c r="M265" t="s">
        <v>36</v>
      </c>
      <c r="N265">
        <v>1</v>
      </c>
      <c r="O265" t="s">
        <v>53</v>
      </c>
      <c r="P265">
        <v>100</v>
      </c>
      <c r="Q265" t="s">
        <v>37</v>
      </c>
      <c r="R265" t="s">
        <v>37</v>
      </c>
      <c r="S265" t="s">
        <v>36</v>
      </c>
      <c r="T265" t="s">
        <v>40</v>
      </c>
      <c r="U265">
        <v>1</v>
      </c>
      <c r="V265" t="s">
        <v>40</v>
      </c>
      <c r="W265" t="s">
        <v>42</v>
      </c>
      <c r="X265" t="s">
        <v>37</v>
      </c>
      <c r="Y265" t="s">
        <v>47</v>
      </c>
      <c r="Z265" t="s">
        <v>37</v>
      </c>
      <c r="AA265">
        <v>0</v>
      </c>
      <c r="AB265" t="s">
        <v>37</v>
      </c>
      <c r="AC265">
        <v>0</v>
      </c>
      <c r="AD265">
        <v>0</v>
      </c>
      <c r="AE265">
        <v>30000</v>
      </c>
      <c r="AF265" t="str">
        <f>IF(Table1[[#This Row],[What is your current CGPA?]]&gt;=3.5,"High",IF(Table1[[#This Row],[What is your current CGPA?]]&gt;=2.5,"Medium","Low"))</f>
        <v>Low</v>
      </c>
      <c r="AG265" t="str">
        <f>IF(AND(Table1[[#This Row],[Average attendance on class]]&lt;75,Table1[[#This Row],[How many hour do you study daily?]]&lt;1),"At Risk","Normal")</f>
        <v>Normal</v>
      </c>
      <c r="AH265">
        <f>(Table1[[#This Row],[Average attendance on class]]*0.4)+(Table1[[#This Row],[How many hour do you study daily?]]*10*0.3)+(Table1[[#This Row],[How many hour do you spent daily on your skill development?]]*10*0.3)</f>
        <v>52</v>
      </c>
    </row>
    <row r="266" spans="1:34" x14ac:dyDescent="0.25">
      <c r="A266">
        <v>2021</v>
      </c>
      <c r="B266" t="s">
        <v>34</v>
      </c>
      <c r="C266">
        <v>21</v>
      </c>
      <c r="D266">
        <v>2020</v>
      </c>
      <c r="E266" t="s">
        <v>35</v>
      </c>
      <c r="F266">
        <v>5</v>
      </c>
      <c r="G266" t="s">
        <v>36</v>
      </c>
      <c r="H266" t="s">
        <v>36</v>
      </c>
      <c r="I266">
        <v>6</v>
      </c>
      <c r="J266">
        <v>3</v>
      </c>
      <c r="K266" t="s">
        <v>44</v>
      </c>
      <c r="L266" t="s">
        <v>36</v>
      </c>
      <c r="M266" t="s">
        <v>36</v>
      </c>
      <c r="N266">
        <v>2</v>
      </c>
      <c r="O266" t="s">
        <v>39</v>
      </c>
      <c r="P266">
        <v>90</v>
      </c>
      <c r="Q266" t="s">
        <v>37</v>
      </c>
      <c r="R266" t="s">
        <v>37</v>
      </c>
      <c r="S266" t="s">
        <v>37</v>
      </c>
      <c r="T266" t="s">
        <v>40</v>
      </c>
      <c r="U266">
        <v>3</v>
      </c>
      <c r="V266" t="s">
        <v>40</v>
      </c>
      <c r="W266" t="s">
        <v>42</v>
      </c>
      <c r="X266" t="s">
        <v>36</v>
      </c>
      <c r="Y266" t="s">
        <v>47</v>
      </c>
      <c r="Z266" t="s">
        <v>37</v>
      </c>
      <c r="AA266">
        <v>3.82</v>
      </c>
      <c r="AB266" t="s">
        <v>37</v>
      </c>
      <c r="AC266">
        <v>3.7</v>
      </c>
      <c r="AD266">
        <v>55</v>
      </c>
      <c r="AE266">
        <v>50000</v>
      </c>
      <c r="AF266" t="str">
        <f>IF(Table1[[#This Row],[What is your current CGPA?]]&gt;=3.5,"High",IF(Table1[[#This Row],[What is your current CGPA?]]&gt;=2.5,"Medium","Low"))</f>
        <v>High</v>
      </c>
      <c r="AG266" t="str">
        <f>IF(AND(Table1[[#This Row],[Average attendance on class]]&lt;75,Table1[[#This Row],[How many hour do you study daily?]]&lt;1),"At Risk","Normal")</f>
        <v>Normal</v>
      </c>
      <c r="AH266">
        <f>(Table1[[#This Row],[Average attendance on class]]*0.4)+(Table1[[#This Row],[How many hour do you study daily?]]*10*0.3)+(Table1[[#This Row],[How many hour do you spent daily on your skill development?]]*10*0.3)</f>
        <v>63</v>
      </c>
    </row>
    <row r="267" spans="1:34" x14ac:dyDescent="0.25">
      <c r="A267">
        <v>2021</v>
      </c>
      <c r="B267" t="s">
        <v>34</v>
      </c>
      <c r="C267">
        <v>21</v>
      </c>
      <c r="D267">
        <v>2019</v>
      </c>
      <c r="E267" t="s">
        <v>35</v>
      </c>
      <c r="F267">
        <v>3</v>
      </c>
      <c r="G267" t="s">
        <v>36</v>
      </c>
      <c r="H267" t="s">
        <v>37</v>
      </c>
      <c r="I267">
        <v>2</v>
      </c>
      <c r="J267">
        <v>1</v>
      </c>
      <c r="K267" t="s">
        <v>44</v>
      </c>
      <c r="L267" t="s">
        <v>36</v>
      </c>
      <c r="M267" t="s">
        <v>36</v>
      </c>
      <c r="N267">
        <v>2</v>
      </c>
      <c r="O267" t="s">
        <v>39</v>
      </c>
      <c r="P267">
        <v>75</v>
      </c>
      <c r="Q267" t="s">
        <v>37</v>
      </c>
      <c r="R267" t="s">
        <v>37</v>
      </c>
      <c r="S267" t="s">
        <v>36</v>
      </c>
      <c r="T267" t="s">
        <v>40</v>
      </c>
      <c r="U267">
        <v>1</v>
      </c>
      <c r="V267" t="s">
        <v>40</v>
      </c>
      <c r="W267" t="s">
        <v>42</v>
      </c>
      <c r="X267" t="s">
        <v>37</v>
      </c>
      <c r="Y267" t="s">
        <v>47</v>
      </c>
      <c r="Z267" t="s">
        <v>37</v>
      </c>
      <c r="AA267">
        <v>3.58</v>
      </c>
      <c r="AB267" t="s">
        <v>37</v>
      </c>
      <c r="AC267">
        <v>3.1</v>
      </c>
      <c r="AD267">
        <v>23</v>
      </c>
      <c r="AE267">
        <v>40000</v>
      </c>
      <c r="AF267" t="str">
        <f>IF(Table1[[#This Row],[What is your current CGPA?]]&gt;=3.5,"High",IF(Table1[[#This Row],[What is your current CGPA?]]&gt;=2.5,"Medium","Low"))</f>
        <v>Medium</v>
      </c>
      <c r="AG267" t="str">
        <f>IF(AND(Table1[[#This Row],[Average attendance on class]]&lt;75,Table1[[#This Row],[How many hour do you study daily?]]&lt;1),"At Risk","Normal")</f>
        <v>Normal</v>
      </c>
      <c r="AH267">
        <f>(Table1[[#This Row],[Average attendance on class]]*0.4)+(Table1[[#This Row],[How many hour do you study daily?]]*10*0.3)+(Table1[[#This Row],[How many hour do you spent daily on your skill development?]]*10*0.3)</f>
        <v>39</v>
      </c>
    </row>
    <row r="268" spans="1:34" x14ac:dyDescent="0.25">
      <c r="A268">
        <v>2021</v>
      </c>
      <c r="B268" t="s">
        <v>34</v>
      </c>
      <c r="C268">
        <v>21</v>
      </c>
      <c r="D268">
        <v>2020</v>
      </c>
      <c r="E268" t="s">
        <v>35</v>
      </c>
      <c r="F268">
        <v>5</v>
      </c>
      <c r="G268" t="s">
        <v>37</v>
      </c>
      <c r="H268" t="s">
        <v>37</v>
      </c>
      <c r="I268">
        <v>5</v>
      </c>
      <c r="J268">
        <v>2</v>
      </c>
      <c r="K268" t="s">
        <v>38</v>
      </c>
      <c r="L268" t="s">
        <v>36</v>
      </c>
      <c r="M268" t="s">
        <v>36</v>
      </c>
      <c r="N268">
        <v>2</v>
      </c>
      <c r="O268" t="s">
        <v>39</v>
      </c>
      <c r="P268">
        <v>98</v>
      </c>
      <c r="Q268" t="s">
        <v>37</v>
      </c>
      <c r="R268" t="s">
        <v>37</v>
      </c>
      <c r="S268" t="s">
        <v>36</v>
      </c>
      <c r="T268" t="s">
        <v>40</v>
      </c>
      <c r="U268">
        <v>2</v>
      </c>
      <c r="V268" t="s">
        <v>40</v>
      </c>
      <c r="W268" t="s">
        <v>42</v>
      </c>
      <c r="X268" t="s">
        <v>37</v>
      </c>
      <c r="Y268" t="s">
        <v>43</v>
      </c>
      <c r="Z268" t="s">
        <v>37</v>
      </c>
      <c r="AA268">
        <v>2.57</v>
      </c>
      <c r="AB268" t="s">
        <v>37</v>
      </c>
      <c r="AC268">
        <v>2.8</v>
      </c>
      <c r="AD268">
        <v>45</v>
      </c>
      <c r="AE268">
        <v>30000</v>
      </c>
      <c r="AF268" t="str">
        <f>IF(Table1[[#This Row],[What is your current CGPA?]]&gt;=3.5,"High",IF(Table1[[#This Row],[What is your current CGPA?]]&gt;=2.5,"Medium","Low"))</f>
        <v>Medium</v>
      </c>
      <c r="AG268" t="str">
        <f>IF(AND(Table1[[#This Row],[Average attendance on class]]&lt;75,Table1[[#This Row],[How many hour do you study daily?]]&lt;1),"At Risk","Normal")</f>
        <v>Normal</v>
      </c>
      <c r="AH268">
        <f>(Table1[[#This Row],[Average attendance on class]]*0.4)+(Table1[[#This Row],[How many hour do you study daily?]]*10*0.3)+(Table1[[#This Row],[How many hour do you spent daily on your skill development?]]*10*0.3)</f>
        <v>60.2</v>
      </c>
    </row>
    <row r="269" spans="1:34" x14ac:dyDescent="0.25">
      <c r="A269">
        <v>2021</v>
      </c>
      <c r="B269" t="s">
        <v>34</v>
      </c>
      <c r="C269">
        <v>22</v>
      </c>
      <c r="D269">
        <v>2020</v>
      </c>
      <c r="E269" t="s">
        <v>35</v>
      </c>
      <c r="F269">
        <v>3</v>
      </c>
      <c r="G269" t="s">
        <v>36</v>
      </c>
      <c r="H269" t="s">
        <v>37</v>
      </c>
      <c r="I269">
        <v>5</v>
      </c>
      <c r="J269">
        <v>2</v>
      </c>
      <c r="K269" t="s">
        <v>38</v>
      </c>
      <c r="L269" t="s">
        <v>36</v>
      </c>
      <c r="M269" t="s">
        <v>36</v>
      </c>
      <c r="N269">
        <v>2</v>
      </c>
      <c r="O269" t="s">
        <v>53</v>
      </c>
      <c r="P269">
        <v>95</v>
      </c>
      <c r="Q269" t="s">
        <v>37</v>
      </c>
      <c r="R269" t="s">
        <v>37</v>
      </c>
      <c r="S269" t="s">
        <v>36</v>
      </c>
      <c r="T269" t="s">
        <v>71</v>
      </c>
      <c r="U269">
        <v>3</v>
      </c>
      <c r="V269" t="s">
        <v>40</v>
      </c>
      <c r="W269" t="s">
        <v>42</v>
      </c>
      <c r="X269" t="s">
        <v>36</v>
      </c>
      <c r="Y269" t="s">
        <v>43</v>
      </c>
      <c r="Z269" t="s">
        <v>36</v>
      </c>
      <c r="AA269">
        <v>3.86</v>
      </c>
      <c r="AB269" t="s">
        <v>37</v>
      </c>
      <c r="AC269">
        <v>3.92</v>
      </c>
      <c r="AD269">
        <v>23</v>
      </c>
      <c r="AE269">
        <v>40000</v>
      </c>
      <c r="AF269" t="str">
        <f>IF(Table1[[#This Row],[What is your current CGPA?]]&gt;=3.5,"High",IF(Table1[[#This Row],[What is your current CGPA?]]&gt;=2.5,"Medium","Low"))</f>
        <v>High</v>
      </c>
      <c r="AG269" t="str">
        <f>IF(AND(Table1[[#This Row],[Average attendance on class]]&lt;75,Table1[[#This Row],[How many hour do you study daily?]]&lt;1),"At Risk","Normal")</f>
        <v>Normal</v>
      </c>
      <c r="AH269">
        <f>(Table1[[#This Row],[Average attendance on class]]*0.4)+(Table1[[#This Row],[How many hour do you study daily?]]*10*0.3)+(Table1[[#This Row],[How many hour do you spent daily on your skill development?]]*10*0.3)</f>
        <v>62</v>
      </c>
    </row>
    <row r="270" spans="1:34" x14ac:dyDescent="0.25">
      <c r="A270">
        <v>2022</v>
      </c>
      <c r="B270" t="s">
        <v>34</v>
      </c>
      <c r="C270">
        <v>22</v>
      </c>
      <c r="D270">
        <v>2019</v>
      </c>
      <c r="E270" t="s">
        <v>35</v>
      </c>
      <c r="F270">
        <v>2</v>
      </c>
      <c r="G270" t="s">
        <v>37</v>
      </c>
      <c r="H270" t="s">
        <v>37</v>
      </c>
      <c r="I270">
        <v>3</v>
      </c>
      <c r="J270">
        <v>1</v>
      </c>
      <c r="K270" t="s">
        <v>38</v>
      </c>
      <c r="L270" t="s">
        <v>36</v>
      </c>
      <c r="M270" t="s">
        <v>36</v>
      </c>
      <c r="N270">
        <v>3</v>
      </c>
      <c r="O270" t="s">
        <v>39</v>
      </c>
      <c r="P270">
        <v>80</v>
      </c>
      <c r="Q270" t="s">
        <v>37</v>
      </c>
      <c r="R270" t="s">
        <v>37</v>
      </c>
      <c r="S270" t="s">
        <v>36</v>
      </c>
      <c r="T270" t="s">
        <v>40</v>
      </c>
      <c r="U270">
        <v>1</v>
      </c>
      <c r="V270" t="s">
        <v>40</v>
      </c>
      <c r="W270" t="s">
        <v>42</v>
      </c>
      <c r="X270" t="s">
        <v>36</v>
      </c>
      <c r="Y270" t="s">
        <v>43</v>
      </c>
      <c r="Z270" t="s">
        <v>37</v>
      </c>
      <c r="AA270">
        <v>4</v>
      </c>
      <c r="AB270" t="s">
        <v>37</v>
      </c>
      <c r="AC270">
        <v>4</v>
      </c>
      <c r="AD270">
        <v>11</v>
      </c>
      <c r="AE270">
        <v>40000</v>
      </c>
      <c r="AF270" t="str">
        <f>IF(Table1[[#This Row],[What is your current CGPA?]]&gt;=3.5,"High",IF(Table1[[#This Row],[What is your current CGPA?]]&gt;=2.5,"Medium","Low"))</f>
        <v>High</v>
      </c>
      <c r="AG270" t="str">
        <f>IF(AND(Table1[[#This Row],[Average attendance on class]]&lt;75,Table1[[#This Row],[How many hour do you study daily?]]&lt;1),"At Risk","Normal")</f>
        <v>Normal</v>
      </c>
      <c r="AH270">
        <f>(Table1[[#This Row],[Average attendance on class]]*0.4)+(Table1[[#This Row],[How many hour do you study daily?]]*10*0.3)+(Table1[[#This Row],[How many hour do you spent daily on your skill development?]]*10*0.3)</f>
        <v>44</v>
      </c>
    </row>
    <row r="271" spans="1:34" x14ac:dyDescent="0.25">
      <c r="A271">
        <v>2022</v>
      </c>
      <c r="B271" t="s">
        <v>48</v>
      </c>
      <c r="C271">
        <v>20</v>
      </c>
      <c r="D271">
        <v>2021</v>
      </c>
      <c r="E271" t="s">
        <v>35</v>
      </c>
      <c r="F271">
        <v>1</v>
      </c>
      <c r="G271" t="s">
        <v>36</v>
      </c>
      <c r="H271" t="s">
        <v>36</v>
      </c>
      <c r="I271">
        <v>1</v>
      </c>
      <c r="J271">
        <v>2</v>
      </c>
      <c r="K271" t="s">
        <v>38</v>
      </c>
      <c r="L271" t="s">
        <v>36</v>
      </c>
      <c r="M271" t="s">
        <v>36</v>
      </c>
      <c r="N271">
        <v>7</v>
      </c>
      <c r="O271" t="s">
        <v>39</v>
      </c>
      <c r="P271">
        <v>80</v>
      </c>
      <c r="Q271" t="s">
        <v>37</v>
      </c>
      <c r="R271" t="s">
        <v>37</v>
      </c>
      <c r="S271" t="s">
        <v>37</v>
      </c>
      <c r="T271" t="s">
        <v>72</v>
      </c>
      <c r="U271">
        <v>0</v>
      </c>
      <c r="V271" t="s">
        <v>49</v>
      </c>
      <c r="W271" t="s">
        <v>42</v>
      </c>
      <c r="X271" t="s">
        <v>36</v>
      </c>
      <c r="Y271" t="s">
        <v>47</v>
      </c>
      <c r="Z271" t="s">
        <v>37</v>
      </c>
      <c r="AA271">
        <v>0</v>
      </c>
      <c r="AB271" t="s">
        <v>37</v>
      </c>
      <c r="AC271">
        <v>0</v>
      </c>
      <c r="AD271">
        <v>0</v>
      </c>
      <c r="AE271">
        <v>60000</v>
      </c>
      <c r="AF271" t="str">
        <f>IF(Table1[[#This Row],[What is your current CGPA?]]&gt;=3.5,"High",IF(Table1[[#This Row],[What is your current CGPA?]]&gt;=2.5,"Medium","Low"))</f>
        <v>Low</v>
      </c>
      <c r="AG271" t="str">
        <f>IF(AND(Table1[[#This Row],[Average attendance on class]]&lt;75,Table1[[#This Row],[How many hour do you study daily?]]&lt;1),"At Risk","Normal")</f>
        <v>Normal</v>
      </c>
      <c r="AH271">
        <f>(Table1[[#This Row],[Average attendance on class]]*0.4)+(Table1[[#This Row],[How many hour do you study daily?]]*10*0.3)+(Table1[[#This Row],[How many hour do you spent daily on your skill development?]]*10*0.3)</f>
        <v>35</v>
      </c>
    </row>
    <row r="272" spans="1:34" x14ac:dyDescent="0.25">
      <c r="A272">
        <v>2020</v>
      </c>
      <c r="B272" t="s">
        <v>34</v>
      </c>
      <c r="C272">
        <v>23</v>
      </c>
      <c r="D272">
        <v>2018</v>
      </c>
      <c r="E272" t="s">
        <v>35</v>
      </c>
      <c r="F272">
        <v>6</v>
      </c>
      <c r="G272" t="s">
        <v>37</v>
      </c>
      <c r="H272" t="s">
        <v>37</v>
      </c>
      <c r="I272">
        <v>1</v>
      </c>
      <c r="J272">
        <v>2</v>
      </c>
      <c r="K272" t="s">
        <v>44</v>
      </c>
      <c r="L272" t="s">
        <v>36</v>
      </c>
      <c r="M272" t="s">
        <v>36</v>
      </c>
      <c r="N272">
        <v>2</v>
      </c>
      <c r="O272" t="s">
        <v>39</v>
      </c>
      <c r="P272">
        <v>90</v>
      </c>
      <c r="Q272" t="s">
        <v>36</v>
      </c>
      <c r="R272" t="s">
        <v>37</v>
      </c>
      <c r="S272" t="s">
        <v>37</v>
      </c>
      <c r="T272" t="s">
        <v>40</v>
      </c>
      <c r="U272">
        <v>1</v>
      </c>
      <c r="V272" t="s">
        <v>40</v>
      </c>
      <c r="W272" t="s">
        <v>42</v>
      </c>
      <c r="X272" t="s">
        <v>36</v>
      </c>
      <c r="Y272" t="s">
        <v>43</v>
      </c>
      <c r="Z272" t="s">
        <v>37</v>
      </c>
      <c r="AA272">
        <v>3.1</v>
      </c>
      <c r="AB272" t="s">
        <v>37</v>
      </c>
      <c r="AC272">
        <v>3.4</v>
      </c>
      <c r="AD272">
        <v>65</v>
      </c>
      <c r="AE272">
        <v>40000</v>
      </c>
      <c r="AF272" t="str">
        <f>IF(Table1[[#This Row],[What is your current CGPA?]]&gt;=3.5,"High",IF(Table1[[#This Row],[What is your current CGPA?]]&gt;=2.5,"Medium","Low"))</f>
        <v>Medium</v>
      </c>
      <c r="AG272" t="str">
        <f>IF(AND(Table1[[#This Row],[Average attendance on class]]&lt;75,Table1[[#This Row],[How many hour do you study daily?]]&lt;1),"At Risk","Normal")</f>
        <v>Normal</v>
      </c>
      <c r="AH272">
        <f>(Table1[[#This Row],[Average attendance on class]]*0.4)+(Table1[[#This Row],[How many hour do you study daily?]]*10*0.3)+(Table1[[#This Row],[How many hour do you spent daily on your skill development?]]*10*0.3)</f>
        <v>42</v>
      </c>
    </row>
    <row r="273" spans="1:34" x14ac:dyDescent="0.25">
      <c r="A273">
        <v>2022</v>
      </c>
      <c r="B273" t="s">
        <v>48</v>
      </c>
      <c r="C273">
        <v>21</v>
      </c>
      <c r="D273">
        <v>2020</v>
      </c>
      <c r="E273" t="s">
        <v>35</v>
      </c>
      <c r="F273">
        <v>1</v>
      </c>
      <c r="G273" t="s">
        <v>37</v>
      </c>
      <c r="H273" t="s">
        <v>37</v>
      </c>
      <c r="I273">
        <v>6</v>
      </c>
      <c r="J273">
        <v>3</v>
      </c>
      <c r="K273" t="s">
        <v>38</v>
      </c>
      <c r="L273" t="s">
        <v>36</v>
      </c>
      <c r="M273" t="s">
        <v>36</v>
      </c>
      <c r="N273">
        <v>4</v>
      </c>
      <c r="O273" t="s">
        <v>53</v>
      </c>
      <c r="P273">
        <v>100</v>
      </c>
      <c r="Q273" t="s">
        <v>37</v>
      </c>
      <c r="R273" t="s">
        <v>37</v>
      </c>
      <c r="S273" t="s">
        <v>36</v>
      </c>
      <c r="T273" t="s">
        <v>40</v>
      </c>
      <c r="U273">
        <v>3</v>
      </c>
      <c r="V273" t="s">
        <v>40</v>
      </c>
      <c r="W273" t="s">
        <v>42</v>
      </c>
      <c r="X273" t="s">
        <v>36</v>
      </c>
      <c r="Y273" t="s">
        <v>43</v>
      </c>
      <c r="Z273" t="s">
        <v>37</v>
      </c>
      <c r="AA273">
        <v>0</v>
      </c>
      <c r="AB273" t="s">
        <v>37</v>
      </c>
      <c r="AC273">
        <v>0</v>
      </c>
      <c r="AD273">
        <v>0</v>
      </c>
      <c r="AE273">
        <v>40000</v>
      </c>
      <c r="AF273" t="str">
        <f>IF(Table1[[#This Row],[What is your current CGPA?]]&gt;=3.5,"High",IF(Table1[[#This Row],[What is your current CGPA?]]&gt;=2.5,"Medium","Low"))</f>
        <v>Low</v>
      </c>
      <c r="AG273" t="str">
        <f>IF(AND(Table1[[#This Row],[Average attendance on class]]&lt;75,Table1[[#This Row],[How many hour do you study daily?]]&lt;1),"At Risk","Normal")</f>
        <v>Normal</v>
      </c>
      <c r="AH273">
        <f>(Table1[[#This Row],[Average attendance on class]]*0.4)+(Table1[[#This Row],[How many hour do you study daily?]]*10*0.3)+(Table1[[#This Row],[How many hour do you spent daily on your skill development?]]*10*0.3)</f>
        <v>67</v>
      </c>
    </row>
    <row r="274" spans="1:34" x14ac:dyDescent="0.25">
      <c r="A274">
        <v>2021</v>
      </c>
      <c r="B274" t="s">
        <v>34</v>
      </c>
      <c r="C274">
        <v>20</v>
      </c>
      <c r="D274">
        <v>2020</v>
      </c>
      <c r="E274" t="s">
        <v>35</v>
      </c>
      <c r="F274">
        <v>3</v>
      </c>
      <c r="G274" t="s">
        <v>36</v>
      </c>
      <c r="H274" t="s">
        <v>37</v>
      </c>
      <c r="I274">
        <v>1</v>
      </c>
      <c r="J274">
        <v>2</v>
      </c>
      <c r="K274" t="s">
        <v>38</v>
      </c>
      <c r="L274" t="s">
        <v>36</v>
      </c>
      <c r="M274" t="s">
        <v>36</v>
      </c>
      <c r="N274">
        <v>1</v>
      </c>
      <c r="O274" t="s">
        <v>45</v>
      </c>
      <c r="P274">
        <v>95</v>
      </c>
      <c r="Q274" t="s">
        <v>37</v>
      </c>
      <c r="R274" t="s">
        <v>37</v>
      </c>
      <c r="S274" t="s">
        <v>36</v>
      </c>
      <c r="T274" t="s">
        <v>40</v>
      </c>
      <c r="U274">
        <v>2</v>
      </c>
      <c r="V274" t="s">
        <v>40</v>
      </c>
      <c r="W274" t="s">
        <v>42</v>
      </c>
      <c r="X274" t="s">
        <v>37</v>
      </c>
      <c r="Y274" t="s">
        <v>47</v>
      </c>
      <c r="Z274" t="s">
        <v>36</v>
      </c>
      <c r="AA274">
        <v>3.68</v>
      </c>
      <c r="AB274" t="s">
        <v>37</v>
      </c>
      <c r="AC274">
        <v>3.65</v>
      </c>
      <c r="AD274">
        <v>24</v>
      </c>
      <c r="AE274">
        <v>45000</v>
      </c>
      <c r="AF274" t="str">
        <f>IF(Table1[[#This Row],[What is your current CGPA?]]&gt;=3.5,"High",IF(Table1[[#This Row],[What is your current CGPA?]]&gt;=2.5,"Medium","Low"))</f>
        <v>High</v>
      </c>
      <c r="AG274" t="str">
        <f>IF(AND(Table1[[#This Row],[Average attendance on class]]&lt;75,Table1[[#This Row],[How many hour do you study daily?]]&lt;1),"At Risk","Normal")</f>
        <v>Normal</v>
      </c>
      <c r="AH274">
        <f>(Table1[[#This Row],[Average attendance on class]]*0.4)+(Table1[[#This Row],[How many hour do you study daily?]]*10*0.3)+(Table1[[#This Row],[How many hour do you spent daily on your skill development?]]*10*0.3)</f>
        <v>47</v>
      </c>
    </row>
    <row r="275" spans="1:34" x14ac:dyDescent="0.25">
      <c r="A275">
        <v>2022</v>
      </c>
      <c r="B275" t="s">
        <v>48</v>
      </c>
      <c r="C275">
        <v>21</v>
      </c>
      <c r="D275">
        <v>2020</v>
      </c>
      <c r="E275" t="s">
        <v>35</v>
      </c>
      <c r="F275">
        <v>2</v>
      </c>
      <c r="G275" t="s">
        <v>36</v>
      </c>
      <c r="H275" t="s">
        <v>36</v>
      </c>
      <c r="I275">
        <v>7</v>
      </c>
      <c r="J275">
        <v>2</v>
      </c>
      <c r="K275" t="s">
        <v>38</v>
      </c>
      <c r="L275" t="s">
        <v>36</v>
      </c>
      <c r="M275" t="s">
        <v>36</v>
      </c>
      <c r="N275">
        <v>3</v>
      </c>
      <c r="O275" t="s">
        <v>45</v>
      </c>
      <c r="P275">
        <v>2</v>
      </c>
      <c r="Q275" t="s">
        <v>37</v>
      </c>
      <c r="R275" t="s">
        <v>37</v>
      </c>
      <c r="S275" t="s">
        <v>36</v>
      </c>
      <c r="T275" t="s">
        <v>40</v>
      </c>
      <c r="U275">
        <v>0</v>
      </c>
      <c r="V275" t="s">
        <v>40</v>
      </c>
      <c r="W275" t="s">
        <v>42</v>
      </c>
      <c r="X275" t="s">
        <v>37</v>
      </c>
      <c r="Y275" t="s">
        <v>47</v>
      </c>
      <c r="Z275" t="s">
        <v>37</v>
      </c>
      <c r="AA275">
        <v>3.4</v>
      </c>
      <c r="AB275" t="s">
        <v>37</v>
      </c>
      <c r="AC275">
        <v>3.4</v>
      </c>
      <c r="AD275">
        <v>11</v>
      </c>
      <c r="AE275">
        <v>40000</v>
      </c>
      <c r="AF275" t="str">
        <f>IF(Table1[[#This Row],[What is your current CGPA?]]&gt;=3.5,"High",IF(Table1[[#This Row],[What is your current CGPA?]]&gt;=2.5,"Medium","Low"))</f>
        <v>Medium</v>
      </c>
      <c r="AG275" t="str">
        <f>IF(AND(Table1[[#This Row],[Average attendance on class]]&lt;75,Table1[[#This Row],[How many hour do you study daily?]]&lt;1),"At Risk","Normal")</f>
        <v>Normal</v>
      </c>
      <c r="AH275">
        <f>(Table1[[#This Row],[Average attendance on class]]*0.4)+(Table1[[#This Row],[How many hour do you study daily?]]*10*0.3)+(Table1[[#This Row],[How many hour do you spent daily on your skill development?]]*10*0.3)</f>
        <v>21.8</v>
      </c>
    </row>
    <row r="276" spans="1:34" x14ac:dyDescent="0.25">
      <c r="A276">
        <v>2022</v>
      </c>
      <c r="B276" t="s">
        <v>34</v>
      </c>
      <c r="C276">
        <v>19</v>
      </c>
      <c r="D276">
        <v>2020</v>
      </c>
      <c r="E276" t="s">
        <v>35</v>
      </c>
      <c r="F276">
        <v>1</v>
      </c>
      <c r="G276" t="s">
        <v>36</v>
      </c>
      <c r="H276" t="s">
        <v>37</v>
      </c>
      <c r="I276">
        <v>8</v>
      </c>
      <c r="J276">
        <v>2</v>
      </c>
      <c r="K276" t="s">
        <v>38</v>
      </c>
      <c r="L276" t="s">
        <v>36</v>
      </c>
      <c r="M276" t="s">
        <v>36</v>
      </c>
      <c r="N276">
        <v>2</v>
      </c>
      <c r="O276" t="s">
        <v>45</v>
      </c>
      <c r="P276">
        <v>100</v>
      </c>
      <c r="Q276" t="s">
        <v>37</v>
      </c>
      <c r="R276" t="s">
        <v>37</v>
      </c>
      <c r="S276" t="s">
        <v>36</v>
      </c>
      <c r="T276" t="s">
        <v>73</v>
      </c>
      <c r="U276">
        <v>1</v>
      </c>
      <c r="V276" t="s">
        <v>40</v>
      </c>
      <c r="W276" t="s">
        <v>42</v>
      </c>
      <c r="X276" t="s">
        <v>36</v>
      </c>
      <c r="Y276" t="s">
        <v>43</v>
      </c>
      <c r="Z276" t="s">
        <v>37</v>
      </c>
      <c r="AA276">
        <v>0</v>
      </c>
      <c r="AB276" t="s">
        <v>37</v>
      </c>
      <c r="AC276">
        <v>0</v>
      </c>
      <c r="AD276">
        <v>0</v>
      </c>
      <c r="AE276">
        <v>10000</v>
      </c>
      <c r="AF276" t="str">
        <f>IF(Table1[[#This Row],[What is your current CGPA?]]&gt;=3.5,"High",IF(Table1[[#This Row],[What is your current CGPA?]]&gt;=2.5,"Medium","Low"))</f>
        <v>Low</v>
      </c>
      <c r="AG276" t="str">
        <f>IF(AND(Table1[[#This Row],[Average attendance on class]]&lt;75,Table1[[#This Row],[How many hour do you study daily?]]&lt;1),"At Risk","Normal")</f>
        <v>Normal</v>
      </c>
      <c r="AH276">
        <f>(Table1[[#This Row],[Average attendance on class]]*0.4)+(Table1[[#This Row],[How many hour do you study daily?]]*10*0.3)+(Table1[[#This Row],[How many hour do you spent daily on your skill development?]]*10*0.3)</f>
        <v>67</v>
      </c>
    </row>
    <row r="277" spans="1:34" x14ac:dyDescent="0.25">
      <c r="A277">
        <v>2021</v>
      </c>
      <c r="B277" t="s">
        <v>34</v>
      </c>
      <c r="C277">
        <v>20</v>
      </c>
      <c r="D277">
        <v>2020</v>
      </c>
      <c r="E277" t="s">
        <v>35</v>
      </c>
      <c r="F277">
        <v>3</v>
      </c>
      <c r="G277" t="s">
        <v>36</v>
      </c>
      <c r="H277" t="s">
        <v>36</v>
      </c>
      <c r="I277">
        <v>3</v>
      </c>
      <c r="J277">
        <v>2</v>
      </c>
      <c r="K277" t="s">
        <v>38</v>
      </c>
      <c r="L277" t="s">
        <v>36</v>
      </c>
      <c r="M277" t="s">
        <v>36</v>
      </c>
      <c r="N277">
        <v>2</v>
      </c>
      <c r="O277" t="s">
        <v>53</v>
      </c>
      <c r="P277">
        <v>70</v>
      </c>
      <c r="Q277" t="s">
        <v>37</v>
      </c>
      <c r="R277" t="s">
        <v>37</v>
      </c>
      <c r="S277" t="s">
        <v>36</v>
      </c>
      <c r="T277" t="s">
        <v>40</v>
      </c>
      <c r="U277">
        <v>3</v>
      </c>
      <c r="V277" t="s">
        <v>40</v>
      </c>
      <c r="W277" t="s">
        <v>42</v>
      </c>
      <c r="X277" t="s">
        <v>37</v>
      </c>
      <c r="Y277" t="s">
        <v>47</v>
      </c>
      <c r="Z277" t="s">
        <v>36</v>
      </c>
      <c r="AA277">
        <v>2.4500000000000002</v>
      </c>
      <c r="AB277" t="s">
        <v>37</v>
      </c>
      <c r="AC277">
        <v>2.95</v>
      </c>
      <c r="AD277">
        <v>25</v>
      </c>
      <c r="AE277">
        <v>50000</v>
      </c>
      <c r="AF277" t="str">
        <f>IF(Table1[[#This Row],[What is your current CGPA?]]&gt;=3.5,"High",IF(Table1[[#This Row],[What is your current CGPA?]]&gt;=2.5,"Medium","Low"))</f>
        <v>Medium</v>
      </c>
      <c r="AG277" t="str">
        <f>IF(AND(Table1[[#This Row],[Average attendance on class]]&lt;75,Table1[[#This Row],[How many hour do you study daily?]]&lt;1),"At Risk","Normal")</f>
        <v>Normal</v>
      </c>
      <c r="AH277">
        <f>(Table1[[#This Row],[Average attendance on class]]*0.4)+(Table1[[#This Row],[How many hour do you study daily?]]*10*0.3)+(Table1[[#This Row],[How many hour do you spent daily on your skill development?]]*10*0.3)</f>
        <v>46</v>
      </c>
    </row>
    <row r="278" spans="1:34" x14ac:dyDescent="0.25">
      <c r="A278">
        <v>2015</v>
      </c>
      <c r="B278" t="s">
        <v>48</v>
      </c>
      <c r="C278">
        <v>25</v>
      </c>
      <c r="D278">
        <v>2015</v>
      </c>
      <c r="E278" t="s">
        <v>35</v>
      </c>
      <c r="F278">
        <v>14</v>
      </c>
      <c r="G278" t="s">
        <v>37</v>
      </c>
      <c r="H278" t="s">
        <v>36</v>
      </c>
      <c r="I278">
        <v>2</v>
      </c>
      <c r="J278">
        <v>1</v>
      </c>
      <c r="K278" t="s">
        <v>38</v>
      </c>
      <c r="L278" t="s">
        <v>36</v>
      </c>
      <c r="M278" t="s">
        <v>36</v>
      </c>
      <c r="N278">
        <v>3</v>
      </c>
      <c r="O278" t="s">
        <v>39</v>
      </c>
      <c r="P278">
        <v>80</v>
      </c>
      <c r="Q278" t="s">
        <v>36</v>
      </c>
      <c r="R278" t="s">
        <v>37</v>
      </c>
      <c r="S278" t="s">
        <v>36</v>
      </c>
      <c r="T278" t="s">
        <v>40</v>
      </c>
      <c r="U278">
        <v>1</v>
      </c>
      <c r="V278" t="s">
        <v>40</v>
      </c>
      <c r="W278" t="s">
        <v>56</v>
      </c>
      <c r="X278" t="s">
        <v>37</v>
      </c>
      <c r="Y278" t="s">
        <v>47</v>
      </c>
      <c r="Z278" t="s">
        <v>37</v>
      </c>
      <c r="AA278">
        <v>2.4</v>
      </c>
      <c r="AB278" t="s">
        <v>37</v>
      </c>
      <c r="AC278">
        <v>2.89</v>
      </c>
      <c r="AD278">
        <v>130</v>
      </c>
      <c r="AE278">
        <v>62488</v>
      </c>
      <c r="AF278" t="str">
        <f>IF(Table1[[#This Row],[What is your current CGPA?]]&gt;=3.5,"High",IF(Table1[[#This Row],[What is your current CGPA?]]&gt;=2.5,"Medium","Low"))</f>
        <v>Medium</v>
      </c>
      <c r="AG278" t="str">
        <f>IF(AND(Table1[[#This Row],[Average attendance on class]]&lt;75,Table1[[#This Row],[How many hour do you study daily?]]&lt;1),"At Risk","Normal")</f>
        <v>Normal</v>
      </c>
      <c r="AH278">
        <f>(Table1[[#This Row],[Average attendance on class]]*0.4)+(Table1[[#This Row],[How many hour do you study daily?]]*10*0.3)+(Table1[[#This Row],[How many hour do you spent daily on your skill development?]]*10*0.3)</f>
        <v>41</v>
      </c>
    </row>
    <row r="279" spans="1:34" x14ac:dyDescent="0.25">
      <c r="A279">
        <v>2021</v>
      </c>
      <c r="B279" t="s">
        <v>48</v>
      </c>
      <c r="C279">
        <v>20</v>
      </c>
      <c r="D279">
        <v>2020</v>
      </c>
      <c r="E279" t="s">
        <v>35</v>
      </c>
      <c r="F279">
        <v>3</v>
      </c>
      <c r="G279" t="s">
        <v>36</v>
      </c>
      <c r="H279" t="s">
        <v>36</v>
      </c>
      <c r="I279">
        <v>4</v>
      </c>
      <c r="J279">
        <v>3</v>
      </c>
      <c r="K279" t="s">
        <v>38</v>
      </c>
      <c r="L279" t="s">
        <v>36</v>
      </c>
      <c r="M279" t="s">
        <v>36</v>
      </c>
      <c r="N279">
        <v>1</v>
      </c>
      <c r="O279" t="s">
        <v>39</v>
      </c>
      <c r="P279">
        <v>99</v>
      </c>
      <c r="Q279" t="s">
        <v>37</v>
      </c>
      <c r="R279" t="s">
        <v>37</v>
      </c>
      <c r="S279" t="s">
        <v>36</v>
      </c>
      <c r="T279" t="s">
        <v>40</v>
      </c>
      <c r="U279">
        <v>3</v>
      </c>
      <c r="V279" t="s">
        <v>40</v>
      </c>
      <c r="W279" t="s">
        <v>56</v>
      </c>
      <c r="X279" t="s">
        <v>36</v>
      </c>
      <c r="Y279" t="s">
        <v>47</v>
      </c>
      <c r="Z279" t="s">
        <v>37</v>
      </c>
      <c r="AA279">
        <v>3.47</v>
      </c>
      <c r="AB279" t="s">
        <v>37</v>
      </c>
      <c r="AC279">
        <v>3.2</v>
      </c>
      <c r="AD279">
        <v>23</v>
      </c>
      <c r="AE279">
        <v>50000</v>
      </c>
      <c r="AF279" t="str">
        <f>IF(Table1[[#This Row],[What is your current CGPA?]]&gt;=3.5,"High",IF(Table1[[#This Row],[What is your current CGPA?]]&gt;=2.5,"Medium","Low"))</f>
        <v>Medium</v>
      </c>
      <c r="AG279" t="str">
        <f>IF(AND(Table1[[#This Row],[Average attendance on class]]&lt;75,Table1[[#This Row],[How many hour do you study daily?]]&lt;1),"At Risk","Normal")</f>
        <v>Normal</v>
      </c>
      <c r="AH279">
        <f>(Table1[[#This Row],[Average attendance on class]]*0.4)+(Table1[[#This Row],[How many hour do you study daily?]]*10*0.3)+(Table1[[#This Row],[How many hour do you spent daily on your skill development?]]*10*0.3)</f>
        <v>60.6</v>
      </c>
    </row>
    <row r="280" spans="1:34" x14ac:dyDescent="0.25">
      <c r="A280">
        <v>2019</v>
      </c>
      <c r="B280" t="s">
        <v>34</v>
      </c>
      <c r="C280">
        <v>21</v>
      </c>
      <c r="D280">
        <v>2018</v>
      </c>
      <c r="E280" t="s">
        <v>35</v>
      </c>
      <c r="F280">
        <v>11</v>
      </c>
      <c r="G280" t="s">
        <v>37</v>
      </c>
      <c r="H280" t="s">
        <v>36</v>
      </c>
      <c r="I280">
        <v>2</v>
      </c>
      <c r="J280">
        <v>1</v>
      </c>
      <c r="K280" t="s">
        <v>38</v>
      </c>
      <c r="L280" t="s">
        <v>36</v>
      </c>
      <c r="M280" t="s">
        <v>36</v>
      </c>
      <c r="N280">
        <v>1</v>
      </c>
      <c r="O280" t="s">
        <v>39</v>
      </c>
      <c r="P280">
        <v>87</v>
      </c>
      <c r="Q280" t="s">
        <v>37</v>
      </c>
      <c r="R280" t="s">
        <v>37</v>
      </c>
      <c r="S280" t="s">
        <v>37</v>
      </c>
      <c r="T280" t="s">
        <v>40</v>
      </c>
      <c r="U280">
        <v>1</v>
      </c>
      <c r="V280" t="s">
        <v>40</v>
      </c>
      <c r="W280" t="s">
        <v>42</v>
      </c>
      <c r="X280" t="s">
        <v>37</v>
      </c>
      <c r="Y280" t="s">
        <v>43</v>
      </c>
      <c r="Z280" t="s">
        <v>37</v>
      </c>
      <c r="AA280">
        <v>2.5299999999999998</v>
      </c>
      <c r="AB280" t="s">
        <v>37</v>
      </c>
      <c r="AC280">
        <v>3.05</v>
      </c>
      <c r="AD280">
        <v>115</v>
      </c>
      <c r="AE280">
        <v>37000</v>
      </c>
      <c r="AF280" t="str">
        <f>IF(Table1[[#This Row],[What is your current CGPA?]]&gt;=3.5,"High",IF(Table1[[#This Row],[What is your current CGPA?]]&gt;=2.5,"Medium","Low"))</f>
        <v>Medium</v>
      </c>
      <c r="AG280" t="str">
        <f>IF(AND(Table1[[#This Row],[Average attendance on class]]&lt;75,Table1[[#This Row],[How many hour do you study daily?]]&lt;1),"At Risk","Normal")</f>
        <v>Normal</v>
      </c>
      <c r="AH280">
        <f>(Table1[[#This Row],[Average attendance on class]]*0.4)+(Table1[[#This Row],[How many hour do you study daily?]]*10*0.3)+(Table1[[#This Row],[How many hour do you spent daily on your skill development?]]*10*0.3)</f>
        <v>43.800000000000004</v>
      </c>
    </row>
    <row r="281" spans="1:34" x14ac:dyDescent="0.25">
      <c r="A281">
        <v>2021</v>
      </c>
      <c r="B281" t="s">
        <v>48</v>
      </c>
      <c r="C281">
        <v>23</v>
      </c>
      <c r="D281">
        <v>2019</v>
      </c>
      <c r="E281" t="s">
        <v>35</v>
      </c>
      <c r="F281">
        <v>3</v>
      </c>
      <c r="G281" t="s">
        <v>36</v>
      </c>
      <c r="H281" t="s">
        <v>36</v>
      </c>
      <c r="I281">
        <v>1</v>
      </c>
      <c r="J281">
        <v>1</v>
      </c>
      <c r="K281" t="s">
        <v>38</v>
      </c>
      <c r="L281" t="s">
        <v>36</v>
      </c>
      <c r="M281" t="s">
        <v>37</v>
      </c>
      <c r="N281">
        <v>3</v>
      </c>
      <c r="O281" t="s">
        <v>45</v>
      </c>
      <c r="P281">
        <v>50</v>
      </c>
      <c r="Q281" t="s">
        <v>36</v>
      </c>
      <c r="R281" t="s">
        <v>37</v>
      </c>
      <c r="S281" t="s">
        <v>36</v>
      </c>
      <c r="T281" t="s">
        <v>74</v>
      </c>
      <c r="U281">
        <v>1</v>
      </c>
      <c r="V281" t="s">
        <v>40</v>
      </c>
      <c r="W281" t="s">
        <v>42</v>
      </c>
      <c r="X281" t="s">
        <v>36</v>
      </c>
      <c r="Y281" t="s">
        <v>47</v>
      </c>
      <c r="Z281" t="s">
        <v>36</v>
      </c>
      <c r="AA281">
        <v>2.56</v>
      </c>
      <c r="AB281" t="s">
        <v>37</v>
      </c>
      <c r="AC281">
        <v>2.72</v>
      </c>
      <c r="AD281">
        <v>26</v>
      </c>
      <c r="AE281">
        <v>45000</v>
      </c>
      <c r="AF281" t="str">
        <f>IF(Table1[[#This Row],[What is your current CGPA?]]&gt;=3.5,"High",IF(Table1[[#This Row],[What is your current CGPA?]]&gt;=2.5,"Medium","Low"))</f>
        <v>Medium</v>
      </c>
      <c r="AG281" t="str">
        <f>IF(AND(Table1[[#This Row],[Average attendance on class]]&lt;75,Table1[[#This Row],[How many hour do you study daily?]]&lt;1),"At Risk","Normal")</f>
        <v>Normal</v>
      </c>
      <c r="AH281">
        <f>(Table1[[#This Row],[Average attendance on class]]*0.4)+(Table1[[#This Row],[How many hour do you study daily?]]*10*0.3)+(Table1[[#This Row],[How many hour do you spent daily on your skill development?]]*10*0.3)</f>
        <v>26</v>
      </c>
    </row>
    <row r="282" spans="1:34" x14ac:dyDescent="0.25">
      <c r="A282">
        <v>2022</v>
      </c>
      <c r="B282" t="s">
        <v>48</v>
      </c>
      <c r="C282">
        <v>19</v>
      </c>
      <c r="D282">
        <v>2020</v>
      </c>
      <c r="E282" t="s">
        <v>35</v>
      </c>
      <c r="F282">
        <v>1</v>
      </c>
      <c r="G282" t="s">
        <v>37</v>
      </c>
      <c r="H282" t="s">
        <v>37</v>
      </c>
      <c r="I282">
        <v>4</v>
      </c>
      <c r="J282">
        <v>2</v>
      </c>
      <c r="K282" t="s">
        <v>38</v>
      </c>
      <c r="L282" t="s">
        <v>36</v>
      </c>
      <c r="M282" t="s">
        <v>36</v>
      </c>
      <c r="N282">
        <v>3</v>
      </c>
      <c r="O282" t="s">
        <v>39</v>
      </c>
      <c r="P282">
        <v>100</v>
      </c>
      <c r="Q282" t="s">
        <v>37</v>
      </c>
      <c r="R282" t="s">
        <v>37</v>
      </c>
      <c r="S282" t="s">
        <v>37</v>
      </c>
      <c r="T282" t="s">
        <v>75</v>
      </c>
      <c r="U282">
        <v>1</v>
      </c>
      <c r="V282" t="s">
        <v>40</v>
      </c>
      <c r="W282" t="s">
        <v>42</v>
      </c>
      <c r="X282" t="s">
        <v>36</v>
      </c>
      <c r="Y282" t="s">
        <v>47</v>
      </c>
      <c r="Z282" t="s">
        <v>37</v>
      </c>
      <c r="AA282">
        <v>0</v>
      </c>
      <c r="AB282" t="s">
        <v>37</v>
      </c>
      <c r="AC282">
        <v>0</v>
      </c>
      <c r="AD282">
        <v>0</v>
      </c>
      <c r="AE282">
        <v>100000</v>
      </c>
      <c r="AF282" t="str">
        <f>IF(Table1[[#This Row],[What is your current CGPA?]]&gt;=3.5,"High",IF(Table1[[#This Row],[What is your current CGPA?]]&gt;=2.5,"Medium","Low"))</f>
        <v>Low</v>
      </c>
      <c r="AG282" t="str">
        <f>IF(AND(Table1[[#This Row],[Average attendance on class]]&lt;75,Table1[[#This Row],[How many hour do you study daily?]]&lt;1),"At Risk","Normal")</f>
        <v>Normal</v>
      </c>
      <c r="AH282">
        <f>(Table1[[#This Row],[Average attendance on class]]*0.4)+(Table1[[#This Row],[How many hour do you study daily?]]*10*0.3)+(Table1[[#This Row],[How many hour do you spent daily on your skill development?]]*10*0.3)</f>
        <v>55</v>
      </c>
    </row>
    <row r="283" spans="1:34" x14ac:dyDescent="0.25">
      <c r="A283">
        <v>2020</v>
      </c>
      <c r="B283" t="s">
        <v>34</v>
      </c>
      <c r="C283">
        <v>20</v>
      </c>
      <c r="D283">
        <v>2019</v>
      </c>
      <c r="E283" t="s">
        <v>35</v>
      </c>
      <c r="F283">
        <v>7</v>
      </c>
      <c r="G283" t="s">
        <v>37</v>
      </c>
      <c r="H283" t="s">
        <v>37</v>
      </c>
      <c r="I283">
        <v>2</v>
      </c>
      <c r="J283">
        <v>1</v>
      </c>
      <c r="K283" t="s">
        <v>44</v>
      </c>
      <c r="L283" t="s">
        <v>36</v>
      </c>
      <c r="M283" t="s">
        <v>36</v>
      </c>
      <c r="N283">
        <v>1</v>
      </c>
      <c r="O283" t="s">
        <v>45</v>
      </c>
      <c r="P283">
        <v>80</v>
      </c>
      <c r="Q283" t="s">
        <v>36</v>
      </c>
      <c r="R283" t="s">
        <v>37</v>
      </c>
      <c r="S283" t="s">
        <v>37</v>
      </c>
      <c r="T283" t="s">
        <v>76</v>
      </c>
      <c r="U283">
        <v>1</v>
      </c>
      <c r="V283" t="s">
        <v>59</v>
      </c>
      <c r="W283" t="s">
        <v>42</v>
      </c>
      <c r="X283" t="s">
        <v>36</v>
      </c>
      <c r="Y283" t="s">
        <v>47</v>
      </c>
      <c r="Z283" t="s">
        <v>37</v>
      </c>
      <c r="AA283">
        <v>2.36</v>
      </c>
      <c r="AB283" t="s">
        <v>37</v>
      </c>
      <c r="AC283">
        <v>2.56</v>
      </c>
      <c r="AD283">
        <v>65</v>
      </c>
      <c r="AE283">
        <v>35000</v>
      </c>
      <c r="AF283" t="str">
        <f>IF(Table1[[#This Row],[What is your current CGPA?]]&gt;=3.5,"High",IF(Table1[[#This Row],[What is your current CGPA?]]&gt;=2.5,"Medium","Low"))</f>
        <v>Medium</v>
      </c>
      <c r="AG283" t="str">
        <f>IF(AND(Table1[[#This Row],[Average attendance on class]]&lt;75,Table1[[#This Row],[How many hour do you study daily?]]&lt;1),"At Risk","Normal")</f>
        <v>Normal</v>
      </c>
      <c r="AH283">
        <f>(Table1[[#This Row],[Average attendance on class]]*0.4)+(Table1[[#This Row],[How many hour do you study daily?]]*10*0.3)+(Table1[[#This Row],[How many hour do you spent daily on your skill development?]]*10*0.3)</f>
        <v>41</v>
      </c>
    </row>
    <row r="284" spans="1:34" x14ac:dyDescent="0.25">
      <c r="A284">
        <v>2022</v>
      </c>
      <c r="B284" t="s">
        <v>48</v>
      </c>
      <c r="C284">
        <v>20</v>
      </c>
      <c r="D284">
        <v>2020</v>
      </c>
      <c r="E284" t="s">
        <v>35</v>
      </c>
      <c r="F284">
        <v>1</v>
      </c>
      <c r="G284" t="s">
        <v>37</v>
      </c>
      <c r="H284" t="s">
        <v>37</v>
      </c>
      <c r="I284">
        <v>2</v>
      </c>
      <c r="J284">
        <v>1</v>
      </c>
      <c r="K284" t="s">
        <v>38</v>
      </c>
      <c r="L284" t="s">
        <v>37</v>
      </c>
      <c r="M284" t="s">
        <v>36</v>
      </c>
      <c r="N284">
        <v>1</v>
      </c>
      <c r="O284" t="s">
        <v>45</v>
      </c>
      <c r="P284">
        <v>100</v>
      </c>
      <c r="Q284" t="s">
        <v>37</v>
      </c>
      <c r="R284" t="s">
        <v>37</v>
      </c>
      <c r="S284" t="s">
        <v>36</v>
      </c>
      <c r="T284" t="s">
        <v>77</v>
      </c>
      <c r="U284">
        <v>1</v>
      </c>
      <c r="V284" t="s">
        <v>78</v>
      </c>
      <c r="W284" t="s">
        <v>56</v>
      </c>
      <c r="X284" t="s">
        <v>36</v>
      </c>
      <c r="Y284" t="s">
        <v>43</v>
      </c>
      <c r="Z284" t="s">
        <v>37</v>
      </c>
      <c r="AA284">
        <v>0</v>
      </c>
      <c r="AB284" t="s">
        <v>37</v>
      </c>
      <c r="AC284">
        <v>0</v>
      </c>
      <c r="AD284">
        <v>0</v>
      </c>
      <c r="AE284">
        <v>400006</v>
      </c>
      <c r="AF284" t="str">
        <f>IF(Table1[[#This Row],[What is your current CGPA?]]&gt;=3.5,"High",IF(Table1[[#This Row],[What is your current CGPA?]]&gt;=2.5,"Medium","Low"))</f>
        <v>Low</v>
      </c>
      <c r="AG284" t="str">
        <f>IF(AND(Table1[[#This Row],[Average attendance on class]]&lt;75,Table1[[#This Row],[How many hour do you study daily?]]&lt;1),"At Risk","Normal")</f>
        <v>Normal</v>
      </c>
      <c r="AH284">
        <f>(Table1[[#This Row],[Average attendance on class]]*0.4)+(Table1[[#This Row],[How many hour do you study daily?]]*10*0.3)+(Table1[[#This Row],[How many hour do you spent daily on your skill development?]]*10*0.3)</f>
        <v>49</v>
      </c>
    </row>
    <row r="285" spans="1:34" x14ac:dyDescent="0.25">
      <c r="A285">
        <v>2022</v>
      </c>
      <c r="B285" t="s">
        <v>34</v>
      </c>
      <c r="C285">
        <v>21</v>
      </c>
      <c r="D285">
        <v>2020</v>
      </c>
      <c r="E285" t="s">
        <v>35</v>
      </c>
      <c r="F285">
        <v>1</v>
      </c>
      <c r="G285" t="s">
        <v>36</v>
      </c>
      <c r="H285" t="s">
        <v>36</v>
      </c>
      <c r="I285">
        <v>1</v>
      </c>
      <c r="J285">
        <v>1</v>
      </c>
      <c r="K285" t="s">
        <v>44</v>
      </c>
      <c r="L285" t="s">
        <v>36</v>
      </c>
      <c r="M285" t="s">
        <v>36</v>
      </c>
      <c r="N285">
        <v>2</v>
      </c>
      <c r="O285" t="s">
        <v>39</v>
      </c>
      <c r="P285">
        <v>100</v>
      </c>
      <c r="Q285" t="s">
        <v>37</v>
      </c>
      <c r="R285" t="s">
        <v>37</v>
      </c>
      <c r="S285" t="s">
        <v>37</v>
      </c>
      <c r="T285" t="s">
        <v>79</v>
      </c>
      <c r="U285">
        <v>0</v>
      </c>
      <c r="V285" t="s">
        <v>40</v>
      </c>
      <c r="W285" t="s">
        <v>42</v>
      </c>
      <c r="X285" t="s">
        <v>36</v>
      </c>
      <c r="Y285" t="s">
        <v>47</v>
      </c>
      <c r="Z285" t="s">
        <v>37</v>
      </c>
      <c r="AA285">
        <v>0</v>
      </c>
      <c r="AB285" t="s">
        <v>37</v>
      </c>
      <c r="AC285">
        <v>0</v>
      </c>
      <c r="AD285">
        <v>0</v>
      </c>
      <c r="AE285">
        <v>70000</v>
      </c>
      <c r="AF285" t="str">
        <f>IF(Table1[[#This Row],[What is your current CGPA?]]&gt;=3.5,"High",IF(Table1[[#This Row],[What is your current CGPA?]]&gt;=2.5,"Medium","Low"))</f>
        <v>Low</v>
      </c>
      <c r="AG285" t="str">
        <f>IF(AND(Table1[[#This Row],[Average attendance on class]]&lt;75,Table1[[#This Row],[How many hour do you study daily?]]&lt;1),"At Risk","Normal")</f>
        <v>Normal</v>
      </c>
      <c r="AH285">
        <f>(Table1[[#This Row],[Average attendance on class]]*0.4)+(Table1[[#This Row],[How many hour do you study daily?]]*10*0.3)+(Table1[[#This Row],[How many hour do you spent daily on your skill development?]]*10*0.3)</f>
        <v>43</v>
      </c>
    </row>
    <row r="286" spans="1:34" x14ac:dyDescent="0.25">
      <c r="A286">
        <v>2022</v>
      </c>
      <c r="B286" t="s">
        <v>34</v>
      </c>
      <c r="C286">
        <v>22</v>
      </c>
      <c r="D286">
        <v>2020</v>
      </c>
      <c r="E286" t="s">
        <v>35</v>
      </c>
      <c r="F286">
        <v>1</v>
      </c>
      <c r="G286" t="s">
        <v>36</v>
      </c>
      <c r="H286" t="s">
        <v>36</v>
      </c>
      <c r="I286">
        <v>4</v>
      </c>
      <c r="J286">
        <v>1</v>
      </c>
      <c r="K286" t="s">
        <v>38</v>
      </c>
      <c r="L286" t="s">
        <v>36</v>
      </c>
      <c r="M286" t="s">
        <v>36</v>
      </c>
      <c r="N286">
        <v>2</v>
      </c>
      <c r="O286" t="s">
        <v>45</v>
      </c>
      <c r="P286">
        <v>100</v>
      </c>
      <c r="Q286" t="s">
        <v>36</v>
      </c>
      <c r="R286" t="s">
        <v>36</v>
      </c>
      <c r="S286" t="s">
        <v>36</v>
      </c>
      <c r="T286" t="s">
        <v>40</v>
      </c>
      <c r="U286">
        <v>2</v>
      </c>
      <c r="V286" t="s">
        <v>40</v>
      </c>
      <c r="W286" t="s">
        <v>42</v>
      </c>
      <c r="X286" t="s">
        <v>37</v>
      </c>
      <c r="Y286" t="s">
        <v>43</v>
      </c>
      <c r="Z286" t="s">
        <v>37</v>
      </c>
      <c r="AA286">
        <v>2.68</v>
      </c>
      <c r="AB286" t="s">
        <v>36</v>
      </c>
      <c r="AC286">
        <v>3.15</v>
      </c>
      <c r="AD286">
        <v>11</v>
      </c>
      <c r="AE286">
        <v>20000</v>
      </c>
      <c r="AF286" t="str">
        <f>IF(Table1[[#This Row],[What is your current CGPA?]]&gt;=3.5,"High",IF(Table1[[#This Row],[What is your current CGPA?]]&gt;=2.5,"Medium","Low"))</f>
        <v>Medium</v>
      </c>
      <c r="AG286" t="str">
        <f>IF(AND(Table1[[#This Row],[Average attendance on class]]&lt;75,Table1[[#This Row],[How many hour do you study daily?]]&lt;1),"At Risk","Normal")</f>
        <v>Normal</v>
      </c>
      <c r="AH286">
        <f>(Table1[[#This Row],[Average attendance on class]]*0.4)+(Table1[[#This Row],[How many hour do you study daily?]]*10*0.3)+(Table1[[#This Row],[How many hour do you spent daily on your skill development?]]*10*0.3)</f>
        <v>58</v>
      </c>
    </row>
    <row r="287" spans="1:34" x14ac:dyDescent="0.25">
      <c r="A287">
        <v>2021</v>
      </c>
      <c r="B287" t="s">
        <v>48</v>
      </c>
      <c r="C287">
        <v>20</v>
      </c>
      <c r="D287">
        <v>2020</v>
      </c>
      <c r="E287" t="s">
        <v>35</v>
      </c>
      <c r="F287">
        <v>3</v>
      </c>
      <c r="G287" t="s">
        <v>36</v>
      </c>
      <c r="H287" t="s">
        <v>36</v>
      </c>
      <c r="I287">
        <v>2</v>
      </c>
      <c r="J287">
        <v>2</v>
      </c>
      <c r="K287" t="s">
        <v>44</v>
      </c>
      <c r="L287" t="s">
        <v>36</v>
      </c>
      <c r="M287" t="s">
        <v>36</v>
      </c>
      <c r="N287">
        <v>1</v>
      </c>
      <c r="O287" t="s">
        <v>39</v>
      </c>
      <c r="P287">
        <v>90</v>
      </c>
      <c r="Q287" t="s">
        <v>37</v>
      </c>
      <c r="R287" t="s">
        <v>37</v>
      </c>
      <c r="S287" t="s">
        <v>36</v>
      </c>
      <c r="T287" t="s">
        <v>40</v>
      </c>
      <c r="U287">
        <v>1</v>
      </c>
      <c r="V287" t="s">
        <v>51</v>
      </c>
      <c r="W287" t="s">
        <v>42</v>
      </c>
      <c r="X287" t="s">
        <v>37</v>
      </c>
      <c r="Y287" t="s">
        <v>43</v>
      </c>
      <c r="Z287" t="s">
        <v>37</v>
      </c>
      <c r="AA287">
        <v>3.19</v>
      </c>
      <c r="AB287" t="s">
        <v>36</v>
      </c>
      <c r="AC287">
        <v>2.73</v>
      </c>
      <c r="AD287">
        <v>24</v>
      </c>
      <c r="AE287">
        <v>40000</v>
      </c>
      <c r="AF287" t="str">
        <f>IF(Table1[[#This Row],[What is your current CGPA?]]&gt;=3.5,"High",IF(Table1[[#This Row],[What is your current CGPA?]]&gt;=2.5,"Medium","Low"))</f>
        <v>Medium</v>
      </c>
      <c r="AG287" t="str">
        <f>IF(AND(Table1[[#This Row],[Average attendance on class]]&lt;75,Table1[[#This Row],[How many hour do you study daily?]]&lt;1),"At Risk","Normal")</f>
        <v>Normal</v>
      </c>
      <c r="AH287">
        <f>(Table1[[#This Row],[Average attendance on class]]*0.4)+(Table1[[#This Row],[How many hour do you study daily?]]*10*0.3)+(Table1[[#This Row],[How many hour do you spent daily on your skill development?]]*10*0.3)</f>
        <v>45</v>
      </c>
    </row>
    <row r="288" spans="1:34" x14ac:dyDescent="0.25">
      <c r="A288">
        <v>2019</v>
      </c>
      <c r="B288" t="s">
        <v>34</v>
      </c>
      <c r="C288">
        <v>21</v>
      </c>
      <c r="D288">
        <v>2019</v>
      </c>
      <c r="E288" t="s">
        <v>35</v>
      </c>
      <c r="F288">
        <v>3</v>
      </c>
      <c r="G288" t="s">
        <v>37</v>
      </c>
      <c r="H288" t="s">
        <v>37</v>
      </c>
      <c r="I288">
        <v>2</v>
      </c>
      <c r="J288">
        <v>2</v>
      </c>
      <c r="K288" t="s">
        <v>44</v>
      </c>
      <c r="L288" t="s">
        <v>36</v>
      </c>
      <c r="M288" t="s">
        <v>36</v>
      </c>
      <c r="N288">
        <v>1</v>
      </c>
      <c r="O288" t="s">
        <v>45</v>
      </c>
      <c r="P288">
        <v>88</v>
      </c>
      <c r="Q288" t="s">
        <v>36</v>
      </c>
      <c r="R288" t="s">
        <v>36</v>
      </c>
      <c r="S288" t="s">
        <v>36</v>
      </c>
      <c r="T288" t="s">
        <v>80</v>
      </c>
      <c r="U288">
        <v>1</v>
      </c>
      <c r="V288" t="s">
        <v>40</v>
      </c>
      <c r="W288" t="s">
        <v>42</v>
      </c>
      <c r="X288" t="s">
        <v>37</v>
      </c>
      <c r="Y288" t="s">
        <v>43</v>
      </c>
      <c r="Z288" t="s">
        <v>36</v>
      </c>
      <c r="AA288">
        <v>2.11</v>
      </c>
      <c r="AB288" t="s">
        <v>36</v>
      </c>
      <c r="AC288">
        <v>2.13</v>
      </c>
      <c r="AD288">
        <v>25</v>
      </c>
      <c r="AE288">
        <v>30000</v>
      </c>
      <c r="AF288" t="str">
        <f>IF(Table1[[#This Row],[What is your current CGPA?]]&gt;=3.5,"High",IF(Table1[[#This Row],[What is your current CGPA?]]&gt;=2.5,"Medium","Low"))</f>
        <v>Low</v>
      </c>
      <c r="AG288" t="str">
        <f>IF(AND(Table1[[#This Row],[Average attendance on class]]&lt;75,Table1[[#This Row],[How many hour do you study daily?]]&lt;1),"At Risk","Normal")</f>
        <v>Normal</v>
      </c>
      <c r="AH288">
        <f>(Table1[[#This Row],[Average attendance on class]]*0.4)+(Table1[[#This Row],[How many hour do you study daily?]]*10*0.3)+(Table1[[#This Row],[How many hour do you spent daily on your skill development?]]*10*0.3)</f>
        <v>44.2</v>
      </c>
    </row>
    <row r="289" spans="1:34" x14ac:dyDescent="0.25">
      <c r="A289">
        <v>2019</v>
      </c>
      <c r="B289" t="s">
        <v>48</v>
      </c>
      <c r="C289">
        <v>22</v>
      </c>
      <c r="D289">
        <v>2018</v>
      </c>
      <c r="E289" t="s">
        <v>35</v>
      </c>
      <c r="F289">
        <v>11</v>
      </c>
      <c r="G289" t="s">
        <v>37</v>
      </c>
      <c r="H289" t="s">
        <v>36</v>
      </c>
      <c r="I289">
        <v>6</v>
      </c>
      <c r="J289">
        <v>3</v>
      </c>
      <c r="K289" t="s">
        <v>38</v>
      </c>
      <c r="L289" t="s">
        <v>36</v>
      </c>
      <c r="M289" t="s">
        <v>36</v>
      </c>
      <c r="N289">
        <v>2</v>
      </c>
      <c r="O289" t="s">
        <v>45</v>
      </c>
      <c r="P289">
        <v>98</v>
      </c>
      <c r="Q289" t="s">
        <v>37</v>
      </c>
      <c r="R289" t="s">
        <v>37</v>
      </c>
      <c r="S289" t="s">
        <v>37</v>
      </c>
      <c r="T289" t="s">
        <v>40</v>
      </c>
      <c r="U289">
        <v>2</v>
      </c>
      <c r="V289" t="s">
        <v>52</v>
      </c>
      <c r="W289" t="s">
        <v>42</v>
      </c>
      <c r="X289" t="s">
        <v>37</v>
      </c>
      <c r="Y289" t="s">
        <v>47</v>
      </c>
      <c r="Z289" t="s">
        <v>37</v>
      </c>
      <c r="AA289">
        <v>3.1</v>
      </c>
      <c r="AB289" t="s">
        <v>37</v>
      </c>
      <c r="AC289">
        <v>3.07</v>
      </c>
      <c r="AD289">
        <v>107</v>
      </c>
      <c r="AE289">
        <v>60000</v>
      </c>
      <c r="AF289" t="str">
        <f>IF(Table1[[#This Row],[What is your current CGPA?]]&gt;=3.5,"High",IF(Table1[[#This Row],[What is your current CGPA?]]&gt;=2.5,"Medium","Low"))</f>
        <v>Medium</v>
      </c>
      <c r="AG289" t="str">
        <f>IF(AND(Table1[[#This Row],[Average attendance on class]]&lt;75,Table1[[#This Row],[How many hour do you study daily?]]&lt;1),"At Risk","Normal")</f>
        <v>Normal</v>
      </c>
      <c r="AH289">
        <f>(Table1[[#This Row],[Average attendance on class]]*0.4)+(Table1[[#This Row],[How many hour do you study daily?]]*10*0.3)+(Table1[[#This Row],[How many hour do you spent daily on your skill development?]]*10*0.3)</f>
        <v>63.2</v>
      </c>
    </row>
    <row r="290" spans="1:34" x14ac:dyDescent="0.25">
      <c r="A290">
        <v>2021</v>
      </c>
      <c r="B290" t="s">
        <v>34</v>
      </c>
      <c r="C290">
        <v>21</v>
      </c>
      <c r="D290">
        <v>2020</v>
      </c>
      <c r="E290" t="s">
        <v>35</v>
      </c>
      <c r="F290">
        <v>3</v>
      </c>
      <c r="G290" t="s">
        <v>36</v>
      </c>
      <c r="H290" t="s">
        <v>37</v>
      </c>
      <c r="I290">
        <v>4</v>
      </c>
      <c r="J290">
        <v>2</v>
      </c>
      <c r="K290" t="s">
        <v>38</v>
      </c>
      <c r="L290" t="s">
        <v>36</v>
      </c>
      <c r="M290" t="s">
        <v>36</v>
      </c>
      <c r="N290">
        <v>5</v>
      </c>
      <c r="O290" t="s">
        <v>39</v>
      </c>
      <c r="P290">
        <v>95</v>
      </c>
      <c r="Q290" t="s">
        <v>37</v>
      </c>
      <c r="R290" t="s">
        <v>37</v>
      </c>
      <c r="S290" t="s">
        <v>37</v>
      </c>
      <c r="T290" t="s">
        <v>40</v>
      </c>
      <c r="U290">
        <v>2</v>
      </c>
      <c r="V290" t="s">
        <v>40</v>
      </c>
      <c r="W290" t="s">
        <v>42</v>
      </c>
      <c r="X290" t="s">
        <v>36</v>
      </c>
      <c r="Y290" t="s">
        <v>43</v>
      </c>
      <c r="Z290" t="s">
        <v>37</v>
      </c>
      <c r="AA290">
        <v>3.28</v>
      </c>
      <c r="AB290" t="s">
        <v>37</v>
      </c>
      <c r="AC290">
        <v>3</v>
      </c>
      <c r="AD290">
        <v>25</v>
      </c>
      <c r="AE290">
        <v>70000</v>
      </c>
      <c r="AF290" t="str">
        <f>IF(Table1[[#This Row],[What is your current CGPA?]]&gt;=3.5,"High",IF(Table1[[#This Row],[What is your current CGPA?]]&gt;=2.5,"Medium","Low"))</f>
        <v>Medium</v>
      </c>
      <c r="AG290" t="str">
        <f>IF(AND(Table1[[#This Row],[Average attendance on class]]&lt;75,Table1[[#This Row],[How many hour do you study daily?]]&lt;1),"At Risk","Normal")</f>
        <v>Normal</v>
      </c>
      <c r="AH290">
        <f>(Table1[[#This Row],[Average attendance on class]]*0.4)+(Table1[[#This Row],[How many hour do you study daily?]]*10*0.3)+(Table1[[#This Row],[How many hour do you spent daily on your skill development?]]*10*0.3)</f>
        <v>56</v>
      </c>
    </row>
    <row r="291" spans="1:34" x14ac:dyDescent="0.25">
      <c r="A291">
        <v>2022</v>
      </c>
      <c r="B291" t="s">
        <v>48</v>
      </c>
      <c r="C291">
        <v>21</v>
      </c>
      <c r="D291">
        <v>2020</v>
      </c>
      <c r="E291" t="s">
        <v>35</v>
      </c>
      <c r="F291">
        <v>1</v>
      </c>
      <c r="G291" t="s">
        <v>36</v>
      </c>
      <c r="H291" t="s">
        <v>36</v>
      </c>
      <c r="I291">
        <v>1</v>
      </c>
      <c r="J291">
        <v>2</v>
      </c>
      <c r="K291" t="s">
        <v>38</v>
      </c>
      <c r="L291" t="s">
        <v>36</v>
      </c>
      <c r="M291" t="s">
        <v>36</v>
      </c>
      <c r="N291">
        <v>2</v>
      </c>
      <c r="O291" t="s">
        <v>45</v>
      </c>
      <c r="P291">
        <v>100</v>
      </c>
      <c r="Q291" t="s">
        <v>37</v>
      </c>
      <c r="R291" t="s">
        <v>37</v>
      </c>
      <c r="S291" t="s">
        <v>37</v>
      </c>
      <c r="T291" t="s">
        <v>40</v>
      </c>
      <c r="U291">
        <v>0</v>
      </c>
      <c r="V291" t="s">
        <v>40</v>
      </c>
      <c r="W291" t="s">
        <v>42</v>
      </c>
      <c r="X291" t="s">
        <v>37</v>
      </c>
      <c r="Y291" t="s">
        <v>47</v>
      </c>
      <c r="Z291" t="s">
        <v>37</v>
      </c>
      <c r="AA291">
        <v>3.15</v>
      </c>
      <c r="AB291" t="s">
        <v>37</v>
      </c>
      <c r="AC291">
        <v>3.15</v>
      </c>
      <c r="AD291">
        <v>11</v>
      </c>
      <c r="AE291">
        <v>35000</v>
      </c>
      <c r="AF291" t="str">
        <f>IF(Table1[[#This Row],[What is your current CGPA?]]&gt;=3.5,"High",IF(Table1[[#This Row],[What is your current CGPA?]]&gt;=2.5,"Medium","Low"))</f>
        <v>Medium</v>
      </c>
      <c r="AG291" t="str">
        <f>IF(AND(Table1[[#This Row],[Average attendance on class]]&lt;75,Table1[[#This Row],[How many hour do you study daily?]]&lt;1),"At Risk","Normal")</f>
        <v>Normal</v>
      </c>
      <c r="AH291">
        <f>(Table1[[#This Row],[Average attendance on class]]*0.4)+(Table1[[#This Row],[How many hour do you study daily?]]*10*0.3)+(Table1[[#This Row],[How many hour do you spent daily on your skill development?]]*10*0.3)</f>
        <v>43</v>
      </c>
    </row>
    <row r="292" spans="1:34" x14ac:dyDescent="0.25">
      <c r="A292">
        <v>2022</v>
      </c>
      <c r="B292" t="s">
        <v>34</v>
      </c>
      <c r="C292">
        <v>20</v>
      </c>
      <c r="D292">
        <v>2020</v>
      </c>
      <c r="E292" t="s">
        <v>35</v>
      </c>
      <c r="F292">
        <v>2</v>
      </c>
      <c r="G292" t="s">
        <v>36</v>
      </c>
      <c r="H292" t="s">
        <v>37</v>
      </c>
      <c r="I292">
        <v>5</v>
      </c>
      <c r="J292">
        <v>2</v>
      </c>
      <c r="K292" t="s">
        <v>38</v>
      </c>
      <c r="L292" t="s">
        <v>36</v>
      </c>
      <c r="M292" t="s">
        <v>36</v>
      </c>
      <c r="N292">
        <v>3</v>
      </c>
      <c r="O292" t="s">
        <v>45</v>
      </c>
      <c r="P292">
        <v>90</v>
      </c>
      <c r="Q292" t="s">
        <v>37</v>
      </c>
      <c r="R292" t="s">
        <v>37</v>
      </c>
      <c r="S292" t="s">
        <v>36</v>
      </c>
      <c r="T292" t="s">
        <v>40</v>
      </c>
      <c r="U292">
        <v>1</v>
      </c>
      <c r="V292" t="s">
        <v>40</v>
      </c>
      <c r="W292" t="s">
        <v>42</v>
      </c>
      <c r="X292" t="s">
        <v>36</v>
      </c>
      <c r="Y292" t="s">
        <v>43</v>
      </c>
      <c r="Z292" t="s">
        <v>37</v>
      </c>
      <c r="AA292">
        <v>3.6</v>
      </c>
      <c r="AB292" t="s">
        <v>37</v>
      </c>
      <c r="AC292">
        <v>3.6</v>
      </c>
      <c r="AD292">
        <v>14</v>
      </c>
      <c r="AE292">
        <v>10000</v>
      </c>
      <c r="AF292" t="str">
        <f>IF(Table1[[#This Row],[What is your current CGPA?]]&gt;=3.5,"High",IF(Table1[[#This Row],[What is your current CGPA?]]&gt;=2.5,"Medium","Low"))</f>
        <v>High</v>
      </c>
      <c r="AG292" t="str">
        <f>IF(AND(Table1[[#This Row],[Average attendance on class]]&lt;75,Table1[[#This Row],[How many hour do you study daily?]]&lt;1),"At Risk","Normal")</f>
        <v>Normal</v>
      </c>
      <c r="AH292">
        <f>(Table1[[#This Row],[Average attendance on class]]*0.4)+(Table1[[#This Row],[How many hour do you study daily?]]*10*0.3)+(Table1[[#This Row],[How many hour do you spent daily on your skill development?]]*10*0.3)</f>
        <v>54</v>
      </c>
    </row>
    <row r="293" spans="1:34" x14ac:dyDescent="0.25">
      <c r="A293">
        <v>2021</v>
      </c>
      <c r="B293" t="s">
        <v>48</v>
      </c>
      <c r="C293">
        <v>21</v>
      </c>
      <c r="D293">
        <v>2019</v>
      </c>
      <c r="E293" t="s">
        <v>35</v>
      </c>
      <c r="F293">
        <v>3</v>
      </c>
      <c r="G293" t="s">
        <v>36</v>
      </c>
      <c r="H293" t="s">
        <v>37</v>
      </c>
      <c r="I293">
        <v>3</v>
      </c>
      <c r="J293">
        <v>1</v>
      </c>
      <c r="K293" t="s">
        <v>38</v>
      </c>
      <c r="L293" t="s">
        <v>36</v>
      </c>
      <c r="M293" t="s">
        <v>36</v>
      </c>
      <c r="N293">
        <v>1</v>
      </c>
      <c r="O293" t="s">
        <v>39</v>
      </c>
      <c r="P293">
        <v>90</v>
      </c>
      <c r="Q293" t="s">
        <v>37</v>
      </c>
      <c r="R293" t="s">
        <v>37</v>
      </c>
      <c r="S293" t="s">
        <v>36</v>
      </c>
      <c r="T293" t="s">
        <v>40</v>
      </c>
      <c r="U293">
        <v>2</v>
      </c>
      <c r="V293" t="s">
        <v>51</v>
      </c>
      <c r="W293" t="s">
        <v>42</v>
      </c>
      <c r="X293" t="s">
        <v>37</v>
      </c>
      <c r="Y293" t="s">
        <v>43</v>
      </c>
      <c r="Z293" t="s">
        <v>37</v>
      </c>
      <c r="AA293">
        <v>3.75</v>
      </c>
      <c r="AB293" t="s">
        <v>37</v>
      </c>
      <c r="AC293">
        <v>3.7</v>
      </c>
      <c r="AD293">
        <v>24</v>
      </c>
      <c r="AE293">
        <v>50000</v>
      </c>
      <c r="AF293" t="str">
        <f>IF(Table1[[#This Row],[What is your current CGPA?]]&gt;=3.5,"High",IF(Table1[[#This Row],[What is your current CGPA?]]&gt;=2.5,"Medium","Low"))</f>
        <v>High</v>
      </c>
      <c r="AG293" t="str">
        <f>IF(AND(Table1[[#This Row],[Average attendance on class]]&lt;75,Table1[[#This Row],[How many hour do you study daily?]]&lt;1),"At Risk","Normal")</f>
        <v>Normal</v>
      </c>
      <c r="AH293">
        <f>(Table1[[#This Row],[Average attendance on class]]*0.4)+(Table1[[#This Row],[How many hour do you study daily?]]*10*0.3)+(Table1[[#This Row],[How many hour do you spent daily on your skill development?]]*10*0.3)</f>
        <v>51</v>
      </c>
    </row>
    <row r="294" spans="1:34" x14ac:dyDescent="0.25">
      <c r="A294">
        <v>2021</v>
      </c>
      <c r="B294" t="s">
        <v>34</v>
      </c>
      <c r="C294">
        <v>20</v>
      </c>
      <c r="D294">
        <v>2020</v>
      </c>
      <c r="E294" t="s">
        <v>35</v>
      </c>
      <c r="F294">
        <v>4</v>
      </c>
      <c r="G294" t="s">
        <v>37</v>
      </c>
      <c r="H294" t="s">
        <v>37</v>
      </c>
      <c r="I294">
        <v>1</v>
      </c>
      <c r="J294">
        <v>1</v>
      </c>
      <c r="K294" t="s">
        <v>44</v>
      </c>
      <c r="L294" t="s">
        <v>36</v>
      </c>
      <c r="M294" t="s">
        <v>36</v>
      </c>
      <c r="N294">
        <v>3</v>
      </c>
      <c r="O294" t="s">
        <v>39</v>
      </c>
      <c r="P294">
        <v>90</v>
      </c>
      <c r="Q294" t="s">
        <v>37</v>
      </c>
      <c r="R294" t="s">
        <v>37</v>
      </c>
      <c r="S294" t="s">
        <v>37</v>
      </c>
      <c r="T294" t="s">
        <v>40</v>
      </c>
      <c r="U294">
        <v>2</v>
      </c>
      <c r="V294" t="s">
        <v>40</v>
      </c>
      <c r="W294" t="s">
        <v>42</v>
      </c>
      <c r="X294" t="s">
        <v>36</v>
      </c>
      <c r="Y294" t="s">
        <v>47</v>
      </c>
      <c r="Z294" t="s">
        <v>37</v>
      </c>
      <c r="AA294">
        <v>3.85</v>
      </c>
      <c r="AB294" t="s">
        <v>37</v>
      </c>
      <c r="AC294">
        <v>3.92</v>
      </c>
      <c r="AD294">
        <v>34</v>
      </c>
      <c r="AE294">
        <v>40000</v>
      </c>
      <c r="AF294" t="str">
        <f>IF(Table1[[#This Row],[What is your current CGPA?]]&gt;=3.5,"High",IF(Table1[[#This Row],[What is your current CGPA?]]&gt;=2.5,"Medium","Low"))</f>
        <v>High</v>
      </c>
      <c r="AG294" t="str">
        <f>IF(AND(Table1[[#This Row],[Average attendance on class]]&lt;75,Table1[[#This Row],[How many hour do you study daily?]]&lt;1),"At Risk","Normal")</f>
        <v>Normal</v>
      </c>
      <c r="AH294">
        <f>(Table1[[#This Row],[Average attendance on class]]*0.4)+(Table1[[#This Row],[How many hour do you study daily?]]*10*0.3)+(Table1[[#This Row],[How many hour do you spent daily on your skill development?]]*10*0.3)</f>
        <v>45</v>
      </c>
    </row>
    <row r="295" spans="1:34" x14ac:dyDescent="0.25">
      <c r="A295">
        <v>2021</v>
      </c>
      <c r="B295" t="s">
        <v>48</v>
      </c>
      <c r="C295">
        <v>20</v>
      </c>
      <c r="D295">
        <v>2019</v>
      </c>
      <c r="E295" t="s">
        <v>35</v>
      </c>
      <c r="F295">
        <v>4</v>
      </c>
      <c r="G295" t="s">
        <v>36</v>
      </c>
      <c r="H295" t="s">
        <v>36</v>
      </c>
      <c r="I295">
        <v>3</v>
      </c>
      <c r="J295">
        <v>3</v>
      </c>
      <c r="K295" t="s">
        <v>38</v>
      </c>
      <c r="L295" t="s">
        <v>36</v>
      </c>
      <c r="M295" t="s">
        <v>36</v>
      </c>
      <c r="N295">
        <v>2</v>
      </c>
      <c r="O295" t="s">
        <v>45</v>
      </c>
      <c r="P295">
        <v>90</v>
      </c>
      <c r="Q295" t="s">
        <v>37</v>
      </c>
      <c r="R295" t="s">
        <v>37</v>
      </c>
      <c r="S295" t="s">
        <v>37</v>
      </c>
      <c r="T295" t="s">
        <v>40</v>
      </c>
      <c r="U295">
        <v>2</v>
      </c>
      <c r="V295" t="s">
        <v>52</v>
      </c>
      <c r="W295" t="s">
        <v>42</v>
      </c>
      <c r="X295" t="s">
        <v>37</v>
      </c>
      <c r="Y295" t="s">
        <v>47</v>
      </c>
      <c r="Z295" t="s">
        <v>37</v>
      </c>
      <c r="AA295">
        <v>2.68</v>
      </c>
      <c r="AB295" t="s">
        <v>37</v>
      </c>
      <c r="AC295">
        <v>2.68</v>
      </c>
      <c r="AD295">
        <v>23</v>
      </c>
      <c r="AE295">
        <v>100000</v>
      </c>
      <c r="AF295" t="str">
        <f>IF(Table1[[#This Row],[What is your current CGPA?]]&gt;=3.5,"High",IF(Table1[[#This Row],[What is your current CGPA?]]&gt;=2.5,"Medium","Low"))</f>
        <v>Medium</v>
      </c>
      <c r="AG295" t="str">
        <f>IF(AND(Table1[[#This Row],[Average attendance on class]]&lt;75,Table1[[#This Row],[How many hour do you study daily?]]&lt;1),"At Risk","Normal")</f>
        <v>Normal</v>
      </c>
      <c r="AH295">
        <f>(Table1[[#This Row],[Average attendance on class]]*0.4)+(Table1[[#This Row],[How many hour do you study daily?]]*10*0.3)+(Table1[[#This Row],[How many hour do you spent daily on your skill development?]]*10*0.3)</f>
        <v>51</v>
      </c>
    </row>
    <row r="296" spans="1:34" x14ac:dyDescent="0.25">
      <c r="A296">
        <v>2021</v>
      </c>
      <c r="B296" t="s">
        <v>48</v>
      </c>
      <c r="C296">
        <v>21</v>
      </c>
      <c r="D296">
        <v>2020</v>
      </c>
      <c r="E296" t="s">
        <v>35</v>
      </c>
      <c r="F296">
        <v>2</v>
      </c>
      <c r="G296" t="s">
        <v>36</v>
      </c>
      <c r="H296" t="s">
        <v>37</v>
      </c>
      <c r="I296">
        <v>3</v>
      </c>
      <c r="J296">
        <v>2</v>
      </c>
      <c r="K296" t="s">
        <v>44</v>
      </c>
      <c r="L296" t="s">
        <v>36</v>
      </c>
      <c r="M296" t="s">
        <v>36</v>
      </c>
      <c r="N296">
        <v>1</v>
      </c>
      <c r="O296" t="s">
        <v>39</v>
      </c>
      <c r="P296">
        <v>99</v>
      </c>
      <c r="Q296" t="s">
        <v>37</v>
      </c>
      <c r="R296" t="s">
        <v>37</v>
      </c>
      <c r="S296" t="s">
        <v>36</v>
      </c>
      <c r="T296" t="s">
        <v>40</v>
      </c>
      <c r="U296">
        <v>3</v>
      </c>
      <c r="V296" t="s">
        <v>40</v>
      </c>
      <c r="W296" t="s">
        <v>42</v>
      </c>
      <c r="X296" t="s">
        <v>37</v>
      </c>
      <c r="Y296" t="s">
        <v>43</v>
      </c>
      <c r="Z296" t="s">
        <v>37</v>
      </c>
      <c r="AA296">
        <v>3.18</v>
      </c>
      <c r="AB296" t="s">
        <v>37</v>
      </c>
      <c r="AC296">
        <v>3.18</v>
      </c>
      <c r="AD296">
        <v>11</v>
      </c>
      <c r="AE296">
        <v>62488</v>
      </c>
      <c r="AF296" t="str">
        <f>IF(Table1[[#This Row],[What is your current CGPA?]]&gt;=3.5,"High",IF(Table1[[#This Row],[What is your current CGPA?]]&gt;=2.5,"Medium","Low"))</f>
        <v>Medium</v>
      </c>
      <c r="AG296" t="str">
        <f>IF(AND(Table1[[#This Row],[Average attendance on class]]&lt;75,Table1[[#This Row],[How many hour do you study daily?]]&lt;1),"At Risk","Normal")</f>
        <v>Normal</v>
      </c>
      <c r="AH296">
        <f>(Table1[[#This Row],[Average attendance on class]]*0.4)+(Table1[[#This Row],[How many hour do you study daily?]]*10*0.3)+(Table1[[#This Row],[How many hour do you spent daily on your skill development?]]*10*0.3)</f>
        <v>57.6</v>
      </c>
    </row>
    <row r="297" spans="1:34" x14ac:dyDescent="0.25">
      <c r="A297">
        <v>2019</v>
      </c>
      <c r="B297" t="s">
        <v>48</v>
      </c>
      <c r="C297">
        <v>24</v>
      </c>
      <c r="D297">
        <v>2018</v>
      </c>
      <c r="E297" t="s">
        <v>35</v>
      </c>
      <c r="F297">
        <v>11</v>
      </c>
      <c r="G297" t="s">
        <v>36</v>
      </c>
      <c r="H297" t="s">
        <v>37</v>
      </c>
      <c r="I297">
        <v>2</v>
      </c>
      <c r="J297">
        <v>1</v>
      </c>
      <c r="K297" t="s">
        <v>38</v>
      </c>
      <c r="L297" t="s">
        <v>36</v>
      </c>
      <c r="M297" t="s">
        <v>36</v>
      </c>
      <c r="N297">
        <v>1</v>
      </c>
      <c r="O297" t="s">
        <v>39</v>
      </c>
      <c r="P297">
        <v>90</v>
      </c>
      <c r="Q297" t="s">
        <v>37</v>
      </c>
      <c r="R297" t="s">
        <v>37</v>
      </c>
      <c r="S297" t="s">
        <v>36</v>
      </c>
      <c r="T297" t="s">
        <v>40</v>
      </c>
      <c r="U297">
        <v>2</v>
      </c>
      <c r="V297" t="s">
        <v>41</v>
      </c>
      <c r="W297" t="s">
        <v>56</v>
      </c>
      <c r="X297" t="s">
        <v>37</v>
      </c>
      <c r="Y297" t="s">
        <v>47</v>
      </c>
      <c r="Z297" t="s">
        <v>37</v>
      </c>
      <c r="AA297">
        <v>3.39</v>
      </c>
      <c r="AB297" t="s">
        <v>37</v>
      </c>
      <c r="AC297">
        <v>3.4</v>
      </c>
      <c r="AD297">
        <v>128</v>
      </c>
      <c r="AE297">
        <v>5000</v>
      </c>
      <c r="AF297" t="str">
        <f>IF(Table1[[#This Row],[What is your current CGPA?]]&gt;=3.5,"High",IF(Table1[[#This Row],[What is your current CGPA?]]&gt;=2.5,"Medium","Low"))</f>
        <v>Medium</v>
      </c>
      <c r="AG297" t="str">
        <f>IF(AND(Table1[[#This Row],[Average attendance on class]]&lt;75,Table1[[#This Row],[How many hour do you study daily?]]&lt;1),"At Risk","Normal")</f>
        <v>Normal</v>
      </c>
      <c r="AH297">
        <f>(Table1[[#This Row],[Average attendance on class]]*0.4)+(Table1[[#This Row],[How many hour do you study daily?]]*10*0.3)+(Table1[[#This Row],[How many hour do you spent daily on your skill development?]]*10*0.3)</f>
        <v>48</v>
      </c>
    </row>
    <row r="298" spans="1:34" x14ac:dyDescent="0.25">
      <c r="A298">
        <v>2021</v>
      </c>
      <c r="B298" t="s">
        <v>48</v>
      </c>
      <c r="C298">
        <v>20</v>
      </c>
      <c r="D298">
        <v>2020</v>
      </c>
      <c r="E298" t="s">
        <v>35</v>
      </c>
      <c r="F298">
        <v>4</v>
      </c>
      <c r="G298" t="s">
        <v>37</v>
      </c>
      <c r="H298" t="s">
        <v>37</v>
      </c>
      <c r="I298">
        <v>4</v>
      </c>
      <c r="J298">
        <v>1</v>
      </c>
      <c r="K298" t="s">
        <v>44</v>
      </c>
      <c r="L298" t="s">
        <v>36</v>
      </c>
      <c r="M298" t="s">
        <v>36</v>
      </c>
      <c r="N298">
        <v>4</v>
      </c>
      <c r="O298" t="s">
        <v>39</v>
      </c>
      <c r="P298">
        <v>100</v>
      </c>
      <c r="Q298" t="s">
        <v>37</v>
      </c>
      <c r="R298" t="s">
        <v>37</v>
      </c>
      <c r="S298" t="s">
        <v>36</v>
      </c>
      <c r="T298" t="s">
        <v>40</v>
      </c>
      <c r="U298">
        <v>2</v>
      </c>
      <c r="V298" t="s">
        <v>40</v>
      </c>
      <c r="W298" t="s">
        <v>42</v>
      </c>
      <c r="X298" t="s">
        <v>37</v>
      </c>
      <c r="Y298" t="s">
        <v>43</v>
      </c>
      <c r="Z298" t="s">
        <v>36</v>
      </c>
      <c r="AA298">
        <v>2.98</v>
      </c>
      <c r="AB298" t="s">
        <v>37</v>
      </c>
      <c r="AC298">
        <v>3.38</v>
      </c>
      <c r="AD298">
        <v>25</v>
      </c>
      <c r="AE298">
        <v>60000</v>
      </c>
      <c r="AF298" t="str">
        <f>IF(Table1[[#This Row],[What is your current CGPA?]]&gt;=3.5,"High",IF(Table1[[#This Row],[What is your current CGPA?]]&gt;=2.5,"Medium","Low"))</f>
        <v>Medium</v>
      </c>
      <c r="AG298" t="str">
        <f>IF(AND(Table1[[#This Row],[Average attendance on class]]&lt;75,Table1[[#This Row],[How many hour do you study daily?]]&lt;1),"At Risk","Normal")</f>
        <v>Normal</v>
      </c>
      <c r="AH298">
        <f>(Table1[[#This Row],[Average attendance on class]]*0.4)+(Table1[[#This Row],[How many hour do you study daily?]]*10*0.3)+(Table1[[#This Row],[How many hour do you spent daily on your skill development?]]*10*0.3)</f>
        <v>58</v>
      </c>
    </row>
    <row r="299" spans="1:34" x14ac:dyDescent="0.25">
      <c r="A299">
        <v>2021</v>
      </c>
      <c r="B299" t="s">
        <v>48</v>
      </c>
      <c r="C299">
        <v>21</v>
      </c>
      <c r="D299">
        <v>2020</v>
      </c>
      <c r="E299" t="s">
        <v>35</v>
      </c>
      <c r="F299">
        <v>2</v>
      </c>
      <c r="G299" t="s">
        <v>37</v>
      </c>
      <c r="H299" t="s">
        <v>37</v>
      </c>
      <c r="I299">
        <v>9</v>
      </c>
      <c r="J299">
        <v>2</v>
      </c>
      <c r="K299" t="s">
        <v>38</v>
      </c>
      <c r="L299" t="s">
        <v>36</v>
      </c>
      <c r="M299" t="s">
        <v>36</v>
      </c>
      <c r="N299">
        <v>3</v>
      </c>
      <c r="O299" t="s">
        <v>39</v>
      </c>
      <c r="P299">
        <v>97</v>
      </c>
      <c r="Q299" t="s">
        <v>36</v>
      </c>
      <c r="R299" t="s">
        <v>37</v>
      </c>
      <c r="S299" t="s">
        <v>37</v>
      </c>
      <c r="T299" t="s">
        <v>40</v>
      </c>
      <c r="U299">
        <v>5</v>
      </c>
      <c r="V299" t="s">
        <v>40</v>
      </c>
      <c r="W299" t="s">
        <v>42</v>
      </c>
      <c r="X299" t="s">
        <v>37</v>
      </c>
      <c r="Y299" t="s">
        <v>47</v>
      </c>
      <c r="Z299" t="s">
        <v>37</v>
      </c>
      <c r="AA299">
        <v>3.7</v>
      </c>
      <c r="AB299" t="s">
        <v>37</v>
      </c>
      <c r="AC299">
        <v>3.15</v>
      </c>
      <c r="AD299">
        <v>23</v>
      </c>
      <c r="AE299">
        <v>50000</v>
      </c>
      <c r="AF299" t="str">
        <f>IF(Table1[[#This Row],[What is your current CGPA?]]&gt;=3.5,"High",IF(Table1[[#This Row],[What is your current CGPA?]]&gt;=2.5,"Medium","Low"))</f>
        <v>Medium</v>
      </c>
      <c r="AG299" t="str">
        <f>IF(AND(Table1[[#This Row],[Average attendance on class]]&lt;75,Table1[[#This Row],[How many hour do you study daily?]]&lt;1),"At Risk","Normal")</f>
        <v>Normal</v>
      </c>
      <c r="AH299">
        <f>(Table1[[#This Row],[Average attendance on class]]*0.4)+(Table1[[#This Row],[How many hour do you study daily?]]*10*0.3)+(Table1[[#This Row],[How many hour do you spent daily on your skill development?]]*10*0.3)</f>
        <v>80.800000000000011</v>
      </c>
    </row>
    <row r="300" spans="1:34" x14ac:dyDescent="0.25">
      <c r="A300">
        <v>2018</v>
      </c>
      <c r="B300" t="s">
        <v>48</v>
      </c>
      <c r="C300">
        <v>23</v>
      </c>
      <c r="D300">
        <v>2017</v>
      </c>
      <c r="E300" t="s">
        <v>35</v>
      </c>
      <c r="F300">
        <v>14</v>
      </c>
      <c r="G300" t="s">
        <v>37</v>
      </c>
      <c r="H300" t="s">
        <v>36</v>
      </c>
      <c r="I300">
        <v>1</v>
      </c>
      <c r="J300">
        <v>2</v>
      </c>
      <c r="K300" t="s">
        <v>38</v>
      </c>
      <c r="L300" t="s">
        <v>36</v>
      </c>
      <c r="M300" t="s">
        <v>36</v>
      </c>
      <c r="N300">
        <v>2</v>
      </c>
      <c r="O300" t="s">
        <v>53</v>
      </c>
      <c r="P300">
        <v>80</v>
      </c>
      <c r="Q300" t="s">
        <v>36</v>
      </c>
      <c r="R300" t="s">
        <v>37</v>
      </c>
      <c r="S300" t="s">
        <v>36</v>
      </c>
      <c r="T300" t="s">
        <v>40</v>
      </c>
      <c r="U300">
        <v>2</v>
      </c>
      <c r="V300" t="s">
        <v>52</v>
      </c>
      <c r="W300" t="s">
        <v>56</v>
      </c>
      <c r="X300" t="s">
        <v>37</v>
      </c>
      <c r="Y300" t="s">
        <v>47</v>
      </c>
      <c r="Z300" t="s">
        <v>37</v>
      </c>
      <c r="AA300">
        <v>3.25</v>
      </c>
      <c r="AB300" t="s">
        <v>37</v>
      </c>
      <c r="AC300">
        <v>2.95</v>
      </c>
      <c r="AD300">
        <v>130</v>
      </c>
      <c r="AE300">
        <v>40000</v>
      </c>
      <c r="AF300" t="str">
        <f>IF(Table1[[#This Row],[What is your current CGPA?]]&gt;=3.5,"High",IF(Table1[[#This Row],[What is your current CGPA?]]&gt;=2.5,"Medium","Low"))</f>
        <v>Medium</v>
      </c>
      <c r="AG300" t="str">
        <f>IF(AND(Table1[[#This Row],[Average attendance on class]]&lt;75,Table1[[#This Row],[How many hour do you study daily?]]&lt;1),"At Risk","Normal")</f>
        <v>Normal</v>
      </c>
      <c r="AH300">
        <f>(Table1[[#This Row],[Average attendance on class]]*0.4)+(Table1[[#This Row],[How many hour do you study daily?]]*10*0.3)+(Table1[[#This Row],[How many hour do you spent daily on your skill development?]]*10*0.3)</f>
        <v>41</v>
      </c>
    </row>
    <row r="301" spans="1:34" x14ac:dyDescent="0.25">
      <c r="A301">
        <v>2021</v>
      </c>
      <c r="B301" t="s">
        <v>34</v>
      </c>
      <c r="C301">
        <v>19</v>
      </c>
      <c r="D301">
        <v>2020</v>
      </c>
      <c r="E301" t="s">
        <v>35</v>
      </c>
      <c r="F301">
        <v>3</v>
      </c>
      <c r="G301" t="s">
        <v>37</v>
      </c>
      <c r="H301" t="s">
        <v>36</v>
      </c>
      <c r="I301">
        <v>2</v>
      </c>
      <c r="J301">
        <v>1</v>
      </c>
      <c r="K301" t="s">
        <v>44</v>
      </c>
      <c r="L301" t="s">
        <v>36</v>
      </c>
      <c r="M301" t="s">
        <v>36</v>
      </c>
      <c r="N301">
        <v>3</v>
      </c>
      <c r="O301" t="s">
        <v>45</v>
      </c>
      <c r="P301">
        <v>85</v>
      </c>
      <c r="Q301" t="s">
        <v>37</v>
      </c>
      <c r="R301" t="s">
        <v>37</v>
      </c>
      <c r="S301" t="s">
        <v>37</v>
      </c>
      <c r="T301" t="s">
        <v>40</v>
      </c>
      <c r="U301">
        <v>1</v>
      </c>
      <c r="V301" t="s">
        <v>40</v>
      </c>
      <c r="W301" t="s">
        <v>42</v>
      </c>
      <c r="X301" t="s">
        <v>37</v>
      </c>
      <c r="Y301" t="s">
        <v>47</v>
      </c>
      <c r="Z301" t="s">
        <v>37</v>
      </c>
      <c r="AA301">
        <v>3.03</v>
      </c>
      <c r="AB301" t="s">
        <v>37</v>
      </c>
      <c r="AC301">
        <v>3.21</v>
      </c>
      <c r="AD301">
        <v>25</v>
      </c>
      <c r="AE301">
        <v>30000</v>
      </c>
      <c r="AF301" t="str">
        <f>IF(Table1[[#This Row],[What is your current CGPA?]]&gt;=3.5,"High",IF(Table1[[#This Row],[What is your current CGPA?]]&gt;=2.5,"Medium","Low"))</f>
        <v>Medium</v>
      </c>
      <c r="AG301" t="str">
        <f>IF(AND(Table1[[#This Row],[Average attendance on class]]&lt;75,Table1[[#This Row],[How many hour do you study daily?]]&lt;1),"At Risk","Normal")</f>
        <v>Normal</v>
      </c>
      <c r="AH301">
        <f>(Table1[[#This Row],[Average attendance on class]]*0.4)+(Table1[[#This Row],[How many hour do you study daily?]]*10*0.3)+(Table1[[#This Row],[How many hour do you spent daily on your skill development?]]*10*0.3)</f>
        <v>43</v>
      </c>
    </row>
    <row r="302" spans="1:34" x14ac:dyDescent="0.25">
      <c r="A302">
        <v>2021</v>
      </c>
      <c r="B302" t="s">
        <v>48</v>
      </c>
      <c r="C302">
        <v>22</v>
      </c>
      <c r="D302">
        <v>2020</v>
      </c>
      <c r="E302" t="s">
        <v>35</v>
      </c>
      <c r="F302">
        <v>5</v>
      </c>
      <c r="G302" t="s">
        <v>37</v>
      </c>
      <c r="H302" t="s">
        <v>37</v>
      </c>
      <c r="I302">
        <v>2</v>
      </c>
      <c r="J302">
        <v>2</v>
      </c>
      <c r="K302" t="s">
        <v>38</v>
      </c>
      <c r="L302" t="s">
        <v>36</v>
      </c>
      <c r="M302" t="s">
        <v>36</v>
      </c>
      <c r="N302">
        <v>3</v>
      </c>
      <c r="O302" t="s">
        <v>39</v>
      </c>
      <c r="P302">
        <v>95</v>
      </c>
      <c r="Q302" t="s">
        <v>37</v>
      </c>
      <c r="R302" t="s">
        <v>37</v>
      </c>
      <c r="S302" t="s">
        <v>37</v>
      </c>
      <c r="T302" t="s">
        <v>40</v>
      </c>
      <c r="U302">
        <v>1</v>
      </c>
      <c r="V302" t="s">
        <v>40</v>
      </c>
      <c r="W302" t="s">
        <v>42</v>
      </c>
      <c r="X302" t="s">
        <v>37</v>
      </c>
      <c r="Y302" t="s">
        <v>43</v>
      </c>
      <c r="Z302" t="s">
        <v>37</v>
      </c>
      <c r="AA302">
        <v>3.1</v>
      </c>
      <c r="AB302" t="s">
        <v>37</v>
      </c>
      <c r="AC302">
        <v>3.18</v>
      </c>
      <c r="AD302">
        <v>48</v>
      </c>
      <c r="AE302">
        <v>50000</v>
      </c>
      <c r="AF302" t="str">
        <f>IF(Table1[[#This Row],[What is your current CGPA?]]&gt;=3.5,"High",IF(Table1[[#This Row],[What is your current CGPA?]]&gt;=2.5,"Medium","Low"))</f>
        <v>Medium</v>
      </c>
      <c r="AG302" t="str">
        <f>IF(AND(Table1[[#This Row],[Average attendance on class]]&lt;75,Table1[[#This Row],[How many hour do you study daily?]]&lt;1),"At Risk","Normal")</f>
        <v>Normal</v>
      </c>
      <c r="AH302">
        <f>(Table1[[#This Row],[Average attendance on class]]*0.4)+(Table1[[#This Row],[How many hour do you study daily?]]*10*0.3)+(Table1[[#This Row],[How many hour do you spent daily on your skill development?]]*10*0.3)</f>
        <v>47</v>
      </c>
    </row>
    <row r="303" spans="1:34" x14ac:dyDescent="0.25">
      <c r="A303">
        <v>2022</v>
      </c>
      <c r="B303" t="s">
        <v>48</v>
      </c>
      <c r="C303">
        <v>21</v>
      </c>
      <c r="D303">
        <v>2020</v>
      </c>
      <c r="E303" t="s">
        <v>35</v>
      </c>
      <c r="F303">
        <v>2</v>
      </c>
      <c r="G303" t="s">
        <v>36</v>
      </c>
      <c r="H303" t="s">
        <v>36</v>
      </c>
      <c r="I303">
        <v>2</v>
      </c>
      <c r="J303">
        <v>1</v>
      </c>
      <c r="K303" t="s">
        <v>38</v>
      </c>
      <c r="L303" t="s">
        <v>36</v>
      </c>
      <c r="M303" t="s">
        <v>36</v>
      </c>
      <c r="N303">
        <v>3</v>
      </c>
      <c r="O303" t="s">
        <v>39</v>
      </c>
      <c r="P303">
        <v>98</v>
      </c>
      <c r="Q303" t="s">
        <v>37</v>
      </c>
      <c r="R303" t="s">
        <v>37</v>
      </c>
      <c r="S303" t="s">
        <v>36</v>
      </c>
      <c r="T303" t="s">
        <v>40</v>
      </c>
      <c r="U303">
        <v>1</v>
      </c>
      <c r="V303" t="s">
        <v>40</v>
      </c>
      <c r="W303" t="s">
        <v>42</v>
      </c>
      <c r="X303" t="s">
        <v>37</v>
      </c>
      <c r="Y303" t="s">
        <v>47</v>
      </c>
      <c r="Z303" t="s">
        <v>37</v>
      </c>
      <c r="AA303">
        <v>3.7</v>
      </c>
      <c r="AB303" t="s">
        <v>37</v>
      </c>
      <c r="AC303">
        <v>3.7</v>
      </c>
      <c r="AD303">
        <v>12</v>
      </c>
      <c r="AE303">
        <v>120000</v>
      </c>
      <c r="AF303" t="str">
        <f>IF(Table1[[#This Row],[What is your current CGPA?]]&gt;=3.5,"High",IF(Table1[[#This Row],[What is your current CGPA?]]&gt;=2.5,"Medium","Low"))</f>
        <v>High</v>
      </c>
      <c r="AG303" t="str">
        <f>IF(AND(Table1[[#This Row],[Average attendance on class]]&lt;75,Table1[[#This Row],[How many hour do you study daily?]]&lt;1),"At Risk","Normal")</f>
        <v>Normal</v>
      </c>
      <c r="AH303">
        <f>(Table1[[#This Row],[Average attendance on class]]*0.4)+(Table1[[#This Row],[How many hour do you study daily?]]*10*0.3)+(Table1[[#This Row],[How many hour do you spent daily on your skill development?]]*10*0.3)</f>
        <v>48.2</v>
      </c>
    </row>
    <row r="304" spans="1:34" x14ac:dyDescent="0.25">
      <c r="A304">
        <v>2022</v>
      </c>
      <c r="B304" t="s">
        <v>34</v>
      </c>
      <c r="C304">
        <v>21</v>
      </c>
      <c r="D304">
        <v>2020</v>
      </c>
      <c r="E304" t="s">
        <v>35</v>
      </c>
      <c r="F304">
        <v>2</v>
      </c>
      <c r="G304" t="s">
        <v>36</v>
      </c>
      <c r="H304" t="s">
        <v>36</v>
      </c>
      <c r="I304">
        <v>9</v>
      </c>
      <c r="J304">
        <v>2</v>
      </c>
      <c r="K304" t="s">
        <v>38</v>
      </c>
      <c r="L304" t="s">
        <v>36</v>
      </c>
      <c r="M304" t="s">
        <v>36</v>
      </c>
      <c r="N304">
        <v>6</v>
      </c>
      <c r="O304" t="s">
        <v>39</v>
      </c>
      <c r="P304">
        <v>70</v>
      </c>
      <c r="Q304" t="s">
        <v>36</v>
      </c>
      <c r="R304" t="s">
        <v>37</v>
      </c>
      <c r="S304" t="s">
        <v>36</v>
      </c>
      <c r="T304" t="s">
        <v>40</v>
      </c>
      <c r="U304">
        <v>4</v>
      </c>
      <c r="V304" t="s">
        <v>40</v>
      </c>
      <c r="W304" t="s">
        <v>42</v>
      </c>
      <c r="X304" t="s">
        <v>36</v>
      </c>
      <c r="Y304" t="s">
        <v>47</v>
      </c>
      <c r="Z304" t="s">
        <v>37</v>
      </c>
      <c r="AA304">
        <v>4</v>
      </c>
      <c r="AB304" t="s">
        <v>37</v>
      </c>
      <c r="AC304">
        <v>4</v>
      </c>
      <c r="AD304">
        <v>12</v>
      </c>
      <c r="AE304">
        <v>30000</v>
      </c>
      <c r="AF304" t="str">
        <f>IF(Table1[[#This Row],[What is your current CGPA?]]&gt;=3.5,"High",IF(Table1[[#This Row],[What is your current CGPA?]]&gt;=2.5,"Medium","Low"))</f>
        <v>High</v>
      </c>
      <c r="AG304" t="str">
        <f>IF(AND(Table1[[#This Row],[Average attendance on class]]&lt;75,Table1[[#This Row],[How many hour do you study daily?]]&lt;1),"At Risk","Normal")</f>
        <v>Normal</v>
      </c>
      <c r="AH304">
        <f>(Table1[[#This Row],[Average attendance on class]]*0.4)+(Table1[[#This Row],[How many hour do you study daily?]]*10*0.3)+(Table1[[#This Row],[How many hour do you spent daily on your skill development?]]*10*0.3)</f>
        <v>67</v>
      </c>
    </row>
    <row r="305" spans="1:34" x14ac:dyDescent="0.25">
      <c r="A305">
        <v>2021</v>
      </c>
      <c r="B305" t="s">
        <v>34</v>
      </c>
      <c r="C305">
        <v>19</v>
      </c>
      <c r="D305">
        <v>2020</v>
      </c>
      <c r="E305" t="s">
        <v>35</v>
      </c>
      <c r="F305">
        <v>3</v>
      </c>
      <c r="G305" t="s">
        <v>36</v>
      </c>
      <c r="H305" t="s">
        <v>36</v>
      </c>
      <c r="I305">
        <v>1</v>
      </c>
      <c r="J305">
        <v>1</v>
      </c>
      <c r="K305" t="s">
        <v>38</v>
      </c>
      <c r="L305" t="s">
        <v>36</v>
      </c>
      <c r="M305" t="s">
        <v>36</v>
      </c>
      <c r="N305">
        <v>2</v>
      </c>
      <c r="O305" t="s">
        <v>39</v>
      </c>
      <c r="P305">
        <v>85</v>
      </c>
      <c r="Q305" t="s">
        <v>37</v>
      </c>
      <c r="R305" t="s">
        <v>37</v>
      </c>
      <c r="S305" t="s">
        <v>36</v>
      </c>
      <c r="T305" t="s">
        <v>40</v>
      </c>
      <c r="U305">
        <v>1</v>
      </c>
      <c r="V305" t="s">
        <v>40</v>
      </c>
      <c r="W305" t="s">
        <v>42</v>
      </c>
      <c r="X305" t="s">
        <v>36</v>
      </c>
      <c r="Y305" t="s">
        <v>43</v>
      </c>
      <c r="Z305" t="s">
        <v>37</v>
      </c>
      <c r="AA305">
        <v>3.18</v>
      </c>
      <c r="AB305" t="s">
        <v>37</v>
      </c>
      <c r="AC305">
        <v>3.45</v>
      </c>
      <c r="AD305">
        <v>23</v>
      </c>
      <c r="AE305">
        <v>62488</v>
      </c>
      <c r="AF305" t="str">
        <f>IF(Table1[[#This Row],[What is your current CGPA?]]&gt;=3.5,"High",IF(Table1[[#This Row],[What is your current CGPA?]]&gt;=2.5,"Medium","Low"))</f>
        <v>Medium</v>
      </c>
      <c r="AG305" t="str">
        <f>IF(AND(Table1[[#This Row],[Average attendance on class]]&lt;75,Table1[[#This Row],[How many hour do you study daily?]]&lt;1),"At Risk","Normal")</f>
        <v>Normal</v>
      </c>
      <c r="AH305">
        <f>(Table1[[#This Row],[Average attendance on class]]*0.4)+(Table1[[#This Row],[How many hour do you study daily?]]*10*0.3)+(Table1[[#This Row],[How many hour do you spent daily on your skill development?]]*10*0.3)</f>
        <v>40</v>
      </c>
    </row>
    <row r="306" spans="1:34" x14ac:dyDescent="0.25">
      <c r="A306">
        <v>2021</v>
      </c>
      <c r="B306" t="s">
        <v>48</v>
      </c>
      <c r="C306">
        <v>19</v>
      </c>
      <c r="D306">
        <v>2020</v>
      </c>
      <c r="E306" t="s">
        <v>35</v>
      </c>
      <c r="F306">
        <v>3</v>
      </c>
      <c r="G306" t="s">
        <v>36</v>
      </c>
      <c r="H306" t="s">
        <v>36</v>
      </c>
      <c r="I306">
        <v>2</v>
      </c>
      <c r="J306">
        <v>2</v>
      </c>
      <c r="K306" t="s">
        <v>38</v>
      </c>
      <c r="L306" t="s">
        <v>36</v>
      </c>
      <c r="M306" t="s">
        <v>36</v>
      </c>
      <c r="N306">
        <v>3</v>
      </c>
      <c r="O306" t="s">
        <v>45</v>
      </c>
      <c r="P306">
        <v>100</v>
      </c>
      <c r="Q306" t="s">
        <v>37</v>
      </c>
      <c r="R306" t="s">
        <v>37</v>
      </c>
      <c r="S306" t="s">
        <v>36</v>
      </c>
      <c r="T306" t="s">
        <v>40</v>
      </c>
      <c r="U306">
        <v>2</v>
      </c>
      <c r="V306" t="s">
        <v>40</v>
      </c>
      <c r="W306" t="s">
        <v>42</v>
      </c>
      <c r="X306" t="s">
        <v>37</v>
      </c>
      <c r="Y306" t="s">
        <v>47</v>
      </c>
      <c r="Z306" t="s">
        <v>37</v>
      </c>
      <c r="AA306">
        <v>3.61</v>
      </c>
      <c r="AB306" t="s">
        <v>37</v>
      </c>
      <c r="AC306">
        <v>3.74</v>
      </c>
      <c r="AD306">
        <v>25</v>
      </c>
      <c r="AE306">
        <v>40000</v>
      </c>
      <c r="AF306" t="str">
        <f>IF(Table1[[#This Row],[What is your current CGPA?]]&gt;=3.5,"High",IF(Table1[[#This Row],[What is your current CGPA?]]&gt;=2.5,"Medium","Low"))</f>
        <v>High</v>
      </c>
      <c r="AG306" t="str">
        <f>IF(AND(Table1[[#This Row],[Average attendance on class]]&lt;75,Table1[[#This Row],[How many hour do you study daily?]]&lt;1),"At Risk","Normal")</f>
        <v>Normal</v>
      </c>
      <c r="AH306">
        <f>(Table1[[#This Row],[Average attendance on class]]*0.4)+(Table1[[#This Row],[How many hour do you study daily?]]*10*0.3)+(Table1[[#This Row],[How many hour do you spent daily on your skill development?]]*10*0.3)</f>
        <v>52</v>
      </c>
    </row>
    <row r="307" spans="1:34" x14ac:dyDescent="0.25">
      <c r="A307">
        <v>2021</v>
      </c>
      <c r="B307" t="s">
        <v>34</v>
      </c>
      <c r="C307">
        <v>22</v>
      </c>
      <c r="D307">
        <v>2017</v>
      </c>
      <c r="E307" t="s">
        <v>35</v>
      </c>
      <c r="F307">
        <v>3</v>
      </c>
      <c r="G307" t="s">
        <v>36</v>
      </c>
      <c r="H307" t="s">
        <v>37</v>
      </c>
      <c r="I307">
        <v>2</v>
      </c>
      <c r="J307">
        <v>1</v>
      </c>
      <c r="K307" t="s">
        <v>44</v>
      </c>
      <c r="L307" t="s">
        <v>36</v>
      </c>
      <c r="M307" t="s">
        <v>36</v>
      </c>
      <c r="N307">
        <v>0</v>
      </c>
      <c r="O307" t="s">
        <v>39</v>
      </c>
      <c r="P307">
        <v>70</v>
      </c>
      <c r="Q307" t="s">
        <v>37</v>
      </c>
      <c r="R307" t="s">
        <v>37</v>
      </c>
      <c r="S307" t="s">
        <v>37</v>
      </c>
      <c r="T307" t="s">
        <v>40</v>
      </c>
      <c r="U307">
        <v>1</v>
      </c>
      <c r="V307" t="s">
        <v>40</v>
      </c>
      <c r="W307" t="s">
        <v>42</v>
      </c>
      <c r="X307" t="s">
        <v>37</v>
      </c>
      <c r="Y307" t="s">
        <v>47</v>
      </c>
      <c r="Z307" t="s">
        <v>37</v>
      </c>
      <c r="AA307">
        <v>3.01</v>
      </c>
      <c r="AB307" t="s">
        <v>37</v>
      </c>
      <c r="AC307">
        <v>3.22</v>
      </c>
      <c r="AD307">
        <v>23</v>
      </c>
      <c r="AE307">
        <v>70000</v>
      </c>
      <c r="AF307" t="str">
        <f>IF(Table1[[#This Row],[What is your current CGPA?]]&gt;=3.5,"High",IF(Table1[[#This Row],[What is your current CGPA?]]&gt;=2.5,"Medium","Low"))</f>
        <v>Medium</v>
      </c>
      <c r="AG307" t="str">
        <f>IF(AND(Table1[[#This Row],[Average attendance on class]]&lt;75,Table1[[#This Row],[How many hour do you study daily?]]&lt;1),"At Risk","Normal")</f>
        <v>Normal</v>
      </c>
      <c r="AH307">
        <f>(Table1[[#This Row],[Average attendance on class]]*0.4)+(Table1[[#This Row],[How many hour do you study daily?]]*10*0.3)+(Table1[[#This Row],[How many hour do you spent daily on your skill development?]]*10*0.3)</f>
        <v>37</v>
      </c>
    </row>
    <row r="308" spans="1:34" x14ac:dyDescent="0.25">
      <c r="A308">
        <v>2021</v>
      </c>
      <c r="B308" t="s">
        <v>48</v>
      </c>
      <c r="C308">
        <v>21</v>
      </c>
      <c r="D308">
        <v>2020</v>
      </c>
      <c r="E308" t="s">
        <v>35</v>
      </c>
      <c r="F308">
        <v>3</v>
      </c>
      <c r="G308" t="s">
        <v>37</v>
      </c>
      <c r="H308" t="s">
        <v>36</v>
      </c>
      <c r="I308">
        <v>2</v>
      </c>
      <c r="J308">
        <v>2</v>
      </c>
      <c r="K308" t="s">
        <v>38</v>
      </c>
      <c r="L308" t="s">
        <v>36</v>
      </c>
      <c r="M308" t="s">
        <v>36</v>
      </c>
      <c r="N308">
        <v>5</v>
      </c>
      <c r="O308" t="s">
        <v>45</v>
      </c>
      <c r="P308">
        <v>80</v>
      </c>
      <c r="Q308" t="s">
        <v>37</v>
      </c>
      <c r="R308" t="s">
        <v>37</v>
      </c>
      <c r="S308" t="s">
        <v>37</v>
      </c>
      <c r="T308" t="s">
        <v>40</v>
      </c>
      <c r="U308">
        <v>2</v>
      </c>
      <c r="V308" t="s">
        <v>40</v>
      </c>
      <c r="W308" t="s">
        <v>42</v>
      </c>
      <c r="X308" t="s">
        <v>37</v>
      </c>
      <c r="Y308" t="s">
        <v>47</v>
      </c>
      <c r="Z308" t="s">
        <v>36</v>
      </c>
      <c r="AA308">
        <v>3.26</v>
      </c>
      <c r="AB308" t="s">
        <v>37</v>
      </c>
      <c r="AC308">
        <v>3.36</v>
      </c>
      <c r="AD308">
        <v>23</v>
      </c>
      <c r="AE308">
        <v>40000</v>
      </c>
      <c r="AF308" t="str">
        <f>IF(Table1[[#This Row],[What is your current CGPA?]]&gt;=3.5,"High",IF(Table1[[#This Row],[What is your current CGPA?]]&gt;=2.5,"Medium","Low"))</f>
        <v>Medium</v>
      </c>
      <c r="AG308" t="str">
        <f>IF(AND(Table1[[#This Row],[Average attendance on class]]&lt;75,Table1[[#This Row],[How many hour do you study daily?]]&lt;1),"At Risk","Normal")</f>
        <v>Normal</v>
      </c>
      <c r="AH308">
        <f>(Table1[[#This Row],[Average attendance on class]]*0.4)+(Table1[[#This Row],[How many hour do you study daily?]]*10*0.3)+(Table1[[#This Row],[How many hour do you spent daily on your skill development?]]*10*0.3)</f>
        <v>44</v>
      </c>
    </row>
    <row r="309" spans="1:34" x14ac:dyDescent="0.25">
      <c r="A309">
        <v>2016</v>
      </c>
      <c r="B309" t="s">
        <v>34</v>
      </c>
      <c r="C309">
        <v>25</v>
      </c>
      <c r="D309">
        <v>2016</v>
      </c>
      <c r="E309" t="s">
        <v>35</v>
      </c>
      <c r="F309">
        <v>19</v>
      </c>
      <c r="G309" t="s">
        <v>36</v>
      </c>
      <c r="H309" t="s">
        <v>37</v>
      </c>
      <c r="I309">
        <v>1</v>
      </c>
      <c r="J309">
        <v>1</v>
      </c>
      <c r="K309" t="s">
        <v>38</v>
      </c>
      <c r="L309" t="s">
        <v>36</v>
      </c>
      <c r="M309" t="s">
        <v>36</v>
      </c>
      <c r="N309">
        <v>2</v>
      </c>
      <c r="O309" t="s">
        <v>39</v>
      </c>
      <c r="P309">
        <v>100</v>
      </c>
      <c r="Q309" t="s">
        <v>37</v>
      </c>
      <c r="R309" t="s">
        <v>37</v>
      </c>
      <c r="S309" t="s">
        <v>37</v>
      </c>
      <c r="T309" t="s">
        <v>40</v>
      </c>
      <c r="U309">
        <v>2</v>
      </c>
      <c r="V309" t="s">
        <v>40</v>
      </c>
      <c r="W309" t="s">
        <v>42</v>
      </c>
      <c r="X309" t="s">
        <v>36</v>
      </c>
      <c r="Y309" t="s">
        <v>43</v>
      </c>
      <c r="Z309" t="s">
        <v>37</v>
      </c>
      <c r="AA309">
        <v>3.6</v>
      </c>
      <c r="AB309" t="s">
        <v>37</v>
      </c>
      <c r="AC309">
        <v>3.72</v>
      </c>
      <c r="AD309">
        <v>130</v>
      </c>
      <c r="AE309">
        <v>300000</v>
      </c>
      <c r="AF309" t="str">
        <f>IF(Table1[[#This Row],[What is your current CGPA?]]&gt;=3.5,"High",IF(Table1[[#This Row],[What is your current CGPA?]]&gt;=2.5,"Medium","Low"))</f>
        <v>High</v>
      </c>
      <c r="AG309" t="str">
        <f>IF(AND(Table1[[#This Row],[Average attendance on class]]&lt;75,Table1[[#This Row],[How many hour do you study daily?]]&lt;1),"At Risk","Normal")</f>
        <v>Normal</v>
      </c>
      <c r="AH309">
        <f>(Table1[[#This Row],[Average attendance on class]]*0.4)+(Table1[[#This Row],[How many hour do you study daily?]]*10*0.3)+(Table1[[#This Row],[How many hour do you spent daily on your skill development?]]*10*0.3)</f>
        <v>49</v>
      </c>
    </row>
    <row r="310" spans="1:34" x14ac:dyDescent="0.25">
      <c r="A310">
        <v>2021</v>
      </c>
      <c r="B310" t="s">
        <v>34</v>
      </c>
      <c r="C310">
        <v>20</v>
      </c>
      <c r="D310">
        <v>2019</v>
      </c>
      <c r="E310" t="s">
        <v>35</v>
      </c>
      <c r="F310">
        <v>3</v>
      </c>
      <c r="G310" t="s">
        <v>37</v>
      </c>
      <c r="H310" t="s">
        <v>37</v>
      </c>
      <c r="I310">
        <v>2</v>
      </c>
      <c r="J310">
        <v>3</v>
      </c>
      <c r="K310" t="s">
        <v>38</v>
      </c>
      <c r="L310" t="s">
        <v>36</v>
      </c>
      <c r="M310" t="s">
        <v>36</v>
      </c>
      <c r="N310">
        <v>5</v>
      </c>
      <c r="O310" t="s">
        <v>45</v>
      </c>
      <c r="P310">
        <v>100</v>
      </c>
      <c r="Q310" t="s">
        <v>37</v>
      </c>
      <c r="R310" t="s">
        <v>37</v>
      </c>
      <c r="S310" t="s">
        <v>37</v>
      </c>
      <c r="T310" t="s">
        <v>40</v>
      </c>
      <c r="U310">
        <v>3</v>
      </c>
      <c r="V310" t="s">
        <v>49</v>
      </c>
      <c r="W310" t="s">
        <v>42</v>
      </c>
      <c r="X310" t="s">
        <v>37</v>
      </c>
      <c r="Y310" t="s">
        <v>43</v>
      </c>
      <c r="Z310" t="s">
        <v>36</v>
      </c>
      <c r="AA310">
        <v>3.12</v>
      </c>
      <c r="AB310" t="s">
        <v>37</v>
      </c>
      <c r="AC310">
        <v>3.01</v>
      </c>
      <c r="AD310">
        <v>23</v>
      </c>
      <c r="AE310">
        <v>50000</v>
      </c>
      <c r="AF310" t="str">
        <f>IF(Table1[[#This Row],[What is your current CGPA?]]&gt;=3.5,"High",IF(Table1[[#This Row],[What is your current CGPA?]]&gt;=2.5,"Medium","Low"))</f>
        <v>Medium</v>
      </c>
      <c r="AG310" t="str">
        <f>IF(AND(Table1[[#This Row],[Average attendance on class]]&lt;75,Table1[[#This Row],[How many hour do you study daily?]]&lt;1),"At Risk","Normal")</f>
        <v>Normal</v>
      </c>
      <c r="AH310">
        <f>(Table1[[#This Row],[Average attendance on class]]*0.4)+(Table1[[#This Row],[How many hour do you study daily?]]*10*0.3)+(Table1[[#This Row],[How many hour do you spent daily on your skill development?]]*10*0.3)</f>
        <v>55</v>
      </c>
    </row>
    <row r="311" spans="1:34" x14ac:dyDescent="0.25">
      <c r="A311">
        <v>2022</v>
      </c>
      <c r="B311" t="s">
        <v>48</v>
      </c>
      <c r="C311">
        <v>20</v>
      </c>
      <c r="D311">
        <v>2020</v>
      </c>
      <c r="E311" t="s">
        <v>35</v>
      </c>
      <c r="F311">
        <v>1</v>
      </c>
      <c r="G311" t="s">
        <v>36</v>
      </c>
      <c r="H311" t="s">
        <v>37</v>
      </c>
      <c r="I311">
        <v>4</v>
      </c>
      <c r="J311">
        <v>3</v>
      </c>
      <c r="K311" t="s">
        <v>38</v>
      </c>
      <c r="L311" t="s">
        <v>36</v>
      </c>
      <c r="M311" t="s">
        <v>36</v>
      </c>
      <c r="N311">
        <v>2</v>
      </c>
      <c r="O311" t="s">
        <v>45</v>
      </c>
      <c r="P311">
        <v>100</v>
      </c>
      <c r="Q311" t="s">
        <v>37</v>
      </c>
      <c r="R311" t="s">
        <v>37</v>
      </c>
      <c r="S311" t="s">
        <v>36</v>
      </c>
      <c r="T311" t="s">
        <v>40</v>
      </c>
      <c r="U311">
        <v>2</v>
      </c>
      <c r="V311" t="s">
        <v>40</v>
      </c>
      <c r="W311" t="s">
        <v>42</v>
      </c>
      <c r="X311" t="s">
        <v>36</v>
      </c>
      <c r="Y311" t="s">
        <v>43</v>
      </c>
      <c r="Z311" t="s">
        <v>37</v>
      </c>
      <c r="AA311">
        <v>3.93</v>
      </c>
      <c r="AB311" t="s">
        <v>37</v>
      </c>
      <c r="AC311">
        <v>3.93</v>
      </c>
      <c r="AD311">
        <v>11</v>
      </c>
      <c r="AE311">
        <v>50000</v>
      </c>
      <c r="AF311" t="str">
        <f>IF(Table1[[#This Row],[What is your current CGPA?]]&gt;=3.5,"High",IF(Table1[[#This Row],[What is your current CGPA?]]&gt;=2.5,"Medium","Low"))</f>
        <v>High</v>
      </c>
      <c r="AG311" t="str">
        <f>IF(AND(Table1[[#This Row],[Average attendance on class]]&lt;75,Table1[[#This Row],[How many hour do you study daily?]]&lt;1),"At Risk","Normal")</f>
        <v>Normal</v>
      </c>
      <c r="AH311">
        <f>(Table1[[#This Row],[Average attendance on class]]*0.4)+(Table1[[#This Row],[How many hour do you study daily?]]*10*0.3)+(Table1[[#This Row],[How many hour do you spent daily on your skill development?]]*10*0.3)</f>
        <v>58</v>
      </c>
    </row>
    <row r="312" spans="1:34" x14ac:dyDescent="0.25">
      <c r="A312">
        <v>2021</v>
      </c>
      <c r="B312" t="s">
        <v>34</v>
      </c>
      <c r="C312">
        <v>20</v>
      </c>
      <c r="D312">
        <v>2020</v>
      </c>
      <c r="E312" t="s">
        <v>35</v>
      </c>
      <c r="F312">
        <v>3</v>
      </c>
      <c r="G312" t="s">
        <v>36</v>
      </c>
      <c r="H312" t="s">
        <v>37</v>
      </c>
      <c r="I312">
        <v>5</v>
      </c>
      <c r="J312">
        <v>3</v>
      </c>
      <c r="K312" t="s">
        <v>44</v>
      </c>
      <c r="L312" t="s">
        <v>36</v>
      </c>
      <c r="M312" t="s">
        <v>36</v>
      </c>
      <c r="N312">
        <v>6</v>
      </c>
      <c r="O312" t="s">
        <v>53</v>
      </c>
      <c r="P312">
        <v>95</v>
      </c>
      <c r="Q312" t="s">
        <v>36</v>
      </c>
      <c r="R312" t="s">
        <v>37</v>
      </c>
      <c r="S312" t="s">
        <v>37</v>
      </c>
      <c r="T312" t="s">
        <v>40</v>
      </c>
      <c r="U312">
        <v>1</v>
      </c>
      <c r="V312" t="s">
        <v>40</v>
      </c>
      <c r="W312" t="s">
        <v>42</v>
      </c>
      <c r="X312" t="s">
        <v>36</v>
      </c>
      <c r="Y312" t="s">
        <v>43</v>
      </c>
      <c r="Z312" t="s">
        <v>37</v>
      </c>
      <c r="AA312">
        <v>3</v>
      </c>
      <c r="AB312" t="s">
        <v>37</v>
      </c>
      <c r="AC312">
        <v>3.55</v>
      </c>
      <c r="AD312">
        <v>23</v>
      </c>
      <c r="AE312">
        <v>150000</v>
      </c>
      <c r="AF312" t="str">
        <f>IF(Table1[[#This Row],[What is your current CGPA?]]&gt;=3.5,"High",IF(Table1[[#This Row],[What is your current CGPA?]]&gt;=2.5,"Medium","Low"))</f>
        <v>High</v>
      </c>
      <c r="AG312" t="str">
        <f>IF(AND(Table1[[#This Row],[Average attendance on class]]&lt;75,Table1[[#This Row],[How many hour do you study daily?]]&lt;1),"At Risk","Normal")</f>
        <v>Normal</v>
      </c>
      <c r="AH312">
        <f>(Table1[[#This Row],[Average attendance on class]]*0.4)+(Table1[[#This Row],[How many hour do you study daily?]]*10*0.3)+(Table1[[#This Row],[How many hour do you spent daily on your skill development?]]*10*0.3)</f>
        <v>56</v>
      </c>
    </row>
    <row r="313" spans="1:34" x14ac:dyDescent="0.25">
      <c r="A313">
        <v>2019</v>
      </c>
      <c r="B313" t="s">
        <v>34</v>
      </c>
      <c r="C313">
        <v>24</v>
      </c>
      <c r="D313">
        <v>2018</v>
      </c>
      <c r="E313" t="s">
        <v>35</v>
      </c>
      <c r="F313">
        <v>9</v>
      </c>
      <c r="G313" t="s">
        <v>37</v>
      </c>
      <c r="H313" t="s">
        <v>37</v>
      </c>
      <c r="I313">
        <v>1</v>
      </c>
      <c r="J313">
        <v>2</v>
      </c>
      <c r="K313" t="s">
        <v>44</v>
      </c>
      <c r="L313" t="s">
        <v>36</v>
      </c>
      <c r="M313" t="s">
        <v>36</v>
      </c>
      <c r="N313">
        <v>3</v>
      </c>
      <c r="O313" t="s">
        <v>45</v>
      </c>
      <c r="P313">
        <v>70</v>
      </c>
      <c r="Q313" t="s">
        <v>36</v>
      </c>
      <c r="R313" t="s">
        <v>37</v>
      </c>
      <c r="S313" t="s">
        <v>36</v>
      </c>
      <c r="T313" t="s">
        <v>40</v>
      </c>
      <c r="U313">
        <v>1</v>
      </c>
      <c r="V313" t="s">
        <v>59</v>
      </c>
      <c r="W313" t="s">
        <v>42</v>
      </c>
      <c r="X313" t="s">
        <v>36</v>
      </c>
      <c r="Y313" t="s">
        <v>47</v>
      </c>
      <c r="Z313" t="s">
        <v>37</v>
      </c>
      <c r="AA313">
        <v>1.61</v>
      </c>
      <c r="AB313" t="s">
        <v>37</v>
      </c>
      <c r="AC313">
        <v>2.44</v>
      </c>
      <c r="AD313">
        <v>40</v>
      </c>
      <c r="AE313">
        <v>25000</v>
      </c>
      <c r="AF313" t="str">
        <f>IF(Table1[[#This Row],[What is your current CGPA?]]&gt;=3.5,"High",IF(Table1[[#This Row],[What is your current CGPA?]]&gt;=2.5,"Medium","Low"))</f>
        <v>Low</v>
      </c>
      <c r="AG313" t="str">
        <f>IF(AND(Table1[[#This Row],[Average attendance on class]]&lt;75,Table1[[#This Row],[How many hour do you study daily?]]&lt;1),"At Risk","Normal")</f>
        <v>Normal</v>
      </c>
      <c r="AH313">
        <f>(Table1[[#This Row],[Average attendance on class]]*0.4)+(Table1[[#This Row],[How many hour do you study daily?]]*10*0.3)+(Table1[[#This Row],[How many hour do you spent daily on your skill development?]]*10*0.3)</f>
        <v>34</v>
      </c>
    </row>
    <row r="314" spans="1:34" x14ac:dyDescent="0.25">
      <c r="A314">
        <v>2020</v>
      </c>
      <c r="B314" t="s">
        <v>34</v>
      </c>
      <c r="C314">
        <v>22</v>
      </c>
      <c r="D314">
        <v>2018</v>
      </c>
      <c r="E314" t="s">
        <v>35</v>
      </c>
      <c r="F314">
        <v>6</v>
      </c>
      <c r="G314" t="s">
        <v>36</v>
      </c>
      <c r="H314" t="s">
        <v>36</v>
      </c>
      <c r="I314">
        <v>1</v>
      </c>
      <c r="J314">
        <v>1</v>
      </c>
      <c r="K314" t="s">
        <v>44</v>
      </c>
      <c r="L314" t="s">
        <v>36</v>
      </c>
      <c r="M314" t="s">
        <v>36</v>
      </c>
      <c r="N314">
        <v>3</v>
      </c>
      <c r="O314" t="s">
        <v>45</v>
      </c>
      <c r="P314">
        <v>80</v>
      </c>
      <c r="Q314" t="s">
        <v>37</v>
      </c>
      <c r="R314" t="s">
        <v>37</v>
      </c>
      <c r="S314" t="s">
        <v>37</v>
      </c>
      <c r="T314" t="s">
        <v>40</v>
      </c>
      <c r="U314">
        <v>1</v>
      </c>
      <c r="V314" t="s">
        <v>40</v>
      </c>
      <c r="W314" t="s">
        <v>42</v>
      </c>
      <c r="X314" t="s">
        <v>37</v>
      </c>
      <c r="Y314" t="s">
        <v>47</v>
      </c>
      <c r="Z314" t="s">
        <v>37</v>
      </c>
      <c r="AA314">
        <v>2.79</v>
      </c>
      <c r="AB314" t="s">
        <v>37</v>
      </c>
      <c r="AC314">
        <v>3.15</v>
      </c>
      <c r="AD314">
        <v>50</v>
      </c>
      <c r="AE314">
        <v>40000</v>
      </c>
      <c r="AF314" t="str">
        <f>IF(Table1[[#This Row],[What is your current CGPA?]]&gt;=3.5,"High",IF(Table1[[#This Row],[What is your current CGPA?]]&gt;=2.5,"Medium","Low"))</f>
        <v>Medium</v>
      </c>
      <c r="AG314" t="str">
        <f>IF(AND(Table1[[#This Row],[Average attendance on class]]&lt;75,Table1[[#This Row],[How many hour do you study daily?]]&lt;1),"At Risk","Normal")</f>
        <v>Normal</v>
      </c>
      <c r="AH314">
        <f>(Table1[[#This Row],[Average attendance on class]]*0.4)+(Table1[[#This Row],[How many hour do you study daily?]]*10*0.3)+(Table1[[#This Row],[How many hour do you spent daily on your skill development?]]*10*0.3)</f>
        <v>38</v>
      </c>
    </row>
    <row r="315" spans="1:34" x14ac:dyDescent="0.25">
      <c r="A315">
        <v>2021</v>
      </c>
      <c r="B315" t="s">
        <v>48</v>
      </c>
      <c r="C315">
        <v>22</v>
      </c>
      <c r="D315">
        <v>2020</v>
      </c>
      <c r="E315" t="s">
        <v>35</v>
      </c>
      <c r="F315">
        <v>4</v>
      </c>
      <c r="G315" t="s">
        <v>37</v>
      </c>
      <c r="H315" t="s">
        <v>37</v>
      </c>
      <c r="I315">
        <v>2</v>
      </c>
      <c r="J315">
        <v>1</v>
      </c>
      <c r="K315" t="s">
        <v>38</v>
      </c>
      <c r="L315" t="s">
        <v>36</v>
      </c>
      <c r="M315" t="s">
        <v>37</v>
      </c>
      <c r="N315">
        <v>3</v>
      </c>
      <c r="O315" t="s">
        <v>39</v>
      </c>
      <c r="P315">
        <v>98</v>
      </c>
      <c r="Q315" t="s">
        <v>37</v>
      </c>
      <c r="R315" t="s">
        <v>37</v>
      </c>
      <c r="S315" t="s">
        <v>37</v>
      </c>
      <c r="T315" t="s">
        <v>40</v>
      </c>
      <c r="U315">
        <v>2</v>
      </c>
      <c r="V315" t="s">
        <v>40</v>
      </c>
      <c r="W315" t="s">
        <v>42</v>
      </c>
      <c r="X315" t="s">
        <v>37</v>
      </c>
      <c r="Y315" t="s">
        <v>43</v>
      </c>
      <c r="Z315" t="s">
        <v>37</v>
      </c>
      <c r="AA315">
        <v>3.83</v>
      </c>
      <c r="AB315" t="s">
        <v>37</v>
      </c>
      <c r="AC315">
        <v>3.4</v>
      </c>
      <c r="AD315">
        <v>25</v>
      </c>
      <c r="AE315">
        <v>40000</v>
      </c>
      <c r="AF315" t="str">
        <f>IF(Table1[[#This Row],[What is your current CGPA?]]&gt;=3.5,"High",IF(Table1[[#This Row],[What is your current CGPA?]]&gt;=2.5,"Medium","Low"))</f>
        <v>Medium</v>
      </c>
      <c r="AG315" t="str">
        <f>IF(AND(Table1[[#This Row],[Average attendance on class]]&lt;75,Table1[[#This Row],[How many hour do you study daily?]]&lt;1),"At Risk","Normal")</f>
        <v>Normal</v>
      </c>
      <c r="AH315">
        <f>(Table1[[#This Row],[Average attendance on class]]*0.4)+(Table1[[#This Row],[How many hour do you study daily?]]*10*0.3)+(Table1[[#This Row],[How many hour do you spent daily on your skill development?]]*10*0.3)</f>
        <v>51.2</v>
      </c>
    </row>
    <row r="316" spans="1:34" x14ac:dyDescent="0.25">
      <c r="A316">
        <v>2018</v>
      </c>
      <c r="B316" t="s">
        <v>34</v>
      </c>
      <c r="C316">
        <v>26</v>
      </c>
      <c r="D316">
        <v>2018</v>
      </c>
      <c r="E316" t="s">
        <v>35</v>
      </c>
      <c r="F316">
        <v>12</v>
      </c>
      <c r="G316" t="s">
        <v>36</v>
      </c>
      <c r="H316" t="s">
        <v>36</v>
      </c>
      <c r="I316">
        <v>3</v>
      </c>
      <c r="J316">
        <v>1</v>
      </c>
      <c r="K316" t="s">
        <v>44</v>
      </c>
      <c r="L316" t="s">
        <v>36</v>
      </c>
      <c r="M316" t="s">
        <v>36</v>
      </c>
      <c r="N316">
        <v>2</v>
      </c>
      <c r="O316" t="s">
        <v>53</v>
      </c>
      <c r="P316">
        <v>100</v>
      </c>
      <c r="Q316" t="s">
        <v>37</v>
      </c>
      <c r="R316" t="s">
        <v>37</v>
      </c>
      <c r="S316" t="s">
        <v>36</v>
      </c>
      <c r="T316" t="s">
        <v>40</v>
      </c>
      <c r="U316">
        <v>3</v>
      </c>
      <c r="V316" t="s">
        <v>59</v>
      </c>
      <c r="W316" t="s">
        <v>42</v>
      </c>
      <c r="X316" t="s">
        <v>37</v>
      </c>
      <c r="Y316" t="s">
        <v>47</v>
      </c>
      <c r="Z316" t="s">
        <v>37</v>
      </c>
      <c r="AA316">
        <v>3.58</v>
      </c>
      <c r="AB316" t="s">
        <v>37</v>
      </c>
      <c r="AC316">
        <v>3.27</v>
      </c>
      <c r="AD316">
        <v>130</v>
      </c>
      <c r="AE316">
        <v>62488</v>
      </c>
      <c r="AF316" t="str">
        <f>IF(Table1[[#This Row],[What is your current CGPA?]]&gt;=3.5,"High",IF(Table1[[#This Row],[What is your current CGPA?]]&gt;=2.5,"Medium","Low"))</f>
        <v>Medium</v>
      </c>
      <c r="AG316" t="str">
        <f>IF(AND(Table1[[#This Row],[Average attendance on class]]&lt;75,Table1[[#This Row],[How many hour do you study daily?]]&lt;1),"At Risk","Normal")</f>
        <v>Normal</v>
      </c>
      <c r="AH316">
        <f>(Table1[[#This Row],[Average attendance on class]]*0.4)+(Table1[[#This Row],[How many hour do you study daily?]]*10*0.3)+(Table1[[#This Row],[How many hour do you spent daily on your skill development?]]*10*0.3)</f>
        <v>58</v>
      </c>
    </row>
    <row r="317" spans="1:34" x14ac:dyDescent="0.25">
      <c r="A317">
        <v>2021</v>
      </c>
      <c r="B317" t="s">
        <v>48</v>
      </c>
      <c r="C317">
        <v>21</v>
      </c>
      <c r="D317">
        <v>2020</v>
      </c>
      <c r="E317" t="s">
        <v>35</v>
      </c>
      <c r="F317">
        <v>3</v>
      </c>
      <c r="G317" t="s">
        <v>36</v>
      </c>
      <c r="H317" t="s">
        <v>36</v>
      </c>
      <c r="I317">
        <v>3</v>
      </c>
      <c r="J317">
        <v>1</v>
      </c>
      <c r="K317" t="s">
        <v>38</v>
      </c>
      <c r="L317" t="s">
        <v>36</v>
      </c>
      <c r="M317" t="s">
        <v>36</v>
      </c>
      <c r="N317">
        <v>4</v>
      </c>
      <c r="O317" t="s">
        <v>45</v>
      </c>
      <c r="P317">
        <v>100</v>
      </c>
      <c r="Q317" t="s">
        <v>37</v>
      </c>
      <c r="R317" t="s">
        <v>37</v>
      </c>
      <c r="S317" t="s">
        <v>36</v>
      </c>
      <c r="T317" t="s">
        <v>40</v>
      </c>
      <c r="U317">
        <v>2</v>
      </c>
      <c r="V317" t="s">
        <v>51</v>
      </c>
      <c r="W317" t="s">
        <v>42</v>
      </c>
      <c r="X317" t="s">
        <v>37</v>
      </c>
      <c r="Y317" t="s">
        <v>47</v>
      </c>
      <c r="Z317" t="s">
        <v>37</v>
      </c>
      <c r="AA317">
        <v>3.39</v>
      </c>
      <c r="AB317" t="s">
        <v>37</v>
      </c>
      <c r="AC317">
        <v>3.19</v>
      </c>
      <c r="AD317">
        <v>25</v>
      </c>
      <c r="AE317">
        <v>70000</v>
      </c>
      <c r="AF317" t="str">
        <f>IF(Table1[[#This Row],[What is your current CGPA?]]&gt;=3.5,"High",IF(Table1[[#This Row],[What is your current CGPA?]]&gt;=2.5,"Medium","Low"))</f>
        <v>Medium</v>
      </c>
      <c r="AG317" t="str">
        <f>IF(AND(Table1[[#This Row],[Average attendance on class]]&lt;75,Table1[[#This Row],[How many hour do you study daily?]]&lt;1),"At Risk","Normal")</f>
        <v>Normal</v>
      </c>
      <c r="AH317">
        <f>(Table1[[#This Row],[Average attendance on class]]*0.4)+(Table1[[#This Row],[How many hour do you study daily?]]*10*0.3)+(Table1[[#This Row],[How many hour do you spent daily on your skill development?]]*10*0.3)</f>
        <v>55</v>
      </c>
    </row>
    <row r="318" spans="1:34" x14ac:dyDescent="0.25">
      <c r="A318">
        <v>2021</v>
      </c>
      <c r="B318" t="s">
        <v>34</v>
      </c>
      <c r="C318">
        <v>20</v>
      </c>
      <c r="D318">
        <v>2020</v>
      </c>
      <c r="E318" t="s">
        <v>35</v>
      </c>
      <c r="F318">
        <v>3</v>
      </c>
      <c r="G318" t="s">
        <v>36</v>
      </c>
      <c r="H318" t="s">
        <v>37</v>
      </c>
      <c r="I318">
        <v>3</v>
      </c>
      <c r="J318">
        <v>3</v>
      </c>
      <c r="K318" t="s">
        <v>38</v>
      </c>
      <c r="L318" t="s">
        <v>36</v>
      </c>
      <c r="M318" t="s">
        <v>36</v>
      </c>
      <c r="N318">
        <v>2</v>
      </c>
      <c r="O318" t="s">
        <v>39</v>
      </c>
      <c r="P318">
        <v>100</v>
      </c>
      <c r="Q318" t="s">
        <v>37</v>
      </c>
      <c r="R318" t="s">
        <v>37</v>
      </c>
      <c r="S318" t="s">
        <v>37</v>
      </c>
      <c r="T318" t="s">
        <v>40</v>
      </c>
      <c r="U318">
        <v>2</v>
      </c>
      <c r="V318" t="s">
        <v>40</v>
      </c>
      <c r="W318" t="s">
        <v>42</v>
      </c>
      <c r="X318" t="s">
        <v>37</v>
      </c>
      <c r="Y318" t="s">
        <v>43</v>
      </c>
      <c r="Z318" t="s">
        <v>37</v>
      </c>
      <c r="AA318">
        <v>3.38</v>
      </c>
      <c r="AB318" t="s">
        <v>37</v>
      </c>
      <c r="AC318">
        <v>3.37</v>
      </c>
      <c r="AD318">
        <v>23</v>
      </c>
      <c r="AE318">
        <v>25000</v>
      </c>
      <c r="AF318" t="str">
        <f>IF(Table1[[#This Row],[What is your current CGPA?]]&gt;=3.5,"High",IF(Table1[[#This Row],[What is your current CGPA?]]&gt;=2.5,"Medium","Low"))</f>
        <v>Medium</v>
      </c>
      <c r="AG318" t="str">
        <f>IF(AND(Table1[[#This Row],[Average attendance on class]]&lt;75,Table1[[#This Row],[How many hour do you study daily?]]&lt;1),"At Risk","Normal")</f>
        <v>Normal</v>
      </c>
      <c r="AH318">
        <f>(Table1[[#This Row],[Average attendance on class]]*0.4)+(Table1[[#This Row],[How many hour do you study daily?]]*10*0.3)+(Table1[[#This Row],[How many hour do you spent daily on your skill development?]]*10*0.3)</f>
        <v>55</v>
      </c>
    </row>
    <row r="319" spans="1:34" x14ac:dyDescent="0.25">
      <c r="A319">
        <v>2021</v>
      </c>
      <c r="B319" t="s">
        <v>48</v>
      </c>
      <c r="C319">
        <v>19</v>
      </c>
      <c r="D319">
        <v>2020</v>
      </c>
      <c r="E319" t="s">
        <v>35</v>
      </c>
      <c r="F319">
        <v>3</v>
      </c>
      <c r="G319" t="s">
        <v>36</v>
      </c>
      <c r="H319" t="s">
        <v>37</v>
      </c>
      <c r="I319">
        <v>3</v>
      </c>
      <c r="J319">
        <v>3</v>
      </c>
      <c r="K319" t="s">
        <v>38</v>
      </c>
      <c r="L319" t="s">
        <v>36</v>
      </c>
      <c r="M319" t="s">
        <v>36</v>
      </c>
      <c r="N319">
        <v>1</v>
      </c>
      <c r="O319" t="s">
        <v>39</v>
      </c>
      <c r="P319">
        <v>100</v>
      </c>
      <c r="Q319" t="s">
        <v>37</v>
      </c>
      <c r="R319" t="s">
        <v>37</v>
      </c>
      <c r="S319" t="s">
        <v>36</v>
      </c>
      <c r="T319" t="s">
        <v>40</v>
      </c>
      <c r="U319">
        <v>2</v>
      </c>
      <c r="V319" t="s">
        <v>41</v>
      </c>
      <c r="W319" t="s">
        <v>42</v>
      </c>
      <c r="X319" t="s">
        <v>37</v>
      </c>
      <c r="Y319" t="s">
        <v>43</v>
      </c>
      <c r="Z319" t="s">
        <v>36</v>
      </c>
      <c r="AA319">
        <v>3.03</v>
      </c>
      <c r="AB319" t="s">
        <v>37</v>
      </c>
      <c r="AC319">
        <v>3.15</v>
      </c>
      <c r="AD319">
        <v>23</v>
      </c>
      <c r="AE319">
        <v>30000</v>
      </c>
      <c r="AF319" t="str">
        <f>IF(Table1[[#This Row],[What is your current CGPA?]]&gt;=3.5,"High",IF(Table1[[#This Row],[What is your current CGPA?]]&gt;=2.5,"Medium","Low"))</f>
        <v>Medium</v>
      </c>
      <c r="AG319" t="str">
        <f>IF(AND(Table1[[#This Row],[Average attendance on class]]&lt;75,Table1[[#This Row],[How many hour do you study daily?]]&lt;1),"At Risk","Normal")</f>
        <v>Normal</v>
      </c>
      <c r="AH319">
        <f>(Table1[[#This Row],[Average attendance on class]]*0.4)+(Table1[[#This Row],[How many hour do you study daily?]]*10*0.3)+(Table1[[#This Row],[How many hour do you spent daily on your skill development?]]*10*0.3)</f>
        <v>55</v>
      </c>
    </row>
    <row r="320" spans="1:34" x14ac:dyDescent="0.25">
      <c r="A320">
        <v>2022</v>
      </c>
      <c r="B320" t="s">
        <v>34</v>
      </c>
      <c r="C320">
        <v>20</v>
      </c>
      <c r="D320">
        <v>2020</v>
      </c>
      <c r="E320" t="s">
        <v>35</v>
      </c>
      <c r="F320">
        <v>1</v>
      </c>
      <c r="G320" t="s">
        <v>37</v>
      </c>
      <c r="H320" t="s">
        <v>37</v>
      </c>
      <c r="I320">
        <v>3</v>
      </c>
      <c r="J320">
        <v>1</v>
      </c>
      <c r="K320" t="s">
        <v>38</v>
      </c>
      <c r="L320" t="s">
        <v>37</v>
      </c>
      <c r="M320" t="s">
        <v>36</v>
      </c>
      <c r="N320">
        <v>1</v>
      </c>
      <c r="O320" t="s">
        <v>39</v>
      </c>
      <c r="P320">
        <v>100</v>
      </c>
      <c r="Q320" t="s">
        <v>37</v>
      </c>
      <c r="R320" t="s">
        <v>37</v>
      </c>
      <c r="S320" t="s">
        <v>36</v>
      </c>
      <c r="T320" t="s">
        <v>65</v>
      </c>
      <c r="U320">
        <v>1</v>
      </c>
      <c r="V320" t="s">
        <v>78</v>
      </c>
      <c r="W320" t="s">
        <v>56</v>
      </c>
      <c r="X320" t="s">
        <v>36</v>
      </c>
      <c r="Y320" t="s">
        <v>47</v>
      </c>
      <c r="Z320" t="s">
        <v>37</v>
      </c>
      <c r="AA320">
        <v>0</v>
      </c>
      <c r="AB320" t="s">
        <v>37</v>
      </c>
      <c r="AC320">
        <v>0</v>
      </c>
      <c r="AD320">
        <v>0</v>
      </c>
      <c r="AE320">
        <v>40000</v>
      </c>
      <c r="AF320" t="str">
        <f>IF(Table1[[#This Row],[What is your current CGPA?]]&gt;=3.5,"High",IF(Table1[[#This Row],[What is your current CGPA?]]&gt;=2.5,"Medium","Low"))</f>
        <v>Low</v>
      </c>
      <c r="AG320" t="str">
        <f>IF(AND(Table1[[#This Row],[Average attendance on class]]&lt;75,Table1[[#This Row],[How many hour do you study daily?]]&lt;1),"At Risk","Normal")</f>
        <v>Normal</v>
      </c>
      <c r="AH320">
        <f>(Table1[[#This Row],[Average attendance on class]]*0.4)+(Table1[[#This Row],[How many hour do you study daily?]]*10*0.3)+(Table1[[#This Row],[How many hour do you spent daily on your skill development?]]*10*0.3)</f>
        <v>52</v>
      </c>
    </row>
    <row r="321" spans="1:34" x14ac:dyDescent="0.25">
      <c r="A321">
        <v>2021</v>
      </c>
      <c r="B321" t="s">
        <v>34</v>
      </c>
      <c r="C321">
        <v>21</v>
      </c>
      <c r="D321">
        <v>2020</v>
      </c>
      <c r="E321" t="s">
        <v>35</v>
      </c>
      <c r="F321">
        <v>3</v>
      </c>
      <c r="G321" t="s">
        <v>36</v>
      </c>
      <c r="H321" t="s">
        <v>36</v>
      </c>
      <c r="I321">
        <v>1</v>
      </c>
      <c r="J321">
        <v>1</v>
      </c>
      <c r="K321" t="s">
        <v>38</v>
      </c>
      <c r="L321" t="s">
        <v>36</v>
      </c>
      <c r="M321" t="s">
        <v>36</v>
      </c>
      <c r="N321">
        <v>1</v>
      </c>
      <c r="O321" t="s">
        <v>39</v>
      </c>
      <c r="P321">
        <v>95</v>
      </c>
      <c r="Q321" t="s">
        <v>37</v>
      </c>
      <c r="R321" t="s">
        <v>37</v>
      </c>
      <c r="S321" t="s">
        <v>36</v>
      </c>
      <c r="T321" t="s">
        <v>40</v>
      </c>
      <c r="U321">
        <v>1</v>
      </c>
      <c r="V321" t="s">
        <v>40</v>
      </c>
      <c r="W321" t="s">
        <v>42</v>
      </c>
      <c r="X321" t="s">
        <v>36</v>
      </c>
      <c r="Y321" t="s">
        <v>47</v>
      </c>
      <c r="Z321" t="s">
        <v>37</v>
      </c>
      <c r="AA321">
        <v>3.65</v>
      </c>
      <c r="AB321" t="s">
        <v>37</v>
      </c>
      <c r="AC321">
        <v>3.7</v>
      </c>
      <c r="AD321">
        <v>30</v>
      </c>
      <c r="AE321">
        <v>40000</v>
      </c>
      <c r="AF321" t="str">
        <f>IF(Table1[[#This Row],[What is your current CGPA?]]&gt;=3.5,"High",IF(Table1[[#This Row],[What is your current CGPA?]]&gt;=2.5,"Medium","Low"))</f>
        <v>High</v>
      </c>
      <c r="AG321" t="str">
        <f>IF(AND(Table1[[#This Row],[Average attendance on class]]&lt;75,Table1[[#This Row],[How many hour do you study daily?]]&lt;1),"At Risk","Normal")</f>
        <v>Normal</v>
      </c>
      <c r="AH321">
        <f>(Table1[[#This Row],[Average attendance on class]]*0.4)+(Table1[[#This Row],[How many hour do you study daily?]]*10*0.3)+(Table1[[#This Row],[How many hour do you spent daily on your skill development?]]*10*0.3)</f>
        <v>44</v>
      </c>
    </row>
    <row r="322" spans="1:34" x14ac:dyDescent="0.25">
      <c r="A322">
        <v>2019</v>
      </c>
      <c r="B322" t="s">
        <v>48</v>
      </c>
      <c r="C322">
        <v>22</v>
      </c>
      <c r="D322">
        <v>2019</v>
      </c>
      <c r="E322" t="s">
        <v>35</v>
      </c>
      <c r="F322">
        <v>9</v>
      </c>
      <c r="G322" t="s">
        <v>37</v>
      </c>
      <c r="H322" t="s">
        <v>36</v>
      </c>
      <c r="I322">
        <v>3</v>
      </c>
      <c r="J322">
        <v>1</v>
      </c>
      <c r="K322" t="s">
        <v>38</v>
      </c>
      <c r="L322" t="s">
        <v>36</v>
      </c>
      <c r="M322" t="s">
        <v>36</v>
      </c>
      <c r="N322">
        <v>2</v>
      </c>
      <c r="O322" t="s">
        <v>39</v>
      </c>
      <c r="P322">
        <v>80</v>
      </c>
      <c r="Q322" t="s">
        <v>37</v>
      </c>
      <c r="R322" t="s">
        <v>37</v>
      </c>
      <c r="S322" t="s">
        <v>36</v>
      </c>
      <c r="T322" t="s">
        <v>40</v>
      </c>
      <c r="U322">
        <v>1</v>
      </c>
      <c r="V322" t="s">
        <v>59</v>
      </c>
      <c r="W322" t="s">
        <v>42</v>
      </c>
      <c r="X322" t="s">
        <v>37</v>
      </c>
      <c r="Y322" t="s">
        <v>47</v>
      </c>
      <c r="Z322" t="s">
        <v>36</v>
      </c>
      <c r="AA322">
        <v>3.18</v>
      </c>
      <c r="AB322" t="s">
        <v>37</v>
      </c>
      <c r="AC322">
        <v>2.69</v>
      </c>
      <c r="AD322">
        <v>90</v>
      </c>
      <c r="AE322">
        <v>30000</v>
      </c>
      <c r="AF322" t="str">
        <f>IF(Table1[[#This Row],[What is your current CGPA?]]&gt;=3.5,"High",IF(Table1[[#This Row],[What is your current CGPA?]]&gt;=2.5,"Medium","Low"))</f>
        <v>Medium</v>
      </c>
      <c r="AG322" t="str">
        <f>IF(AND(Table1[[#This Row],[Average attendance on class]]&lt;75,Table1[[#This Row],[How many hour do you study daily?]]&lt;1),"At Risk","Normal")</f>
        <v>Normal</v>
      </c>
      <c r="AH322">
        <f>(Table1[[#This Row],[Average attendance on class]]*0.4)+(Table1[[#This Row],[How many hour do you study daily?]]*10*0.3)+(Table1[[#This Row],[How many hour do you spent daily on your skill development?]]*10*0.3)</f>
        <v>44</v>
      </c>
    </row>
    <row r="323" spans="1:34" x14ac:dyDescent="0.25">
      <c r="A323">
        <v>2022</v>
      </c>
      <c r="B323" t="s">
        <v>34</v>
      </c>
      <c r="C323">
        <v>21</v>
      </c>
      <c r="D323">
        <v>2020</v>
      </c>
      <c r="E323" t="s">
        <v>35</v>
      </c>
      <c r="F323">
        <v>2</v>
      </c>
      <c r="G323" t="s">
        <v>36</v>
      </c>
      <c r="H323" t="s">
        <v>36</v>
      </c>
      <c r="I323">
        <v>3</v>
      </c>
      <c r="J323">
        <v>2</v>
      </c>
      <c r="K323" t="s">
        <v>38</v>
      </c>
      <c r="L323" t="s">
        <v>36</v>
      </c>
      <c r="M323" t="s">
        <v>36</v>
      </c>
      <c r="N323">
        <v>2</v>
      </c>
      <c r="O323" t="s">
        <v>45</v>
      </c>
      <c r="P323">
        <v>100</v>
      </c>
      <c r="Q323" t="s">
        <v>37</v>
      </c>
      <c r="R323" t="s">
        <v>37</v>
      </c>
      <c r="S323" t="s">
        <v>36</v>
      </c>
      <c r="T323" t="s">
        <v>40</v>
      </c>
      <c r="U323">
        <v>2</v>
      </c>
      <c r="V323" t="s">
        <v>40</v>
      </c>
      <c r="W323" t="s">
        <v>42</v>
      </c>
      <c r="X323" t="s">
        <v>36</v>
      </c>
      <c r="Y323" t="s">
        <v>47</v>
      </c>
      <c r="Z323" t="s">
        <v>37</v>
      </c>
      <c r="AA323">
        <v>3.78</v>
      </c>
      <c r="AB323" t="s">
        <v>37</v>
      </c>
      <c r="AC323">
        <v>3.15</v>
      </c>
      <c r="AD323">
        <v>90</v>
      </c>
      <c r="AE323">
        <v>30000</v>
      </c>
      <c r="AF323" t="str">
        <f>IF(Table1[[#This Row],[What is your current CGPA?]]&gt;=3.5,"High",IF(Table1[[#This Row],[What is your current CGPA?]]&gt;=2.5,"Medium","Low"))</f>
        <v>Medium</v>
      </c>
      <c r="AG323" t="str">
        <f>IF(AND(Table1[[#This Row],[Average attendance on class]]&lt;75,Table1[[#This Row],[How many hour do you study daily?]]&lt;1),"At Risk","Normal")</f>
        <v>Normal</v>
      </c>
      <c r="AH323">
        <f>(Table1[[#This Row],[Average attendance on class]]*0.4)+(Table1[[#This Row],[How many hour do you study daily?]]*10*0.3)+(Table1[[#This Row],[How many hour do you spent daily on your skill development?]]*10*0.3)</f>
        <v>55</v>
      </c>
    </row>
    <row r="324" spans="1:34" x14ac:dyDescent="0.25">
      <c r="A324">
        <v>2020</v>
      </c>
      <c r="B324" t="s">
        <v>34</v>
      </c>
      <c r="C324">
        <v>24</v>
      </c>
      <c r="D324">
        <v>2017</v>
      </c>
      <c r="E324" t="s">
        <v>35</v>
      </c>
      <c r="F324">
        <v>8</v>
      </c>
      <c r="G324" t="s">
        <v>36</v>
      </c>
      <c r="H324" t="s">
        <v>36</v>
      </c>
      <c r="I324">
        <v>1</v>
      </c>
      <c r="J324">
        <v>1</v>
      </c>
      <c r="K324" t="s">
        <v>38</v>
      </c>
      <c r="L324" t="s">
        <v>36</v>
      </c>
      <c r="M324" t="s">
        <v>36</v>
      </c>
      <c r="N324">
        <v>4</v>
      </c>
      <c r="O324" t="s">
        <v>39</v>
      </c>
      <c r="P324">
        <v>70</v>
      </c>
      <c r="Q324" t="s">
        <v>37</v>
      </c>
      <c r="R324" t="s">
        <v>37</v>
      </c>
      <c r="S324" t="s">
        <v>37</v>
      </c>
      <c r="T324" t="s">
        <v>40</v>
      </c>
      <c r="U324">
        <v>3</v>
      </c>
      <c r="V324" t="s">
        <v>52</v>
      </c>
      <c r="W324" t="s">
        <v>50</v>
      </c>
      <c r="X324" t="s">
        <v>36</v>
      </c>
      <c r="Y324" t="s">
        <v>47</v>
      </c>
      <c r="Z324" t="s">
        <v>37</v>
      </c>
      <c r="AA324">
        <v>2.56</v>
      </c>
      <c r="AB324" t="s">
        <v>37</v>
      </c>
      <c r="AC324">
        <v>3.38</v>
      </c>
      <c r="AD324">
        <v>90</v>
      </c>
      <c r="AE324">
        <v>30000</v>
      </c>
      <c r="AF324" t="str">
        <f>IF(Table1[[#This Row],[What is your current CGPA?]]&gt;=3.5,"High",IF(Table1[[#This Row],[What is your current CGPA?]]&gt;=2.5,"Medium","Low"))</f>
        <v>Medium</v>
      </c>
      <c r="AG324" t="str">
        <f>IF(AND(Table1[[#This Row],[Average attendance on class]]&lt;75,Table1[[#This Row],[How many hour do you study daily?]]&lt;1),"At Risk","Normal")</f>
        <v>Normal</v>
      </c>
      <c r="AH324">
        <f>(Table1[[#This Row],[Average attendance on class]]*0.4)+(Table1[[#This Row],[How many hour do you study daily?]]*10*0.3)+(Table1[[#This Row],[How many hour do you spent daily on your skill development?]]*10*0.3)</f>
        <v>40</v>
      </c>
    </row>
    <row r="325" spans="1:34" x14ac:dyDescent="0.25">
      <c r="A325">
        <v>2021</v>
      </c>
      <c r="B325" t="s">
        <v>34</v>
      </c>
      <c r="C325">
        <v>20</v>
      </c>
      <c r="D325">
        <v>2020</v>
      </c>
      <c r="E325" t="s">
        <v>35</v>
      </c>
      <c r="F325">
        <v>3</v>
      </c>
      <c r="G325" t="s">
        <v>36</v>
      </c>
      <c r="H325" t="s">
        <v>37</v>
      </c>
      <c r="I325">
        <v>2</v>
      </c>
      <c r="J325">
        <v>2</v>
      </c>
      <c r="K325" t="s">
        <v>38</v>
      </c>
      <c r="L325" t="s">
        <v>37</v>
      </c>
      <c r="M325" t="s">
        <v>36</v>
      </c>
      <c r="N325">
        <v>12</v>
      </c>
      <c r="O325" t="s">
        <v>45</v>
      </c>
      <c r="P325">
        <v>90</v>
      </c>
      <c r="Q325" t="s">
        <v>37</v>
      </c>
      <c r="R325" t="s">
        <v>37</v>
      </c>
      <c r="S325" t="s">
        <v>37</v>
      </c>
      <c r="T325" t="s">
        <v>81</v>
      </c>
      <c r="U325">
        <v>0</v>
      </c>
      <c r="V325" t="s">
        <v>40</v>
      </c>
      <c r="W325" t="s">
        <v>42</v>
      </c>
      <c r="X325" t="s">
        <v>37</v>
      </c>
      <c r="Y325" t="s">
        <v>47</v>
      </c>
      <c r="Z325" t="s">
        <v>36</v>
      </c>
      <c r="AA325">
        <v>2.94</v>
      </c>
      <c r="AB325" t="s">
        <v>37</v>
      </c>
      <c r="AC325">
        <v>3.1</v>
      </c>
      <c r="AD325">
        <v>24</v>
      </c>
      <c r="AE325">
        <v>45000</v>
      </c>
      <c r="AF325" t="str">
        <f>IF(Table1[[#This Row],[What is your current CGPA?]]&gt;=3.5,"High",IF(Table1[[#This Row],[What is your current CGPA?]]&gt;=2.5,"Medium","Low"))</f>
        <v>Medium</v>
      </c>
      <c r="AG325" t="str">
        <f>IF(AND(Table1[[#This Row],[Average attendance on class]]&lt;75,Table1[[#This Row],[How many hour do you study daily?]]&lt;1),"At Risk","Normal")</f>
        <v>Normal</v>
      </c>
      <c r="AH325">
        <f>(Table1[[#This Row],[Average attendance on class]]*0.4)+(Table1[[#This Row],[How many hour do you study daily?]]*10*0.3)+(Table1[[#This Row],[How many hour do you spent daily on your skill development?]]*10*0.3)</f>
        <v>42</v>
      </c>
    </row>
    <row r="326" spans="1:34" x14ac:dyDescent="0.25">
      <c r="A326">
        <v>2021</v>
      </c>
      <c r="B326" t="s">
        <v>48</v>
      </c>
      <c r="C326">
        <v>19</v>
      </c>
      <c r="D326">
        <v>2020</v>
      </c>
      <c r="E326" t="s">
        <v>35</v>
      </c>
      <c r="F326">
        <v>3</v>
      </c>
      <c r="G326" t="s">
        <v>37</v>
      </c>
      <c r="H326" t="s">
        <v>37</v>
      </c>
      <c r="I326">
        <v>3</v>
      </c>
      <c r="J326">
        <v>2</v>
      </c>
      <c r="K326" t="s">
        <v>38</v>
      </c>
      <c r="L326" t="s">
        <v>36</v>
      </c>
      <c r="M326" t="s">
        <v>36</v>
      </c>
      <c r="N326">
        <v>4</v>
      </c>
      <c r="O326" t="s">
        <v>39</v>
      </c>
      <c r="P326">
        <v>77</v>
      </c>
      <c r="Q326" t="s">
        <v>36</v>
      </c>
      <c r="R326" t="s">
        <v>37</v>
      </c>
      <c r="S326" t="s">
        <v>36</v>
      </c>
      <c r="T326" t="s">
        <v>40</v>
      </c>
      <c r="U326">
        <v>3</v>
      </c>
      <c r="V326" t="s">
        <v>40</v>
      </c>
      <c r="W326" t="s">
        <v>42</v>
      </c>
      <c r="X326" t="s">
        <v>37</v>
      </c>
      <c r="Y326" t="s">
        <v>47</v>
      </c>
      <c r="Z326" t="s">
        <v>37</v>
      </c>
      <c r="AA326">
        <v>2.36</v>
      </c>
      <c r="AB326" t="s">
        <v>37</v>
      </c>
      <c r="AC326">
        <v>2.88</v>
      </c>
      <c r="AD326">
        <v>23</v>
      </c>
      <c r="AE326">
        <v>80000</v>
      </c>
      <c r="AF326" t="str">
        <f>IF(Table1[[#This Row],[What is your current CGPA?]]&gt;=3.5,"High",IF(Table1[[#This Row],[What is your current CGPA?]]&gt;=2.5,"Medium","Low"))</f>
        <v>Medium</v>
      </c>
      <c r="AG326" t="str">
        <f>IF(AND(Table1[[#This Row],[Average attendance on class]]&lt;75,Table1[[#This Row],[How many hour do you study daily?]]&lt;1),"At Risk","Normal")</f>
        <v>Normal</v>
      </c>
      <c r="AH326">
        <f>(Table1[[#This Row],[Average attendance on class]]*0.4)+(Table1[[#This Row],[How many hour do you study daily?]]*10*0.3)+(Table1[[#This Row],[How many hour do you spent daily on your skill development?]]*10*0.3)</f>
        <v>48.8</v>
      </c>
    </row>
    <row r="327" spans="1:34" x14ac:dyDescent="0.25">
      <c r="A327">
        <v>2022</v>
      </c>
      <c r="B327" t="s">
        <v>34</v>
      </c>
      <c r="C327">
        <v>21</v>
      </c>
      <c r="D327">
        <v>2021</v>
      </c>
      <c r="E327" t="s">
        <v>35</v>
      </c>
      <c r="F327">
        <v>2</v>
      </c>
      <c r="G327" t="s">
        <v>36</v>
      </c>
      <c r="H327" t="s">
        <v>37</v>
      </c>
      <c r="I327">
        <v>3</v>
      </c>
      <c r="J327">
        <v>2</v>
      </c>
      <c r="K327" t="s">
        <v>44</v>
      </c>
      <c r="L327" t="s">
        <v>36</v>
      </c>
      <c r="M327" t="s">
        <v>37</v>
      </c>
      <c r="N327">
        <v>5</v>
      </c>
      <c r="O327" t="s">
        <v>39</v>
      </c>
      <c r="P327">
        <v>100</v>
      </c>
      <c r="Q327" t="s">
        <v>37</v>
      </c>
      <c r="R327" t="s">
        <v>37</v>
      </c>
      <c r="S327" t="s">
        <v>36</v>
      </c>
      <c r="T327" t="s">
        <v>40</v>
      </c>
      <c r="U327">
        <v>2</v>
      </c>
      <c r="V327" t="s">
        <v>40</v>
      </c>
      <c r="W327" t="s">
        <v>42</v>
      </c>
      <c r="X327" t="s">
        <v>37</v>
      </c>
      <c r="Y327" t="s">
        <v>47</v>
      </c>
      <c r="Z327" t="s">
        <v>37</v>
      </c>
      <c r="AA327">
        <v>3.8</v>
      </c>
      <c r="AB327" t="s">
        <v>37</v>
      </c>
      <c r="AC327">
        <v>3.8</v>
      </c>
      <c r="AD327">
        <v>11</v>
      </c>
      <c r="AE327">
        <v>30000</v>
      </c>
      <c r="AF327" t="str">
        <f>IF(Table1[[#This Row],[What is your current CGPA?]]&gt;=3.5,"High",IF(Table1[[#This Row],[What is your current CGPA?]]&gt;=2.5,"Medium","Low"))</f>
        <v>High</v>
      </c>
      <c r="AG327" t="str">
        <f>IF(AND(Table1[[#This Row],[Average attendance on class]]&lt;75,Table1[[#This Row],[How many hour do you study daily?]]&lt;1),"At Risk","Normal")</f>
        <v>Normal</v>
      </c>
      <c r="AH327">
        <f>(Table1[[#This Row],[Average attendance on class]]*0.4)+(Table1[[#This Row],[How many hour do you study daily?]]*10*0.3)+(Table1[[#This Row],[How many hour do you spent daily on your skill development?]]*10*0.3)</f>
        <v>55</v>
      </c>
    </row>
    <row r="328" spans="1:34" x14ac:dyDescent="0.25">
      <c r="A328">
        <v>2021</v>
      </c>
      <c r="B328" t="s">
        <v>34</v>
      </c>
      <c r="C328">
        <v>22</v>
      </c>
      <c r="D328">
        <v>2020</v>
      </c>
      <c r="E328" t="s">
        <v>35</v>
      </c>
      <c r="F328">
        <v>3</v>
      </c>
      <c r="G328" t="s">
        <v>36</v>
      </c>
      <c r="H328" t="s">
        <v>37</v>
      </c>
      <c r="I328">
        <v>0</v>
      </c>
      <c r="J328">
        <v>0</v>
      </c>
      <c r="K328" t="s">
        <v>38</v>
      </c>
      <c r="L328" t="s">
        <v>36</v>
      </c>
      <c r="M328" t="s">
        <v>36</v>
      </c>
      <c r="N328">
        <v>15</v>
      </c>
      <c r="O328" t="s">
        <v>45</v>
      </c>
      <c r="P328">
        <v>80</v>
      </c>
      <c r="Q328" t="s">
        <v>36</v>
      </c>
      <c r="R328" t="s">
        <v>37</v>
      </c>
      <c r="S328" t="s">
        <v>37</v>
      </c>
      <c r="T328" t="s">
        <v>40</v>
      </c>
      <c r="U328">
        <v>0</v>
      </c>
      <c r="V328" t="s">
        <v>40</v>
      </c>
      <c r="W328" t="s">
        <v>42</v>
      </c>
      <c r="X328" t="s">
        <v>37</v>
      </c>
      <c r="Y328" t="s">
        <v>43</v>
      </c>
      <c r="Z328" t="s">
        <v>37</v>
      </c>
      <c r="AA328">
        <v>1.53</v>
      </c>
      <c r="AB328" t="s">
        <v>37</v>
      </c>
      <c r="AC328">
        <v>2.4300000000000002</v>
      </c>
      <c r="AD328">
        <v>23</v>
      </c>
      <c r="AE328">
        <v>30000</v>
      </c>
      <c r="AF328" t="str">
        <f>IF(Table1[[#This Row],[What is your current CGPA?]]&gt;=3.5,"High",IF(Table1[[#This Row],[What is your current CGPA?]]&gt;=2.5,"Medium","Low"))</f>
        <v>Low</v>
      </c>
      <c r="AG328" t="str">
        <f>IF(AND(Table1[[#This Row],[Average attendance on class]]&lt;75,Table1[[#This Row],[How many hour do you study daily?]]&lt;1),"At Risk","Normal")</f>
        <v>Normal</v>
      </c>
      <c r="AH328">
        <f>(Table1[[#This Row],[Average attendance on class]]*0.4)+(Table1[[#This Row],[How many hour do you study daily?]]*10*0.3)+(Table1[[#This Row],[How many hour do you spent daily on your skill development?]]*10*0.3)</f>
        <v>32</v>
      </c>
    </row>
    <row r="329" spans="1:34" x14ac:dyDescent="0.25">
      <c r="A329">
        <v>2020</v>
      </c>
      <c r="B329" t="s">
        <v>48</v>
      </c>
      <c r="C329">
        <v>21</v>
      </c>
      <c r="D329">
        <v>2019</v>
      </c>
      <c r="E329" t="s">
        <v>35</v>
      </c>
      <c r="F329">
        <v>7</v>
      </c>
      <c r="G329" t="s">
        <v>37</v>
      </c>
      <c r="H329" t="s">
        <v>36</v>
      </c>
      <c r="I329">
        <v>2</v>
      </c>
      <c r="J329">
        <v>2</v>
      </c>
      <c r="K329" t="s">
        <v>44</v>
      </c>
      <c r="L329" t="s">
        <v>36</v>
      </c>
      <c r="M329" t="s">
        <v>36</v>
      </c>
      <c r="N329">
        <v>5</v>
      </c>
      <c r="O329" t="s">
        <v>39</v>
      </c>
      <c r="P329">
        <v>80</v>
      </c>
      <c r="Q329" t="s">
        <v>37</v>
      </c>
      <c r="R329" t="s">
        <v>37</v>
      </c>
      <c r="S329" t="s">
        <v>36</v>
      </c>
      <c r="T329" t="s">
        <v>40</v>
      </c>
      <c r="U329">
        <v>3</v>
      </c>
      <c r="V329" t="s">
        <v>62</v>
      </c>
      <c r="W329" t="s">
        <v>50</v>
      </c>
      <c r="X329" t="s">
        <v>37</v>
      </c>
      <c r="Y329" t="s">
        <v>47</v>
      </c>
      <c r="Z329" t="s">
        <v>37</v>
      </c>
      <c r="AA329">
        <v>3</v>
      </c>
      <c r="AB329" t="s">
        <v>37</v>
      </c>
      <c r="AC329">
        <v>2.91</v>
      </c>
      <c r="AD329">
        <v>90</v>
      </c>
      <c r="AE329">
        <v>35000</v>
      </c>
      <c r="AF329" t="str">
        <f>IF(Table1[[#This Row],[What is your current CGPA?]]&gt;=3.5,"High",IF(Table1[[#This Row],[What is your current CGPA?]]&gt;=2.5,"Medium","Low"))</f>
        <v>Medium</v>
      </c>
      <c r="AG329" t="str">
        <f>IF(AND(Table1[[#This Row],[Average attendance on class]]&lt;75,Table1[[#This Row],[How many hour do you study daily?]]&lt;1),"At Risk","Normal")</f>
        <v>Normal</v>
      </c>
      <c r="AH329">
        <f>(Table1[[#This Row],[Average attendance on class]]*0.4)+(Table1[[#This Row],[How many hour do you study daily?]]*10*0.3)+(Table1[[#This Row],[How many hour do you spent daily on your skill development?]]*10*0.3)</f>
        <v>47</v>
      </c>
    </row>
    <row r="330" spans="1:34" x14ac:dyDescent="0.25">
      <c r="A330">
        <v>2021</v>
      </c>
      <c r="B330" t="s">
        <v>48</v>
      </c>
      <c r="C330">
        <v>20</v>
      </c>
      <c r="D330">
        <v>2020</v>
      </c>
      <c r="E330" t="s">
        <v>35</v>
      </c>
      <c r="F330">
        <v>3</v>
      </c>
      <c r="G330" t="s">
        <v>37</v>
      </c>
      <c r="H330" t="s">
        <v>36</v>
      </c>
      <c r="I330">
        <v>2</v>
      </c>
      <c r="J330">
        <v>1</v>
      </c>
      <c r="K330" t="s">
        <v>38</v>
      </c>
      <c r="L330" t="s">
        <v>36</v>
      </c>
      <c r="M330" t="s">
        <v>37</v>
      </c>
      <c r="N330">
        <v>5</v>
      </c>
      <c r="O330" t="s">
        <v>45</v>
      </c>
      <c r="P330">
        <v>80</v>
      </c>
      <c r="Q330" t="s">
        <v>37</v>
      </c>
      <c r="R330" t="s">
        <v>37</v>
      </c>
      <c r="S330" t="s">
        <v>36</v>
      </c>
      <c r="T330" t="s">
        <v>40</v>
      </c>
      <c r="U330">
        <v>1</v>
      </c>
      <c r="V330" t="s">
        <v>40</v>
      </c>
      <c r="W330" t="s">
        <v>42</v>
      </c>
      <c r="X330" t="s">
        <v>36</v>
      </c>
      <c r="Y330" t="s">
        <v>47</v>
      </c>
      <c r="Z330" t="s">
        <v>37</v>
      </c>
      <c r="AA330">
        <v>2.3199999999999998</v>
      </c>
      <c r="AB330" t="s">
        <v>37</v>
      </c>
      <c r="AC330">
        <v>2.66</v>
      </c>
      <c r="AD330">
        <v>23</v>
      </c>
      <c r="AE330">
        <v>40000</v>
      </c>
      <c r="AF330" t="str">
        <f>IF(Table1[[#This Row],[What is your current CGPA?]]&gt;=3.5,"High",IF(Table1[[#This Row],[What is your current CGPA?]]&gt;=2.5,"Medium","Low"))</f>
        <v>Medium</v>
      </c>
      <c r="AG330" t="str">
        <f>IF(AND(Table1[[#This Row],[Average attendance on class]]&lt;75,Table1[[#This Row],[How many hour do you study daily?]]&lt;1),"At Risk","Normal")</f>
        <v>Normal</v>
      </c>
      <c r="AH330">
        <f>(Table1[[#This Row],[Average attendance on class]]*0.4)+(Table1[[#This Row],[How many hour do you study daily?]]*10*0.3)+(Table1[[#This Row],[How many hour do you spent daily on your skill development?]]*10*0.3)</f>
        <v>41</v>
      </c>
    </row>
    <row r="331" spans="1:34" x14ac:dyDescent="0.25">
      <c r="A331">
        <v>2022</v>
      </c>
      <c r="B331" t="s">
        <v>34</v>
      </c>
      <c r="C331">
        <v>21</v>
      </c>
      <c r="D331">
        <v>2022</v>
      </c>
      <c r="E331" t="s">
        <v>35</v>
      </c>
      <c r="F331">
        <v>1</v>
      </c>
      <c r="G331" t="s">
        <v>36</v>
      </c>
      <c r="H331" t="s">
        <v>36</v>
      </c>
      <c r="I331">
        <v>6</v>
      </c>
      <c r="J331">
        <v>2</v>
      </c>
      <c r="K331" t="s">
        <v>44</v>
      </c>
      <c r="L331" t="s">
        <v>36</v>
      </c>
      <c r="M331" t="s">
        <v>36</v>
      </c>
      <c r="N331">
        <v>4</v>
      </c>
      <c r="O331" t="s">
        <v>39</v>
      </c>
      <c r="P331">
        <v>90</v>
      </c>
      <c r="Q331" t="s">
        <v>36</v>
      </c>
      <c r="R331" t="s">
        <v>37</v>
      </c>
      <c r="S331" t="s">
        <v>36</v>
      </c>
      <c r="T331" t="s">
        <v>61</v>
      </c>
      <c r="U331">
        <v>1</v>
      </c>
      <c r="V331" t="s">
        <v>40</v>
      </c>
      <c r="W331" t="s">
        <v>42</v>
      </c>
      <c r="X331" t="s">
        <v>37</v>
      </c>
      <c r="Y331" t="s">
        <v>43</v>
      </c>
      <c r="Z331" t="s">
        <v>36</v>
      </c>
      <c r="AA331">
        <v>0</v>
      </c>
      <c r="AB331" t="s">
        <v>36</v>
      </c>
      <c r="AC331">
        <v>0</v>
      </c>
      <c r="AD331">
        <v>11</v>
      </c>
      <c r="AE331">
        <v>62488</v>
      </c>
      <c r="AF331" t="str">
        <f>IF(Table1[[#This Row],[What is your current CGPA?]]&gt;=3.5,"High",IF(Table1[[#This Row],[What is your current CGPA?]]&gt;=2.5,"Medium","Low"))</f>
        <v>Low</v>
      </c>
      <c r="AG331" t="str">
        <f>IF(AND(Table1[[#This Row],[Average attendance on class]]&lt;75,Table1[[#This Row],[How many hour do you study daily?]]&lt;1),"At Risk","Normal")</f>
        <v>Normal</v>
      </c>
      <c r="AH331">
        <f>(Table1[[#This Row],[Average attendance on class]]*0.4)+(Table1[[#This Row],[How many hour do you study daily?]]*10*0.3)+(Table1[[#This Row],[How many hour do you spent daily on your skill development?]]*10*0.3)</f>
        <v>57</v>
      </c>
    </row>
    <row r="332" spans="1:34" x14ac:dyDescent="0.25">
      <c r="A332">
        <v>2021</v>
      </c>
      <c r="B332" t="s">
        <v>48</v>
      </c>
      <c r="C332">
        <v>21</v>
      </c>
      <c r="D332">
        <v>2019</v>
      </c>
      <c r="E332" t="s">
        <v>35</v>
      </c>
      <c r="F332">
        <v>3</v>
      </c>
      <c r="G332" t="s">
        <v>36</v>
      </c>
      <c r="H332" t="s">
        <v>37</v>
      </c>
      <c r="I332">
        <v>3</v>
      </c>
      <c r="J332">
        <v>0</v>
      </c>
      <c r="K332" t="s">
        <v>38</v>
      </c>
      <c r="L332" t="s">
        <v>36</v>
      </c>
      <c r="M332" t="s">
        <v>36</v>
      </c>
      <c r="N332">
        <v>12</v>
      </c>
      <c r="O332" t="s">
        <v>53</v>
      </c>
      <c r="P332">
        <v>50</v>
      </c>
      <c r="Q332" t="s">
        <v>37</v>
      </c>
      <c r="R332" t="s">
        <v>37</v>
      </c>
      <c r="S332" t="s">
        <v>36</v>
      </c>
      <c r="T332" t="s">
        <v>82</v>
      </c>
      <c r="U332">
        <v>0</v>
      </c>
      <c r="V332" t="s">
        <v>51</v>
      </c>
      <c r="W332" t="s">
        <v>50</v>
      </c>
      <c r="X332" t="s">
        <v>36</v>
      </c>
      <c r="Y332" t="s">
        <v>47</v>
      </c>
      <c r="Z332" t="s">
        <v>36</v>
      </c>
      <c r="AA332">
        <v>3.37</v>
      </c>
      <c r="AB332" t="s">
        <v>37</v>
      </c>
      <c r="AC332">
        <v>3.15</v>
      </c>
      <c r="AD332">
        <v>23</v>
      </c>
      <c r="AE332">
        <v>62488</v>
      </c>
      <c r="AF332" t="str">
        <f>IF(Table1[[#This Row],[What is your current CGPA?]]&gt;=3.5,"High",IF(Table1[[#This Row],[What is your current CGPA?]]&gt;=2.5,"Medium","Low"))</f>
        <v>Medium</v>
      </c>
      <c r="AG332" t="str">
        <f>IF(AND(Table1[[#This Row],[Average attendance on class]]&lt;75,Table1[[#This Row],[How many hour do you study daily?]]&lt;1),"At Risk","Normal")</f>
        <v>Normal</v>
      </c>
      <c r="AH332">
        <f>(Table1[[#This Row],[Average attendance on class]]*0.4)+(Table1[[#This Row],[How many hour do you study daily?]]*10*0.3)+(Table1[[#This Row],[How many hour do you spent daily on your skill development?]]*10*0.3)</f>
        <v>29</v>
      </c>
    </row>
    <row r="333" spans="1:34" x14ac:dyDescent="0.25">
      <c r="A333">
        <v>2021</v>
      </c>
      <c r="B333" t="s">
        <v>48</v>
      </c>
      <c r="C333">
        <v>22</v>
      </c>
      <c r="D333">
        <v>2020</v>
      </c>
      <c r="E333" t="s">
        <v>35</v>
      </c>
      <c r="F333">
        <v>3</v>
      </c>
      <c r="G333" t="s">
        <v>36</v>
      </c>
      <c r="H333" t="s">
        <v>37</v>
      </c>
      <c r="I333">
        <v>2</v>
      </c>
      <c r="J333">
        <v>1</v>
      </c>
      <c r="K333" t="s">
        <v>38</v>
      </c>
      <c r="L333" t="s">
        <v>36</v>
      </c>
      <c r="M333" t="s">
        <v>36</v>
      </c>
      <c r="N333">
        <v>3</v>
      </c>
      <c r="O333" t="s">
        <v>39</v>
      </c>
      <c r="P333">
        <v>100</v>
      </c>
      <c r="Q333" t="s">
        <v>37</v>
      </c>
      <c r="R333" t="s">
        <v>37</v>
      </c>
      <c r="S333" t="s">
        <v>36</v>
      </c>
      <c r="T333" t="s">
        <v>40</v>
      </c>
      <c r="U333">
        <v>1</v>
      </c>
      <c r="V333" t="s">
        <v>52</v>
      </c>
      <c r="W333" t="s">
        <v>42</v>
      </c>
      <c r="X333" t="s">
        <v>36</v>
      </c>
      <c r="Y333" t="s">
        <v>43</v>
      </c>
      <c r="Z333" t="s">
        <v>36</v>
      </c>
      <c r="AA333">
        <v>2.89</v>
      </c>
      <c r="AB333" t="s">
        <v>37</v>
      </c>
      <c r="AC333">
        <v>3.37</v>
      </c>
      <c r="AD333">
        <v>24</v>
      </c>
      <c r="AE333">
        <v>50000</v>
      </c>
      <c r="AF333" t="str">
        <f>IF(Table1[[#This Row],[What is your current CGPA?]]&gt;=3.5,"High",IF(Table1[[#This Row],[What is your current CGPA?]]&gt;=2.5,"Medium","Low"))</f>
        <v>Medium</v>
      </c>
      <c r="AG333" t="str">
        <f>IF(AND(Table1[[#This Row],[Average attendance on class]]&lt;75,Table1[[#This Row],[How many hour do you study daily?]]&lt;1),"At Risk","Normal")</f>
        <v>Normal</v>
      </c>
      <c r="AH333">
        <f>(Table1[[#This Row],[Average attendance on class]]*0.4)+(Table1[[#This Row],[How many hour do you study daily?]]*10*0.3)+(Table1[[#This Row],[How many hour do you spent daily on your skill development?]]*10*0.3)</f>
        <v>49</v>
      </c>
    </row>
    <row r="334" spans="1:34" x14ac:dyDescent="0.25">
      <c r="A334">
        <v>2021</v>
      </c>
      <c r="B334" t="s">
        <v>48</v>
      </c>
      <c r="C334">
        <v>21</v>
      </c>
      <c r="D334">
        <v>2019</v>
      </c>
      <c r="E334" t="s">
        <v>35</v>
      </c>
      <c r="F334">
        <v>3</v>
      </c>
      <c r="G334" t="s">
        <v>36</v>
      </c>
      <c r="H334" t="s">
        <v>36</v>
      </c>
      <c r="I334">
        <v>2</v>
      </c>
      <c r="J334">
        <v>3</v>
      </c>
      <c r="K334" t="s">
        <v>38</v>
      </c>
      <c r="L334" t="s">
        <v>36</v>
      </c>
      <c r="M334" t="s">
        <v>36</v>
      </c>
      <c r="N334">
        <v>2</v>
      </c>
      <c r="O334" t="s">
        <v>45</v>
      </c>
      <c r="P334">
        <v>90</v>
      </c>
      <c r="Q334" t="s">
        <v>37</v>
      </c>
      <c r="R334" t="s">
        <v>37</v>
      </c>
      <c r="S334" t="s">
        <v>37</v>
      </c>
      <c r="T334" t="s">
        <v>40</v>
      </c>
      <c r="U334">
        <v>2</v>
      </c>
      <c r="V334" t="s">
        <v>40</v>
      </c>
      <c r="W334" t="s">
        <v>42</v>
      </c>
      <c r="X334" t="s">
        <v>37</v>
      </c>
      <c r="Y334" t="s">
        <v>47</v>
      </c>
      <c r="Z334" t="s">
        <v>37</v>
      </c>
      <c r="AA334">
        <v>3.17</v>
      </c>
      <c r="AB334" t="s">
        <v>37</v>
      </c>
      <c r="AC334">
        <v>3.15</v>
      </c>
      <c r="AD334">
        <v>24</v>
      </c>
      <c r="AE334">
        <v>40000</v>
      </c>
      <c r="AF334" t="str">
        <f>IF(Table1[[#This Row],[What is your current CGPA?]]&gt;=3.5,"High",IF(Table1[[#This Row],[What is your current CGPA?]]&gt;=2.5,"Medium","Low"))</f>
        <v>Medium</v>
      </c>
      <c r="AG334" t="str">
        <f>IF(AND(Table1[[#This Row],[Average attendance on class]]&lt;75,Table1[[#This Row],[How many hour do you study daily?]]&lt;1),"At Risk","Normal")</f>
        <v>Normal</v>
      </c>
      <c r="AH334">
        <f>(Table1[[#This Row],[Average attendance on class]]*0.4)+(Table1[[#This Row],[How many hour do you study daily?]]*10*0.3)+(Table1[[#This Row],[How many hour do you spent daily on your skill development?]]*10*0.3)</f>
        <v>48</v>
      </c>
    </row>
    <row r="335" spans="1:34" x14ac:dyDescent="0.25">
      <c r="A335">
        <v>2021</v>
      </c>
      <c r="B335" t="s">
        <v>48</v>
      </c>
      <c r="C335">
        <v>20</v>
      </c>
      <c r="D335">
        <v>2020</v>
      </c>
      <c r="E335" t="s">
        <v>35</v>
      </c>
      <c r="F335">
        <v>3</v>
      </c>
      <c r="G335" t="s">
        <v>36</v>
      </c>
      <c r="H335" t="s">
        <v>36</v>
      </c>
      <c r="I335">
        <v>2</v>
      </c>
      <c r="J335">
        <v>2</v>
      </c>
      <c r="K335" t="s">
        <v>38</v>
      </c>
      <c r="L335" t="s">
        <v>36</v>
      </c>
      <c r="M335" t="s">
        <v>36</v>
      </c>
      <c r="N335">
        <v>5</v>
      </c>
      <c r="O335" t="s">
        <v>45</v>
      </c>
      <c r="P335">
        <v>100</v>
      </c>
      <c r="Q335" t="s">
        <v>36</v>
      </c>
      <c r="R335" t="s">
        <v>37</v>
      </c>
      <c r="S335" t="s">
        <v>37</v>
      </c>
      <c r="T335" t="s">
        <v>40</v>
      </c>
      <c r="U335">
        <v>1</v>
      </c>
      <c r="V335" t="s">
        <v>40</v>
      </c>
      <c r="W335" t="s">
        <v>42</v>
      </c>
      <c r="X335" t="s">
        <v>37</v>
      </c>
      <c r="Y335" t="s">
        <v>47</v>
      </c>
      <c r="Z335" t="s">
        <v>36</v>
      </c>
      <c r="AA335">
        <v>2.2599999999999998</v>
      </c>
      <c r="AB335" t="s">
        <v>37</v>
      </c>
      <c r="AC335">
        <v>2.31</v>
      </c>
      <c r="AD335">
        <v>20</v>
      </c>
      <c r="AE335">
        <v>35000</v>
      </c>
      <c r="AF335" t="str">
        <f>IF(Table1[[#This Row],[What is your current CGPA?]]&gt;=3.5,"High",IF(Table1[[#This Row],[What is your current CGPA?]]&gt;=2.5,"Medium","Low"))</f>
        <v>Low</v>
      </c>
      <c r="AG335" t="str">
        <f>IF(AND(Table1[[#This Row],[Average attendance on class]]&lt;75,Table1[[#This Row],[How many hour do you study daily?]]&lt;1),"At Risk","Normal")</f>
        <v>Normal</v>
      </c>
      <c r="AH335">
        <f>(Table1[[#This Row],[Average attendance on class]]*0.4)+(Table1[[#This Row],[How many hour do you study daily?]]*10*0.3)+(Table1[[#This Row],[How many hour do you spent daily on your skill development?]]*10*0.3)</f>
        <v>49</v>
      </c>
    </row>
    <row r="336" spans="1:34" x14ac:dyDescent="0.25">
      <c r="A336">
        <v>2022</v>
      </c>
      <c r="B336" t="s">
        <v>48</v>
      </c>
      <c r="C336">
        <v>21</v>
      </c>
      <c r="D336">
        <v>2020</v>
      </c>
      <c r="E336" t="s">
        <v>35</v>
      </c>
      <c r="F336">
        <v>2</v>
      </c>
      <c r="G336" t="s">
        <v>36</v>
      </c>
      <c r="H336" t="s">
        <v>37</v>
      </c>
      <c r="I336">
        <v>5</v>
      </c>
      <c r="J336">
        <v>2</v>
      </c>
      <c r="K336" t="s">
        <v>38</v>
      </c>
      <c r="L336" t="s">
        <v>36</v>
      </c>
      <c r="M336" t="s">
        <v>36</v>
      </c>
      <c r="N336">
        <v>2</v>
      </c>
      <c r="O336" t="s">
        <v>45</v>
      </c>
      <c r="P336">
        <v>99</v>
      </c>
      <c r="Q336" t="s">
        <v>37</v>
      </c>
      <c r="R336" t="s">
        <v>37</v>
      </c>
      <c r="S336" t="s">
        <v>37</v>
      </c>
      <c r="T336" t="s">
        <v>40</v>
      </c>
      <c r="U336">
        <v>1</v>
      </c>
      <c r="V336" t="s">
        <v>40</v>
      </c>
      <c r="W336" t="s">
        <v>42</v>
      </c>
      <c r="X336" t="s">
        <v>37</v>
      </c>
      <c r="Y336" t="s">
        <v>43</v>
      </c>
      <c r="Z336" t="s">
        <v>37</v>
      </c>
      <c r="AA336">
        <v>3.65</v>
      </c>
      <c r="AB336" t="s">
        <v>37</v>
      </c>
      <c r="AC336">
        <v>3.65</v>
      </c>
      <c r="AD336">
        <v>12</v>
      </c>
      <c r="AE336">
        <v>35000</v>
      </c>
      <c r="AF336" t="str">
        <f>IF(Table1[[#This Row],[What is your current CGPA?]]&gt;=3.5,"High",IF(Table1[[#This Row],[What is your current CGPA?]]&gt;=2.5,"Medium","Low"))</f>
        <v>High</v>
      </c>
      <c r="AG336" t="str">
        <f>IF(AND(Table1[[#This Row],[Average attendance on class]]&lt;75,Table1[[#This Row],[How many hour do you study daily?]]&lt;1),"At Risk","Normal")</f>
        <v>Normal</v>
      </c>
      <c r="AH336">
        <f>(Table1[[#This Row],[Average attendance on class]]*0.4)+(Table1[[#This Row],[How many hour do you study daily?]]*10*0.3)+(Table1[[#This Row],[How many hour do you spent daily on your skill development?]]*10*0.3)</f>
        <v>57.6</v>
      </c>
    </row>
    <row r="337" spans="1:34" x14ac:dyDescent="0.25">
      <c r="A337">
        <v>2021</v>
      </c>
      <c r="B337" t="s">
        <v>48</v>
      </c>
      <c r="C337">
        <v>22</v>
      </c>
      <c r="D337">
        <v>2019</v>
      </c>
      <c r="E337" t="s">
        <v>35</v>
      </c>
      <c r="F337">
        <v>3</v>
      </c>
      <c r="G337" t="s">
        <v>36</v>
      </c>
      <c r="H337" t="s">
        <v>36</v>
      </c>
      <c r="I337">
        <v>2</v>
      </c>
      <c r="J337">
        <v>1</v>
      </c>
      <c r="K337" t="s">
        <v>38</v>
      </c>
      <c r="L337" t="s">
        <v>36</v>
      </c>
      <c r="M337" t="s">
        <v>36</v>
      </c>
      <c r="N337">
        <v>1</v>
      </c>
      <c r="O337" t="s">
        <v>39</v>
      </c>
      <c r="P337">
        <v>96</v>
      </c>
      <c r="Q337" t="s">
        <v>37</v>
      </c>
      <c r="R337" t="s">
        <v>37</v>
      </c>
      <c r="S337" t="s">
        <v>36</v>
      </c>
      <c r="T337" t="s">
        <v>40</v>
      </c>
      <c r="U337">
        <v>1</v>
      </c>
      <c r="V337" t="s">
        <v>52</v>
      </c>
      <c r="W337" t="s">
        <v>42</v>
      </c>
      <c r="X337" t="s">
        <v>37</v>
      </c>
      <c r="Y337" t="s">
        <v>47</v>
      </c>
      <c r="Z337" t="s">
        <v>37</v>
      </c>
      <c r="AA337">
        <v>3.03</v>
      </c>
      <c r="AB337" t="s">
        <v>37</v>
      </c>
      <c r="AC337">
        <v>3.02</v>
      </c>
      <c r="AD337">
        <v>25</v>
      </c>
      <c r="AE337">
        <v>49000</v>
      </c>
      <c r="AF337" t="str">
        <f>IF(Table1[[#This Row],[What is your current CGPA?]]&gt;=3.5,"High",IF(Table1[[#This Row],[What is your current CGPA?]]&gt;=2.5,"Medium","Low"))</f>
        <v>Medium</v>
      </c>
      <c r="AG337" t="str">
        <f>IF(AND(Table1[[#This Row],[Average attendance on class]]&lt;75,Table1[[#This Row],[How many hour do you study daily?]]&lt;1),"At Risk","Normal")</f>
        <v>Normal</v>
      </c>
      <c r="AH337">
        <f>(Table1[[#This Row],[Average attendance on class]]*0.4)+(Table1[[#This Row],[How many hour do you study daily?]]*10*0.3)+(Table1[[#This Row],[How many hour do you spent daily on your skill development?]]*10*0.3)</f>
        <v>47.400000000000006</v>
      </c>
    </row>
    <row r="338" spans="1:34" x14ac:dyDescent="0.25">
      <c r="A338">
        <v>2020</v>
      </c>
      <c r="B338" t="s">
        <v>34</v>
      </c>
      <c r="C338">
        <v>22</v>
      </c>
      <c r="D338">
        <v>2018</v>
      </c>
      <c r="E338" t="s">
        <v>35</v>
      </c>
      <c r="F338">
        <v>7</v>
      </c>
      <c r="G338" t="s">
        <v>36</v>
      </c>
      <c r="H338" t="s">
        <v>36</v>
      </c>
      <c r="I338">
        <v>2</v>
      </c>
      <c r="J338">
        <v>1</v>
      </c>
      <c r="K338" t="s">
        <v>38</v>
      </c>
      <c r="L338" t="s">
        <v>36</v>
      </c>
      <c r="M338" t="s">
        <v>36</v>
      </c>
      <c r="N338">
        <v>4</v>
      </c>
      <c r="O338" t="s">
        <v>45</v>
      </c>
      <c r="P338">
        <v>80</v>
      </c>
      <c r="Q338" t="s">
        <v>37</v>
      </c>
      <c r="R338" t="s">
        <v>37</v>
      </c>
      <c r="S338" t="s">
        <v>36</v>
      </c>
      <c r="T338" t="s">
        <v>40</v>
      </c>
      <c r="U338">
        <v>0</v>
      </c>
      <c r="V338" t="s">
        <v>40</v>
      </c>
      <c r="W338" t="s">
        <v>42</v>
      </c>
      <c r="X338" t="s">
        <v>37</v>
      </c>
      <c r="Y338" t="s">
        <v>43</v>
      </c>
      <c r="Z338" t="s">
        <v>36</v>
      </c>
      <c r="AA338">
        <v>3.93</v>
      </c>
      <c r="AB338" t="s">
        <v>37</v>
      </c>
      <c r="AC338">
        <v>3.44</v>
      </c>
      <c r="AD338">
        <v>53</v>
      </c>
      <c r="AE338">
        <v>15000</v>
      </c>
      <c r="AF338" t="str">
        <f>IF(Table1[[#This Row],[What is your current CGPA?]]&gt;=3.5,"High",IF(Table1[[#This Row],[What is your current CGPA?]]&gt;=2.5,"Medium","Low"))</f>
        <v>Medium</v>
      </c>
      <c r="AG338" t="str">
        <f>IF(AND(Table1[[#This Row],[Average attendance on class]]&lt;75,Table1[[#This Row],[How many hour do you study daily?]]&lt;1),"At Risk","Normal")</f>
        <v>Normal</v>
      </c>
      <c r="AH338">
        <f>(Table1[[#This Row],[Average attendance on class]]*0.4)+(Table1[[#This Row],[How many hour do you study daily?]]*10*0.3)+(Table1[[#This Row],[How many hour do you spent daily on your skill development?]]*10*0.3)</f>
        <v>38</v>
      </c>
    </row>
    <row r="339" spans="1:34" x14ac:dyDescent="0.25">
      <c r="A339">
        <v>2019</v>
      </c>
      <c r="B339" t="s">
        <v>48</v>
      </c>
      <c r="C339">
        <v>22</v>
      </c>
      <c r="D339">
        <v>2018</v>
      </c>
      <c r="E339" t="s">
        <v>35</v>
      </c>
      <c r="F339">
        <v>9</v>
      </c>
      <c r="G339" t="s">
        <v>37</v>
      </c>
      <c r="H339" t="s">
        <v>36</v>
      </c>
      <c r="I339">
        <v>4</v>
      </c>
      <c r="J339">
        <v>3</v>
      </c>
      <c r="K339" t="s">
        <v>38</v>
      </c>
      <c r="L339" t="s">
        <v>36</v>
      </c>
      <c r="M339" t="s">
        <v>36</v>
      </c>
      <c r="N339">
        <v>2</v>
      </c>
      <c r="O339" t="s">
        <v>53</v>
      </c>
      <c r="P339">
        <v>80</v>
      </c>
      <c r="Q339" t="s">
        <v>37</v>
      </c>
      <c r="R339" t="s">
        <v>37</v>
      </c>
      <c r="S339" t="s">
        <v>36</v>
      </c>
      <c r="T339" t="s">
        <v>40</v>
      </c>
      <c r="U339">
        <v>2</v>
      </c>
      <c r="V339" t="s">
        <v>41</v>
      </c>
      <c r="W339" t="s">
        <v>42</v>
      </c>
      <c r="X339" t="s">
        <v>36</v>
      </c>
      <c r="Y339" t="s">
        <v>47</v>
      </c>
      <c r="Z339" t="s">
        <v>37</v>
      </c>
      <c r="AA339">
        <v>3</v>
      </c>
      <c r="AB339" t="s">
        <v>37</v>
      </c>
      <c r="AC339">
        <v>3.09</v>
      </c>
      <c r="AD339">
        <v>105</v>
      </c>
      <c r="AE339">
        <v>2000000</v>
      </c>
      <c r="AF339" t="str">
        <f>IF(Table1[[#This Row],[What is your current CGPA?]]&gt;=3.5,"High",IF(Table1[[#This Row],[What is your current CGPA?]]&gt;=2.5,"Medium","Low"))</f>
        <v>Medium</v>
      </c>
      <c r="AG339" t="str">
        <f>IF(AND(Table1[[#This Row],[Average attendance on class]]&lt;75,Table1[[#This Row],[How many hour do you study daily?]]&lt;1),"At Risk","Normal")</f>
        <v>Normal</v>
      </c>
      <c r="AH339">
        <f>(Table1[[#This Row],[Average attendance on class]]*0.4)+(Table1[[#This Row],[How many hour do you study daily?]]*10*0.3)+(Table1[[#This Row],[How many hour do you spent daily on your skill development?]]*10*0.3)</f>
        <v>50</v>
      </c>
    </row>
    <row r="340" spans="1:34" x14ac:dyDescent="0.25">
      <c r="A340">
        <v>2022</v>
      </c>
      <c r="B340" t="s">
        <v>48</v>
      </c>
      <c r="C340">
        <v>20</v>
      </c>
      <c r="D340">
        <v>2021</v>
      </c>
      <c r="E340" t="s">
        <v>35</v>
      </c>
      <c r="F340">
        <v>1</v>
      </c>
      <c r="G340" t="s">
        <v>36</v>
      </c>
      <c r="H340" t="s">
        <v>36</v>
      </c>
      <c r="I340">
        <v>2</v>
      </c>
      <c r="J340">
        <v>1</v>
      </c>
      <c r="K340" t="s">
        <v>38</v>
      </c>
      <c r="L340" t="s">
        <v>36</v>
      </c>
      <c r="M340" t="s">
        <v>36</v>
      </c>
      <c r="N340">
        <v>3</v>
      </c>
      <c r="O340" t="s">
        <v>45</v>
      </c>
      <c r="P340">
        <v>98</v>
      </c>
      <c r="Q340" t="s">
        <v>37</v>
      </c>
      <c r="R340" t="s">
        <v>37</v>
      </c>
      <c r="S340" t="s">
        <v>36</v>
      </c>
      <c r="T340" t="s">
        <v>40</v>
      </c>
      <c r="U340">
        <v>0</v>
      </c>
      <c r="V340" t="s">
        <v>40</v>
      </c>
      <c r="W340" t="s">
        <v>42</v>
      </c>
      <c r="X340" t="s">
        <v>37</v>
      </c>
      <c r="Y340" t="s">
        <v>47</v>
      </c>
      <c r="Z340" t="s">
        <v>37</v>
      </c>
      <c r="AA340">
        <v>0</v>
      </c>
      <c r="AB340" t="s">
        <v>37</v>
      </c>
      <c r="AC340">
        <v>0</v>
      </c>
      <c r="AD340">
        <v>0</v>
      </c>
      <c r="AE340">
        <v>62488</v>
      </c>
      <c r="AF340" t="str">
        <f>IF(Table1[[#This Row],[What is your current CGPA?]]&gt;=3.5,"High",IF(Table1[[#This Row],[What is your current CGPA?]]&gt;=2.5,"Medium","Low"))</f>
        <v>Low</v>
      </c>
      <c r="AG340" t="str">
        <f>IF(AND(Table1[[#This Row],[Average attendance on class]]&lt;75,Table1[[#This Row],[How many hour do you study daily?]]&lt;1),"At Risk","Normal")</f>
        <v>Normal</v>
      </c>
      <c r="AH340">
        <f>(Table1[[#This Row],[Average attendance on class]]*0.4)+(Table1[[#This Row],[How many hour do you study daily?]]*10*0.3)+(Table1[[#This Row],[How many hour do you spent daily on your skill development?]]*10*0.3)</f>
        <v>45.2</v>
      </c>
    </row>
    <row r="341" spans="1:34" x14ac:dyDescent="0.25">
      <c r="A341">
        <v>2022</v>
      </c>
      <c r="B341" t="s">
        <v>34</v>
      </c>
      <c r="C341">
        <v>20</v>
      </c>
      <c r="D341">
        <v>2020</v>
      </c>
      <c r="E341" t="s">
        <v>35</v>
      </c>
      <c r="F341">
        <v>2</v>
      </c>
      <c r="G341" t="s">
        <v>36</v>
      </c>
      <c r="H341" t="s">
        <v>36</v>
      </c>
      <c r="I341">
        <v>8</v>
      </c>
      <c r="J341">
        <v>4</v>
      </c>
      <c r="K341" t="s">
        <v>38</v>
      </c>
      <c r="L341" t="s">
        <v>36</v>
      </c>
      <c r="M341" t="s">
        <v>36</v>
      </c>
      <c r="N341">
        <v>2</v>
      </c>
      <c r="O341" t="s">
        <v>45</v>
      </c>
      <c r="P341">
        <v>88</v>
      </c>
      <c r="Q341" t="s">
        <v>37</v>
      </c>
      <c r="R341" t="s">
        <v>37</v>
      </c>
      <c r="S341" t="s">
        <v>36</v>
      </c>
      <c r="T341" t="s">
        <v>40</v>
      </c>
      <c r="U341">
        <v>2</v>
      </c>
      <c r="V341" t="s">
        <v>40</v>
      </c>
      <c r="W341" t="s">
        <v>42</v>
      </c>
      <c r="X341" t="s">
        <v>36</v>
      </c>
      <c r="Y341" t="s">
        <v>43</v>
      </c>
      <c r="Z341" t="s">
        <v>37</v>
      </c>
      <c r="AA341">
        <v>3.45</v>
      </c>
      <c r="AB341" t="s">
        <v>37</v>
      </c>
      <c r="AC341">
        <v>3.45</v>
      </c>
      <c r="AD341">
        <v>11</v>
      </c>
      <c r="AE341">
        <v>30000</v>
      </c>
      <c r="AF341" t="str">
        <f>IF(Table1[[#This Row],[What is your current CGPA?]]&gt;=3.5,"High",IF(Table1[[#This Row],[What is your current CGPA?]]&gt;=2.5,"Medium","Low"))</f>
        <v>Medium</v>
      </c>
      <c r="AG341" t="str">
        <f>IF(AND(Table1[[#This Row],[Average attendance on class]]&lt;75,Table1[[#This Row],[How many hour do you study daily?]]&lt;1),"At Risk","Normal")</f>
        <v>Normal</v>
      </c>
      <c r="AH341">
        <f>(Table1[[#This Row],[Average attendance on class]]*0.4)+(Table1[[#This Row],[How many hour do you study daily?]]*10*0.3)+(Table1[[#This Row],[How many hour do you spent daily on your skill development?]]*10*0.3)</f>
        <v>65.2</v>
      </c>
    </row>
    <row r="342" spans="1:34" x14ac:dyDescent="0.25">
      <c r="A342">
        <v>2021</v>
      </c>
      <c r="B342" t="s">
        <v>48</v>
      </c>
      <c r="C342">
        <v>21</v>
      </c>
      <c r="D342">
        <v>2020</v>
      </c>
      <c r="E342" t="s">
        <v>35</v>
      </c>
      <c r="F342">
        <v>3</v>
      </c>
      <c r="G342" t="s">
        <v>36</v>
      </c>
      <c r="H342" t="s">
        <v>36</v>
      </c>
      <c r="I342">
        <v>3</v>
      </c>
      <c r="J342">
        <v>4</v>
      </c>
      <c r="K342" t="s">
        <v>38</v>
      </c>
      <c r="L342" t="s">
        <v>36</v>
      </c>
      <c r="M342" t="s">
        <v>36</v>
      </c>
      <c r="N342">
        <v>1</v>
      </c>
      <c r="O342" t="s">
        <v>45</v>
      </c>
      <c r="P342">
        <v>100</v>
      </c>
      <c r="Q342" t="s">
        <v>37</v>
      </c>
      <c r="R342" t="s">
        <v>37</v>
      </c>
      <c r="S342" t="s">
        <v>36</v>
      </c>
      <c r="T342" t="s">
        <v>40</v>
      </c>
      <c r="U342">
        <v>1</v>
      </c>
      <c r="V342" t="s">
        <v>40</v>
      </c>
      <c r="W342" t="s">
        <v>42</v>
      </c>
      <c r="X342" t="s">
        <v>37</v>
      </c>
      <c r="Y342" t="s">
        <v>47</v>
      </c>
      <c r="Z342" t="s">
        <v>37</v>
      </c>
      <c r="AA342">
        <v>2.94</v>
      </c>
      <c r="AB342" t="s">
        <v>37</v>
      </c>
      <c r="AC342">
        <v>3.03</v>
      </c>
      <c r="AD342">
        <v>23</v>
      </c>
      <c r="AE342">
        <v>62488</v>
      </c>
      <c r="AF342" t="str">
        <f>IF(Table1[[#This Row],[What is your current CGPA?]]&gt;=3.5,"High",IF(Table1[[#This Row],[What is your current CGPA?]]&gt;=2.5,"Medium","Low"))</f>
        <v>Medium</v>
      </c>
      <c r="AG342" t="str">
        <f>IF(AND(Table1[[#This Row],[Average attendance on class]]&lt;75,Table1[[#This Row],[How many hour do you study daily?]]&lt;1),"At Risk","Normal")</f>
        <v>Normal</v>
      </c>
      <c r="AH342">
        <f>(Table1[[#This Row],[Average attendance on class]]*0.4)+(Table1[[#This Row],[How many hour do you study daily?]]*10*0.3)+(Table1[[#This Row],[How many hour do you spent daily on your skill development?]]*10*0.3)</f>
        <v>52</v>
      </c>
    </row>
    <row r="343" spans="1:34" x14ac:dyDescent="0.25">
      <c r="A343">
        <v>2021</v>
      </c>
      <c r="B343" t="s">
        <v>34</v>
      </c>
      <c r="C343">
        <v>21</v>
      </c>
      <c r="D343">
        <v>2019</v>
      </c>
      <c r="E343" t="s">
        <v>35</v>
      </c>
      <c r="F343">
        <v>3</v>
      </c>
      <c r="G343" t="s">
        <v>36</v>
      </c>
      <c r="H343" t="s">
        <v>36</v>
      </c>
      <c r="I343">
        <v>8</v>
      </c>
      <c r="J343">
        <v>2</v>
      </c>
      <c r="K343" t="s">
        <v>38</v>
      </c>
      <c r="L343" t="s">
        <v>36</v>
      </c>
      <c r="M343" t="s">
        <v>36</v>
      </c>
      <c r="N343">
        <v>1</v>
      </c>
      <c r="O343" t="s">
        <v>39</v>
      </c>
      <c r="P343">
        <v>100</v>
      </c>
      <c r="Q343" t="s">
        <v>37</v>
      </c>
      <c r="R343" t="s">
        <v>37</v>
      </c>
      <c r="S343" t="s">
        <v>37</v>
      </c>
      <c r="T343" t="s">
        <v>40</v>
      </c>
      <c r="U343">
        <v>4</v>
      </c>
      <c r="V343" t="s">
        <v>40</v>
      </c>
      <c r="W343" t="s">
        <v>50</v>
      </c>
      <c r="X343" t="s">
        <v>36</v>
      </c>
      <c r="Y343" t="s">
        <v>47</v>
      </c>
      <c r="Z343" t="s">
        <v>37</v>
      </c>
      <c r="AA343">
        <v>3.93</v>
      </c>
      <c r="AB343" t="s">
        <v>37</v>
      </c>
      <c r="AC343">
        <v>3.95</v>
      </c>
      <c r="AD343">
        <v>25</v>
      </c>
      <c r="AE343">
        <v>50000</v>
      </c>
      <c r="AF343" t="str">
        <f>IF(Table1[[#This Row],[What is your current CGPA?]]&gt;=3.5,"High",IF(Table1[[#This Row],[What is your current CGPA?]]&gt;=2.5,"Medium","Low"))</f>
        <v>High</v>
      </c>
      <c r="AG343" t="str">
        <f>IF(AND(Table1[[#This Row],[Average attendance on class]]&lt;75,Table1[[#This Row],[How many hour do you study daily?]]&lt;1),"At Risk","Normal")</f>
        <v>Normal</v>
      </c>
      <c r="AH343">
        <f>(Table1[[#This Row],[Average attendance on class]]*0.4)+(Table1[[#This Row],[How many hour do you study daily?]]*10*0.3)+(Table1[[#This Row],[How many hour do you spent daily on your skill development?]]*10*0.3)</f>
        <v>76</v>
      </c>
    </row>
    <row r="344" spans="1:34" x14ac:dyDescent="0.25">
      <c r="A344">
        <v>2021</v>
      </c>
      <c r="B344" t="s">
        <v>34</v>
      </c>
      <c r="C344">
        <v>21</v>
      </c>
      <c r="D344">
        <v>2019</v>
      </c>
      <c r="E344" t="s">
        <v>35</v>
      </c>
      <c r="F344">
        <v>3</v>
      </c>
      <c r="G344" t="s">
        <v>36</v>
      </c>
      <c r="H344" t="s">
        <v>36</v>
      </c>
      <c r="I344">
        <v>1</v>
      </c>
      <c r="J344">
        <v>1</v>
      </c>
      <c r="K344" t="s">
        <v>44</v>
      </c>
      <c r="L344" t="s">
        <v>36</v>
      </c>
      <c r="M344" t="s">
        <v>36</v>
      </c>
      <c r="N344">
        <v>2</v>
      </c>
      <c r="O344" t="s">
        <v>39</v>
      </c>
      <c r="P344">
        <v>85</v>
      </c>
      <c r="Q344" t="s">
        <v>37</v>
      </c>
      <c r="R344" t="s">
        <v>37</v>
      </c>
      <c r="S344" t="s">
        <v>37</v>
      </c>
      <c r="T344" t="s">
        <v>40</v>
      </c>
      <c r="U344">
        <v>2</v>
      </c>
      <c r="V344" t="s">
        <v>41</v>
      </c>
      <c r="W344" t="s">
        <v>42</v>
      </c>
      <c r="X344" t="s">
        <v>36</v>
      </c>
      <c r="Y344" t="s">
        <v>47</v>
      </c>
      <c r="Z344" t="s">
        <v>36</v>
      </c>
      <c r="AA344">
        <v>3.86</v>
      </c>
      <c r="AB344" t="s">
        <v>37</v>
      </c>
      <c r="AC344">
        <v>3.84</v>
      </c>
      <c r="AD344">
        <v>24</v>
      </c>
      <c r="AE344">
        <v>50000</v>
      </c>
      <c r="AF344" t="str">
        <f>IF(Table1[[#This Row],[What is your current CGPA?]]&gt;=3.5,"High",IF(Table1[[#This Row],[What is your current CGPA?]]&gt;=2.5,"Medium","Low"))</f>
        <v>High</v>
      </c>
      <c r="AG344" t="str">
        <f>IF(AND(Table1[[#This Row],[Average attendance on class]]&lt;75,Table1[[#This Row],[How many hour do you study daily?]]&lt;1),"At Risk","Normal")</f>
        <v>Normal</v>
      </c>
      <c r="AH344">
        <f>(Table1[[#This Row],[Average attendance on class]]*0.4)+(Table1[[#This Row],[How many hour do you study daily?]]*10*0.3)+(Table1[[#This Row],[How many hour do you spent daily on your skill development?]]*10*0.3)</f>
        <v>43</v>
      </c>
    </row>
    <row r="345" spans="1:34" x14ac:dyDescent="0.25">
      <c r="A345">
        <v>2022</v>
      </c>
      <c r="B345" t="s">
        <v>34</v>
      </c>
      <c r="C345">
        <v>20</v>
      </c>
      <c r="D345">
        <v>2020</v>
      </c>
      <c r="E345" t="s">
        <v>35</v>
      </c>
      <c r="F345">
        <v>3</v>
      </c>
      <c r="G345" t="s">
        <v>37</v>
      </c>
      <c r="H345" t="s">
        <v>36</v>
      </c>
      <c r="I345">
        <v>4</v>
      </c>
      <c r="J345">
        <v>2</v>
      </c>
      <c r="K345" t="s">
        <v>38</v>
      </c>
      <c r="L345" t="s">
        <v>36</v>
      </c>
      <c r="M345" t="s">
        <v>36</v>
      </c>
      <c r="N345">
        <v>2</v>
      </c>
      <c r="O345" t="s">
        <v>39</v>
      </c>
      <c r="P345">
        <v>100</v>
      </c>
      <c r="Q345" t="s">
        <v>36</v>
      </c>
      <c r="R345" t="s">
        <v>37</v>
      </c>
      <c r="S345" t="s">
        <v>37</v>
      </c>
      <c r="T345" t="s">
        <v>40</v>
      </c>
      <c r="U345">
        <v>1</v>
      </c>
      <c r="V345" t="s">
        <v>40</v>
      </c>
      <c r="W345" t="s">
        <v>42</v>
      </c>
      <c r="X345" t="s">
        <v>37</v>
      </c>
      <c r="Y345" t="s">
        <v>47</v>
      </c>
      <c r="Z345" t="s">
        <v>37</v>
      </c>
      <c r="AA345">
        <v>2.93</v>
      </c>
      <c r="AB345" t="s">
        <v>37</v>
      </c>
      <c r="AC345">
        <v>2.84</v>
      </c>
      <c r="AD345">
        <v>26</v>
      </c>
      <c r="AE345">
        <v>30000</v>
      </c>
      <c r="AF345" t="str">
        <f>IF(Table1[[#This Row],[What is your current CGPA?]]&gt;=3.5,"High",IF(Table1[[#This Row],[What is your current CGPA?]]&gt;=2.5,"Medium","Low"))</f>
        <v>Medium</v>
      </c>
      <c r="AG345" t="str">
        <f>IF(AND(Table1[[#This Row],[Average attendance on class]]&lt;75,Table1[[#This Row],[How many hour do you study daily?]]&lt;1),"At Risk","Normal")</f>
        <v>Normal</v>
      </c>
      <c r="AH345">
        <f>(Table1[[#This Row],[Average attendance on class]]*0.4)+(Table1[[#This Row],[How many hour do you study daily?]]*10*0.3)+(Table1[[#This Row],[How many hour do you spent daily on your skill development?]]*10*0.3)</f>
        <v>55</v>
      </c>
    </row>
    <row r="346" spans="1:34" x14ac:dyDescent="0.25">
      <c r="A346">
        <v>2021</v>
      </c>
      <c r="B346" t="s">
        <v>34</v>
      </c>
      <c r="C346">
        <v>20</v>
      </c>
      <c r="D346">
        <v>2020</v>
      </c>
      <c r="E346" t="s">
        <v>35</v>
      </c>
      <c r="F346">
        <v>4</v>
      </c>
      <c r="G346" t="s">
        <v>36</v>
      </c>
      <c r="H346" t="s">
        <v>37</v>
      </c>
      <c r="I346">
        <v>5</v>
      </c>
      <c r="J346">
        <v>3</v>
      </c>
      <c r="K346" t="s">
        <v>44</v>
      </c>
      <c r="L346" t="s">
        <v>36</v>
      </c>
      <c r="M346" t="s">
        <v>36</v>
      </c>
      <c r="N346">
        <v>1</v>
      </c>
      <c r="O346" t="s">
        <v>39</v>
      </c>
      <c r="P346">
        <v>80</v>
      </c>
      <c r="Q346" t="s">
        <v>37</v>
      </c>
      <c r="R346" t="s">
        <v>37</v>
      </c>
      <c r="S346" t="s">
        <v>36</v>
      </c>
      <c r="T346" t="s">
        <v>40</v>
      </c>
      <c r="U346">
        <v>2</v>
      </c>
      <c r="V346" t="s">
        <v>40</v>
      </c>
      <c r="W346" t="s">
        <v>42</v>
      </c>
      <c r="X346" t="s">
        <v>37</v>
      </c>
      <c r="Y346" t="s">
        <v>43</v>
      </c>
      <c r="Z346" t="s">
        <v>37</v>
      </c>
      <c r="AA346">
        <v>3.06</v>
      </c>
      <c r="AB346" t="s">
        <v>37</v>
      </c>
      <c r="AC346">
        <v>3.08</v>
      </c>
      <c r="AD346">
        <v>36</v>
      </c>
      <c r="AE346">
        <v>7000</v>
      </c>
      <c r="AF346" t="str">
        <f>IF(Table1[[#This Row],[What is your current CGPA?]]&gt;=3.5,"High",IF(Table1[[#This Row],[What is your current CGPA?]]&gt;=2.5,"Medium","Low"))</f>
        <v>Medium</v>
      </c>
      <c r="AG346" t="str">
        <f>IF(AND(Table1[[#This Row],[Average attendance on class]]&lt;75,Table1[[#This Row],[How many hour do you study daily?]]&lt;1),"At Risk","Normal")</f>
        <v>Normal</v>
      </c>
      <c r="AH346">
        <f>(Table1[[#This Row],[Average attendance on class]]*0.4)+(Table1[[#This Row],[How many hour do you study daily?]]*10*0.3)+(Table1[[#This Row],[How many hour do you spent daily on your skill development?]]*10*0.3)</f>
        <v>53</v>
      </c>
    </row>
    <row r="347" spans="1:34" x14ac:dyDescent="0.25">
      <c r="A347">
        <v>2022</v>
      </c>
      <c r="B347" t="s">
        <v>48</v>
      </c>
      <c r="C347">
        <v>21</v>
      </c>
      <c r="D347">
        <v>2019</v>
      </c>
      <c r="E347" t="s">
        <v>35</v>
      </c>
      <c r="F347">
        <v>1</v>
      </c>
      <c r="G347" t="s">
        <v>36</v>
      </c>
      <c r="H347" t="s">
        <v>36</v>
      </c>
      <c r="I347">
        <v>2</v>
      </c>
      <c r="J347">
        <v>1</v>
      </c>
      <c r="K347" t="s">
        <v>38</v>
      </c>
      <c r="L347" t="s">
        <v>36</v>
      </c>
      <c r="M347" t="s">
        <v>36</v>
      </c>
      <c r="N347">
        <v>7</v>
      </c>
      <c r="O347" t="s">
        <v>53</v>
      </c>
      <c r="P347">
        <v>100</v>
      </c>
      <c r="Q347" t="s">
        <v>37</v>
      </c>
      <c r="R347" t="s">
        <v>37</v>
      </c>
      <c r="S347" t="s">
        <v>36</v>
      </c>
      <c r="T347" t="s">
        <v>61</v>
      </c>
      <c r="U347">
        <v>0</v>
      </c>
      <c r="V347" t="s">
        <v>40</v>
      </c>
      <c r="W347" t="s">
        <v>42</v>
      </c>
      <c r="X347" t="s">
        <v>37</v>
      </c>
      <c r="Y347" t="s">
        <v>47</v>
      </c>
      <c r="Z347" t="s">
        <v>37</v>
      </c>
      <c r="AA347">
        <v>0</v>
      </c>
      <c r="AB347" t="s">
        <v>37</v>
      </c>
      <c r="AC347">
        <v>0</v>
      </c>
      <c r="AD347">
        <v>0</v>
      </c>
      <c r="AE347">
        <v>50000</v>
      </c>
      <c r="AF347" t="str">
        <f>IF(Table1[[#This Row],[What is your current CGPA?]]&gt;=3.5,"High",IF(Table1[[#This Row],[What is your current CGPA?]]&gt;=2.5,"Medium","Low"))</f>
        <v>Low</v>
      </c>
      <c r="AG347" t="str">
        <f>IF(AND(Table1[[#This Row],[Average attendance on class]]&lt;75,Table1[[#This Row],[How many hour do you study daily?]]&lt;1),"At Risk","Normal")</f>
        <v>Normal</v>
      </c>
      <c r="AH347">
        <f>(Table1[[#This Row],[Average attendance on class]]*0.4)+(Table1[[#This Row],[How many hour do you study daily?]]*10*0.3)+(Table1[[#This Row],[How many hour do you spent daily on your skill development?]]*10*0.3)</f>
        <v>46</v>
      </c>
    </row>
    <row r="348" spans="1:34" x14ac:dyDescent="0.25">
      <c r="A348">
        <v>2020</v>
      </c>
      <c r="B348" t="s">
        <v>48</v>
      </c>
      <c r="C348">
        <v>21</v>
      </c>
      <c r="D348">
        <v>2018</v>
      </c>
      <c r="E348" t="s">
        <v>35</v>
      </c>
      <c r="F348">
        <v>8</v>
      </c>
      <c r="G348" t="s">
        <v>36</v>
      </c>
      <c r="H348" t="s">
        <v>36</v>
      </c>
      <c r="I348">
        <v>0</v>
      </c>
      <c r="J348">
        <v>0</v>
      </c>
      <c r="K348" t="s">
        <v>38</v>
      </c>
      <c r="L348" t="s">
        <v>36</v>
      </c>
      <c r="M348" t="s">
        <v>36</v>
      </c>
      <c r="N348">
        <v>3</v>
      </c>
      <c r="O348" t="s">
        <v>39</v>
      </c>
      <c r="P348">
        <v>100</v>
      </c>
      <c r="Q348" t="s">
        <v>37</v>
      </c>
      <c r="R348" t="s">
        <v>37</v>
      </c>
      <c r="S348" t="s">
        <v>36</v>
      </c>
      <c r="T348" t="s">
        <v>40</v>
      </c>
      <c r="U348">
        <v>4</v>
      </c>
      <c r="V348" t="s">
        <v>40</v>
      </c>
      <c r="W348" t="s">
        <v>42</v>
      </c>
      <c r="X348" t="s">
        <v>37</v>
      </c>
      <c r="Y348" t="s">
        <v>47</v>
      </c>
      <c r="Z348" t="s">
        <v>37</v>
      </c>
      <c r="AA348">
        <v>3.92</v>
      </c>
      <c r="AB348" t="s">
        <v>37</v>
      </c>
      <c r="AC348">
        <v>3.94</v>
      </c>
      <c r="AD348">
        <v>60</v>
      </c>
      <c r="AE348">
        <v>50000</v>
      </c>
      <c r="AF348" t="str">
        <f>IF(Table1[[#This Row],[What is your current CGPA?]]&gt;=3.5,"High",IF(Table1[[#This Row],[What is your current CGPA?]]&gt;=2.5,"Medium","Low"))</f>
        <v>High</v>
      </c>
      <c r="AG348" t="str">
        <f>IF(AND(Table1[[#This Row],[Average attendance on class]]&lt;75,Table1[[#This Row],[How many hour do you study daily?]]&lt;1),"At Risk","Normal")</f>
        <v>Normal</v>
      </c>
      <c r="AH348">
        <f>(Table1[[#This Row],[Average attendance on class]]*0.4)+(Table1[[#This Row],[How many hour do you study daily?]]*10*0.3)+(Table1[[#This Row],[How many hour do you spent daily on your skill development?]]*10*0.3)</f>
        <v>52</v>
      </c>
    </row>
    <row r="349" spans="1:34" x14ac:dyDescent="0.25">
      <c r="A349">
        <v>2021</v>
      </c>
      <c r="B349" t="s">
        <v>34</v>
      </c>
      <c r="C349">
        <v>21</v>
      </c>
      <c r="D349">
        <v>2019</v>
      </c>
      <c r="E349" t="s">
        <v>35</v>
      </c>
      <c r="F349">
        <v>3</v>
      </c>
      <c r="G349" t="s">
        <v>37</v>
      </c>
      <c r="H349" t="s">
        <v>36</v>
      </c>
      <c r="I349">
        <v>2</v>
      </c>
      <c r="J349">
        <v>1</v>
      </c>
      <c r="K349" t="s">
        <v>38</v>
      </c>
      <c r="L349" t="s">
        <v>36</v>
      </c>
      <c r="M349" t="s">
        <v>36</v>
      </c>
      <c r="N349">
        <v>2</v>
      </c>
      <c r="O349" t="s">
        <v>39</v>
      </c>
      <c r="P349">
        <v>98</v>
      </c>
      <c r="Q349" t="s">
        <v>37</v>
      </c>
      <c r="R349" t="s">
        <v>37</v>
      </c>
      <c r="S349" t="s">
        <v>37</v>
      </c>
      <c r="T349" t="s">
        <v>40</v>
      </c>
      <c r="U349">
        <v>1</v>
      </c>
      <c r="V349" t="s">
        <v>40</v>
      </c>
      <c r="W349" t="s">
        <v>42</v>
      </c>
      <c r="X349" t="s">
        <v>36</v>
      </c>
      <c r="Y349" t="s">
        <v>47</v>
      </c>
      <c r="Z349" t="s">
        <v>37</v>
      </c>
      <c r="AA349">
        <v>3.17</v>
      </c>
      <c r="AB349" t="s">
        <v>37</v>
      </c>
      <c r="AC349">
        <v>3.53</v>
      </c>
      <c r="AD349">
        <v>25</v>
      </c>
      <c r="AE349">
        <v>30000</v>
      </c>
      <c r="AF349" t="str">
        <f>IF(Table1[[#This Row],[What is your current CGPA?]]&gt;=3.5,"High",IF(Table1[[#This Row],[What is your current CGPA?]]&gt;=2.5,"Medium","Low"))</f>
        <v>High</v>
      </c>
      <c r="AG349" t="str">
        <f>IF(AND(Table1[[#This Row],[Average attendance on class]]&lt;75,Table1[[#This Row],[How many hour do you study daily?]]&lt;1),"At Risk","Normal")</f>
        <v>Normal</v>
      </c>
      <c r="AH349">
        <f>(Table1[[#This Row],[Average attendance on class]]*0.4)+(Table1[[#This Row],[How many hour do you study daily?]]*10*0.3)+(Table1[[#This Row],[How many hour do you spent daily on your skill development?]]*10*0.3)</f>
        <v>48.2</v>
      </c>
    </row>
    <row r="350" spans="1:34" x14ac:dyDescent="0.25">
      <c r="A350">
        <v>2022</v>
      </c>
      <c r="B350" t="s">
        <v>48</v>
      </c>
      <c r="C350">
        <v>20</v>
      </c>
      <c r="D350">
        <v>2020</v>
      </c>
      <c r="E350" t="s">
        <v>35</v>
      </c>
      <c r="F350">
        <v>1</v>
      </c>
      <c r="G350" t="s">
        <v>36</v>
      </c>
      <c r="H350" t="s">
        <v>36</v>
      </c>
      <c r="I350">
        <v>1</v>
      </c>
      <c r="J350">
        <v>1</v>
      </c>
      <c r="K350" t="s">
        <v>38</v>
      </c>
      <c r="L350" t="s">
        <v>36</v>
      </c>
      <c r="M350" t="s">
        <v>36</v>
      </c>
      <c r="N350">
        <v>3</v>
      </c>
      <c r="O350" t="s">
        <v>45</v>
      </c>
      <c r="P350">
        <v>95</v>
      </c>
      <c r="Q350" t="s">
        <v>37</v>
      </c>
      <c r="R350" t="s">
        <v>37</v>
      </c>
      <c r="S350" t="s">
        <v>37</v>
      </c>
      <c r="T350" t="s">
        <v>40</v>
      </c>
      <c r="U350">
        <v>1</v>
      </c>
      <c r="V350" t="s">
        <v>40</v>
      </c>
      <c r="W350" t="s">
        <v>42</v>
      </c>
      <c r="X350" t="s">
        <v>37</v>
      </c>
      <c r="Y350" t="s">
        <v>47</v>
      </c>
      <c r="Z350" t="s">
        <v>37</v>
      </c>
      <c r="AA350">
        <v>3.63</v>
      </c>
      <c r="AB350" t="s">
        <v>37</v>
      </c>
      <c r="AC350">
        <v>3.63</v>
      </c>
      <c r="AD350">
        <v>11</v>
      </c>
      <c r="AE350">
        <v>35000</v>
      </c>
      <c r="AF350" t="str">
        <f>IF(Table1[[#This Row],[What is your current CGPA?]]&gt;=3.5,"High",IF(Table1[[#This Row],[What is your current CGPA?]]&gt;=2.5,"Medium","Low"))</f>
        <v>High</v>
      </c>
      <c r="AG350" t="str">
        <f>IF(AND(Table1[[#This Row],[Average attendance on class]]&lt;75,Table1[[#This Row],[How many hour do you study daily?]]&lt;1),"At Risk","Normal")</f>
        <v>Normal</v>
      </c>
      <c r="AH350">
        <f>(Table1[[#This Row],[Average attendance on class]]*0.4)+(Table1[[#This Row],[How many hour do you study daily?]]*10*0.3)+(Table1[[#This Row],[How many hour do you spent daily on your skill development?]]*10*0.3)</f>
        <v>44</v>
      </c>
    </row>
    <row r="351" spans="1:34" x14ac:dyDescent="0.25">
      <c r="A351">
        <v>2021</v>
      </c>
      <c r="B351" t="s">
        <v>34</v>
      </c>
      <c r="C351">
        <v>20</v>
      </c>
      <c r="D351">
        <v>2020</v>
      </c>
      <c r="E351" t="s">
        <v>35</v>
      </c>
      <c r="F351">
        <v>3</v>
      </c>
      <c r="G351" t="s">
        <v>36</v>
      </c>
      <c r="H351" t="s">
        <v>37</v>
      </c>
      <c r="I351">
        <v>8</v>
      </c>
      <c r="J351">
        <v>2</v>
      </c>
      <c r="K351" t="s">
        <v>38</v>
      </c>
      <c r="L351" t="s">
        <v>36</v>
      </c>
      <c r="M351" t="s">
        <v>36</v>
      </c>
      <c r="N351">
        <v>2</v>
      </c>
      <c r="O351" t="s">
        <v>39</v>
      </c>
      <c r="P351">
        <v>98</v>
      </c>
      <c r="Q351" t="s">
        <v>37</v>
      </c>
      <c r="R351" t="s">
        <v>37</v>
      </c>
      <c r="S351" t="s">
        <v>36</v>
      </c>
      <c r="T351" t="s">
        <v>40</v>
      </c>
      <c r="U351">
        <v>2</v>
      </c>
      <c r="V351" t="s">
        <v>40</v>
      </c>
      <c r="W351" t="s">
        <v>42</v>
      </c>
      <c r="X351" t="s">
        <v>37</v>
      </c>
      <c r="Y351" t="s">
        <v>47</v>
      </c>
      <c r="Z351" t="s">
        <v>37</v>
      </c>
      <c r="AA351">
        <v>3.98</v>
      </c>
      <c r="AB351" t="s">
        <v>37</v>
      </c>
      <c r="AC351">
        <v>3.86</v>
      </c>
      <c r="AD351">
        <v>23</v>
      </c>
      <c r="AE351">
        <v>20000</v>
      </c>
      <c r="AF351" t="str">
        <f>IF(Table1[[#This Row],[What is your current CGPA?]]&gt;=3.5,"High",IF(Table1[[#This Row],[What is your current CGPA?]]&gt;=2.5,"Medium","Low"))</f>
        <v>High</v>
      </c>
      <c r="AG351" t="str">
        <f>IF(AND(Table1[[#This Row],[Average attendance on class]]&lt;75,Table1[[#This Row],[How many hour do you study daily?]]&lt;1),"At Risk","Normal")</f>
        <v>Normal</v>
      </c>
      <c r="AH351">
        <f>(Table1[[#This Row],[Average attendance on class]]*0.4)+(Table1[[#This Row],[How many hour do you study daily?]]*10*0.3)+(Table1[[#This Row],[How many hour do you spent daily on your skill development?]]*10*0.3)</f>
        <v>69.2</v>
      </c>
    </row>
    <row r="352" spans="1:34" x14ac:dyDescent="0.25">
      <c r="A352">
        <v>2021</v>
      </c>
      <c r="B352" t="s">
        <v>48</v>
      </c>
      <c r="C352">
        <v>21</v>
      </c>
      <c r="D352">
        <v>2020</v>
      </c>
      <c r="E352" t="s">
        <v>35</v>
      </c>
      <c r="F352">
        <v>4</v>
      </c>
      <c r="G352" t="s">
        <v>37</v>
      </c>
      <c r="H352" t="s">
        <v>36</v>
      </c>
      <c r="I352">
        <v>6</v>
      </c>
      <c r="J352">
        <v>1</v>
      </c>
      <c r="K352" t="s">
        <v>38</v>
      </c>
      <c r="L352" t="s">
        <v>36</v>
      </c>
      <c r="M352" t="s">
        <v>37</v>
      </c>
      <c r="N352">
        <v>2</v>
      </c>
      <c r="O352" t="s">
        <v>39</v>
      </c>
      <c r="P352">
        <v>97</v>
      </c>
      <c r="Q352" t="s">
        <v>36</v>
      </c>
      <c r="R352" t="s">
        <v>37</v>
      </c>
      <c r="S352" t="s">
        <v>36</v>
      </c>
      <c r="T352" t="s">
        <v>40</v>
      </c>
      <c r="U352">
        <v>3</v>
      </c>
      <c r="V352" t="s">
        <v>40</v>
      </c>
      <c r="W352" t="s">
        <v>42</v>
      </c>
      <c r="X352" t="s">
        <v>36</v>
      </c>
      <c r="Y352" t="s">
        <v>47</v>
      </c>
      <c r="Z352" t="s">
        <v>37</v>
      </c>
      <c r="AA352">
        <v>3.39</v>
      </c>
      <c r="AB352" t="s">
        <v>37</v>
      </c>
      <c r="AC352">
        <v>2.8</v>
      </c>
      <c r="AD352">
        <v>20</v>
      </c>
      <c r="AE352">
        <v>40000</v>
      </c>
      <c r="AF352" t="str">
        <f>IF(Table1[[#This Row],[What is your current CGPA?]]&gt;=3.5,"High",IF(Table1[[#This Row],[What is your current CGPA?]]&gt;=2.5,"Medium","Low"))</f>
        <v>Medium</v>
      </c>
      <c r="AG352" t="str">
        <f>IF(AND(Table1[[#This Row],[Average attendance on class]]&lt;75,Table1[[#This Row],[How many hour do you study daily?]]&lt;1),"At Risk","Normal")</f>
        <v>Normal</v>
      </c>
      <c r="AH352">
        <f>(Table1[[#This Row],[Average attendance on class]]*0.4)+(Table1[[#This Row],[How many hour do you study daily?]]*10*0.3)+(Table1[[#This Row],[How many hour do you spent daily on your skill development?]]*10*0.3)</f>
        <v>65.800000000000011</v>
      </c>
    </row>
    <row r="353" spans="1:34" x14ac:dyDescent="0.25">
      <c r="A353">
        <v>2021</v>
      </c>
      <c r="B353" t="s">
        <v>48</v>
      </c>
      <c r="C353">
        <v>18</v>
      </c>
      <c r="D353">
        <v>2020</v>
      </c>
      <c r="E353" t="s">
        <v>35</v>
      </c>
      <c r="F353">
        <v>2</v>
      </c>
      <c r="G353" t="s">
        <v>36</v>
      </c>
      <c r="H353" t="s">
        <v>37</v>
      </c>
      <c r="I353">
        <v>2</v>
      </c>
      <c r="J353">
        <v>2</v>
      </c>
      <c r="K353" t="s">
        <v>44</v>
      </c>
      <c r="L353" t="s">
        <v>36</v>
      </c>
      <c r="M353" t="s">
        <v>37</v>
      </c>
      <c r="N353">
        <v>3</v>
      </c>
      <c r="O353" t="s">
        <v>39</v>
      </c>
      <c r="P353">
        <v>90</v>
      </c>
      <c r="Q353" t="s">
        <v>37</v>
      </c>
      <c r="R353" t="s">
        <v>37</v>
      </c>
      <c r="S353" t="s">
        <v>37</v>
      </c>
      <c r="T353" t="s">
        <v>40</v>
      </c>
      <c r="U353">
        <v>1</v>
      </c>
      <c r="V353" t="s">
        <v>40</v>
      </c>
      <c r="W353" t="s">
        <v>57</v>
      </c>
      <c r="X353" t="s">
        <v>37</v>
      </c>
      <c r="Y353" t="s">
        <v>43</v>
      </c>
      <c r="Z353" t="s">
        <v>36</v>
      </c>
      <c r="AA353">
        <v>3.68</v>
      </c>
      <c r="AB353" t="s">
        <v>37</v>
      </c>
      <c r="AC353">
        <v>3.68</v>
      </c>
      <c r="AD353">
        <v>11</v>
      </c>
      <c r="AE353">
        <v>40000</v>
      </c>
      <c r="AF353" t="str">
        <f>IF(Table1[[#This Row],[What is your current CGPA?]]&gt;=3.5,"High",IF(Table1[[#This Row],[What is your current CGPA?]]&gt;=2.5,"Medium","Low"))</f>
        <v>High</v>
      </c>
      <c r="AG353" t="str">
        <f>IF(AND(Table1[[#This Row],[Average attendance on class]]&lt;75,Table1[[#This Row],[How many hour do you study daily?]]&lt;1),"At Risk","Normal")</f>
        <v>Normal</v>
      </c>
      <c r="AH353">
        <f>(Table1[[#This Row],[Average attendance on class]]*0.4)+(Table1[[#This Row],[How many hour do you study daily?]]*10*0.3)+(Table1[[#This Row],[How many hour do you spent daily on your skill development?]]*10*0.3)</f>
        <v>45</v>
      </c>
    </row>
    <row r="354" spans="1:34" x14ac:dyDescent="0.25">
      <c r="A354">
        <v>2022</v>
      </c>
      <c r="B354" t="s">
        <v>34</v>
      </c>
      <c r="C354">
        <v>21</v>
      </c>
      <c r="D354">
        <v>2019</v>
      </c>
      <c r="E354" t="s">
        <v>35</v>
      </c>
      <c r="F354">
        <v>2</v>
      </c>
      <c r="G354" t="s">
        <v>36</v>
      </c>
      <c r="H354" t="s">
        <v>37</v>
      </c>
      <c r="I354">
        <v>5</v>
      </c>
      <c r="J354">
        <v>3</v>
      </c>
      <c r="K354" t="s">
        <v>38</v>
      </c>
      <c r="L354" t="s">
        <v>36</v>
      </c>
      <c r="M354" t="s">
        <v>36</v>
      </c>
      <c r="N354">
        <v>4</v>
      </c>
      <c r="O354" t="s">
        <v>45</v>
      </c>
      <c r="P354">
        <v>90</v>
      </c>
      <c r="Q354" t="s">
        <v>36</v>
      </c>
      <c r="R354" t="s">
        <v>37</v>
      </c>
      <c r="S354" t="s">
        <v>36</v>
      </c>
      <c r="T354" t="s">
        <v>40</v>
      </c>
      <c r="U354">
        <v>3</v>
      </c>
      <c r="V354" t="s">
        <v>40</v>
      </c>
      <c r="W354" t="s">
        <v>42</v>
      </c>
      <c r="X354" t="s">
        <v>36</v>
      </c>
      <c r="Y354" t="s">
        <v>43</v>
      </c>
      <c r="Z354" t="s">
        <v>37</v>
      </c>
      <c r="AA354">
        <v>3.83</v>
      </c>
      <c r="AB354" t="s">
        <v>37</v>
      </c>
      <c r="AC354">
        <v>3.83</v>
      </c>
      <c r="AD354">
        <v>11</v>
      </c>
      <c r="AE354">
        <v>20000</v>
      </c>
      <c r="AF354" t="str">
        <f>IF(Table1[[#This Row],[What is your current CGPA?]]&gt;=3.5,"High",IF(Table1[[#This Row],[What is your current CGPA?]]&gt;=2.5,"Medium","Low"))</f>
        <v>High</v>
      </c>
      <c r="AG354" t="str">
        <f>IF(AND(Table1[[#This Row],[Average attendance on class]]&lt;75,Table1[[#This Row],[How many hour do you study daily?]]&lt;1),"At Risk","Normal")</f>
        <v>Normal</v>
      </c>
      <c r="AH354">
        <f>(Table1[[#This Row],[Average attendance on class]]*0.4)+(Table1[[#This Row],[How many hour do you study daily?]]*10*0.3)+(Table1[[#This Row],[How many hour do you spent daily on your skill development?]]*10*0.3)</f>
        <v>60</v>
      </c>
    </row>
    <row r="355" spans="1:34" x14ac:dyDescent="0.25">
      <c r="A355">
        <v>2020</v>
      </c>
      <c r="B355" t="s">
        <v>34</v>
      </c>
      <c r="C355">
        <v>22</v>
      </c>
      <c r="D355">
        <v>2019</v>
      </c>
      <c r="E355" t="s">
        <v>35</v>
      </c>
      <c r="F355">
        <v>8</v>
      </c>
      <c r="G355" t="s">
        <v>37</v>
      </c>
      <c r="H355" t="s">
        <v>37</v>
      </c>
      <c r="I355">
        <v>3</v>
      </c>
      <c r="J355">
        <v>1</v>
      </c>
      <c r="K355" t="s">
        <v>38</v>
      </c>
      <c r="L355" t="s">
        <v>36</v>
      </c>
      <c r="M355" t="s">
        <v>36</v>
      </c>
      <c r="N355">
        <v>4</v>
      </c>
      <c r="O355" t="s">
        <v>39</v>
      </c>
      <c r="P355">
        <v>100</v>
      </c>
      <c r="Q355" t="s">
        <v>37</v>
      </c>
      <c r="R355" t="s">
        <v>37</v>
      </c>
      <c r="S355" t="s">
        <v>36</v>
      </c>
      <c r="T355" t="s">
        <v>40</v>
      </c>
      <c r="U355">
        <v>2</v>
      </c>
      <c r="V355" t="s">
        <v>40</v>
      </c>
      <c r="W355" t="s">
        <v>42</v>
      </c>
      <c r="X355" t="s">
        <v>37</v>
      </c>
      <c r="Y355" t="s">
        <v>43</v>
      </c>
      <c r="Z355" t="s">
        <v>37</v>
      </c>
      <c r="AA355">
        <v>3.64</v>
      </c>
      <c r="AB355" t="s">
        <v>37</v>
      </c>
      <c r="AC355">
        <v>3.74</v>
      </c>
      <c r="AD355">
        <v>87</v>
      </c>
      <c r="AE355">
        <v>50000</v>
      </c>
      <c r="AF355" t="str">
        <f>IF(Table1[[#This Row],[What is your current CGPA?]]&gt;=3.5,"High",IF(Table1[[#This Row],[What is your current CGPA?]]&gt;=2.5,"Medium","Low"))</f>
        <v>High</v>
      </c>
      <c r="AG355" t="str">
        <f>IF(AND(Table1[[#This Row],[Average attendance on class]]&lt;75,Table1[[#This Row],[How many hour do you study daily?]]&lt;1),"At Risk","Normal")</f>
        <v>Normal</v>
      </c>
      <c r="AH355">
        <f>(Table1[[#This Row],[Average attendance on class]]*0.4)+(Table1[[#This Row],[How many hour do you study daily?]]*10*0.3)+(Table1[[#This Row],[How many hour do you spent daily on your skill development?]]*10*0.3)</f>
        <v>55</v>
      </c>
    </row>
    <row r="356" spans="1:34" x14ac:dyDescent="0.25">
      <c r="A356">
        <v>2021</v>
      </c>
      <c r="B356" t="s">
        <v>34</v>
      </c>
      <c r="C356">
        <v>20</v>
      </c>
      <c r="D356">
        <v>2020</v>
      </c>
      <c r="E356" t="s">
        <v>35</v>
      </c>
      <c r="F356">
        <v>3</v>
      </c>
      <c r="G356" t="s">
        <v>36</v>
      </c>
      <c r="H356" t="s">
        <v>36</v>
      </c>
      <c r="I356">
        <v>2</v>
      </c>
      <c r="J356">
        <v>1</v>
      </c>
      <c r="K356" t="s">
        <v>38</v>
      </c>
      <c r="L356" t="s">
        <v>36</v>
      </c>
      <c r="M356" t="s">
        <v>36</v>
      </c>
      <c r="N356">
        <v>1</v>
      </c>
      <c r="O356" t="s">
        <v>39</v>
      </c>
      <c r="P356">
        <v>100</v>
      </c>
      <c r="Q356" t="s">
        <v>37</v>
      </c>
      <c r="R356" t="s">
        <v>37</v>
      </c>
      <c r="S356" t="s">
        <v>36</v>
      </c>
      <c r="T356" t="s">
        <v>40</v>
      </c>
      <c r="U356">
        <v>1</v>
      </c>
      <c r="V356" t="s">
        <v>61</v>
      </c>
      <c r="W356" t="s">
        <v>42</v>
      </c>
      <c r="X356" t="s">
        <v>37</v>
      </c>
      <c r="Y356" t="s">
        <v>47</v>
      </c>
      <c r="Z356" t="s">
        <v>37</v>
      </c>
      <c r="AA356">
        <v>2.96</v>
      </c>
      <c r="AB356" t="s">
        <v>37</v>
      </c>
      <c r="AC356">
        <v>3.38</v>
      </c>
      <c r="AD356">
        <v>25</v>
      </c>
      <c r="AE356">
        <v>25000</v>
      </c>
      <c r="AF356" t="str">
        <f>IF(Table1[[#This Row],[What is your current CGPA?]]&gt;=3.5,"High",IF(Table1[[#This Row],[What is your current CGPA?]]&gt;=2.5,"Medium","Low"))</f>
        <v>Medium</v>
      </c>
      <c r="AG356" t="str">
        <f>IF(AND(Table1[[#This Row],[Average attendance on class]]&lt;75,Table1[[#This Row],[How many hour do you study daily?]]&lt;1),"At Risk","Normal")</f>
        <v>Normal</v>
      </c>
      <c r="AH356">
        <f>(Table1[[#This Row],[Average attendance on class]]*0.4)+(Table1[[#This Row],[How many hour do you study daily?]]*10*0.3)+(Table1[[#This Row],[How many hour do you spent daily on your skill development?]]*10*0.3)</f>
        <v>49</v>
      </c>
    </row>
    <row r="357" spans="1:34" x14ac:dyDescent="0.25">
      <c r="A357">
        <v>2020</v>
      </c>
      <c r="B357" t="s">
        <v>34</v>
      </c>
      <c r="C357">
        <v>22</v>
      </c>
      <c r="D357">
        <v>2019</v>
      </c>
      <c r="E357" t="s">
        <v>35</v>
      </c>
      <c r="F357">
        <v>6</v>
      </c>
      <c r="G357" t="s">
        <v>37</v>
      </c>
      <c r="H357" t="s">
        <v>36</v>
      </c>
      <c r="I357">
        <v>3</v>
      </c>
      <c r="J357">
        <v>2</v>
      </c>
      <c r="K357" t="s">
        <v>38</v>
      </c>
      <c r="L357" t="s">
        <v>36</v>
      </c>
      <c r="M357" t="s">
        <v>36</v>
      </c>
      <c r="N357">
        <v>1</v>
      </c>
      <c r="O357" t="s">
        <v>39</v>
      </c>
      <c r="P357">
        <v>100</v>
      </c>
      <c r="Q357" t="s">
        <v>36</v>
      </c>
      <c r="R357" t="s">
        <v>37</v>
      </c>
      <c r="S357" t="s">
        <v>36</v>
      </c>
      <c r="T357" t="s">
        <v>40</v>
      </c>
      <c r="U357">
        <v>2</v>
      </c>
      <c r="V357" t="s">
        <v>40</v>
      </c>
      <c r="W357" t="s">
        <v>42</v>
      </c>
      <c r="X357" t="s">
        <v>36</v>
      </c>
      <c r="Y357" t="s">
        <v>43</v>
      </c>
      <c r="Z357" t="s">
        <v>37</v>
      </c>
      <c r="AA357">
        <v>2.25</v>
      </c>
      <c r="AB357" t="s">
        <v>37</v>
      </c>
      <c r="AC357">
        <v>3.15</v>
      </c>
      <c r="AD357">
        <v>60</v>
      </c>
      <c r="AE357">
        <v>20000</v>
      </c>
      <c r="AF357" t="str">
        <f>IF(Table1[[#This Row],[What is your current CGPA?]]&gt;=3.5,"High",IF(Table1[[#This Row],[What is your current CGPA?]]&gt;=2.5,"Medium","Low"))</f>
        <v>Medium</v>
      </c>
      <c r="AG357" t="str">
        <f>IF(AND(Table1[[#This Row],[Average attendance on class]]&lt;75,Table1[[#This Row],[How many hour do you study daily?]]&lt;1),"At Risk","Normal")</f>
        <v>Normal</v>
      </c>
      <c r="AH357">
        <f>(Table1[[#This Row],[Average attendance on class]]*0.4)+(Table1[[#This Row],[How many hour do you study daily?]]*10*0.3)+(Table1[[#This Row],[How many hour do you spent daily on your skill development?]]*10*0.3)</f>
        <v>55</v>
      </c>
    </row>
    <row r="358" spans="1:34" x14ac:dyDescent="0.25">
      <c r="A358">
        <v>2020</v>
      </c>
      <c r="B358" t="s">
        <v>34</v>
      </c>
      <c r="C358">
        <v>19</v>
      </c>
      <c r="D358">
        <v>2020</v>
      </c>
      <c r="E358" t="s">
        <v>35</v>
      </c>
      <c r="F358">
        <v>2</v>
      </c>
      <c r="G358" t="s">
        <v>36</v>
      </c>
      <c r="H358" t="s">
        <v>37</v>
      </c>
      <c r="I358">
        <v>5</v>
      </c>
      <c r="J358">
        <v>1</v>
      </c>
      <c r="K358" t="s">
        <v>38</v>
      </c>
      <c r="L358" t="s">
        <v>36</v>
      </c>
      <c r="M358" t="s">
        <v>36</v>
      </c>
      <c r="N358">
        <v>2</v>
      </c>
      <c r="O358" t="s">
        <v>39</v>
      </c>
      <c r="P358">
        <v>100</v>
      </c>
      <c r="Q358" t="s">
        <v>37</v>
      </c>
      <c r="R358" t="s">
        <v>37</v>
      </c>
      <c r="S358" t="s">
        <v>37</v>
      </c>
      <c r="T358" t="s">
        <v>40</v>
      </c>
      <c r="U358">
        <v>2</v>
      </c>
      <c r="V358" t="s">
        <v>41</v>
      </c>
      <c r="W358" t="s">
        <v>42</v>
      </c>
      <c r="X358" t="s">
        <v>36</v>
      </c>
      <c r="Y358" t="s">
        <v>43</v>
      </c>
      <c r="Z358" t="s">
        <v>36</v>
      </c>
      <c r="AA358">
        <v>3.8</v>
      </c>
      <c r="AB358" t="s">
        <v>37</v>
      </c>
      <c r="AC358">
        <v>3.8</v>
      </c>
      <c r="AD358">
        <v>11</v>
      </c>
      <c r="AE358">
        <v>20000</v>
      </c>
      <c r="AF358" t="str">
        <f>IF(Table1[[#This Row],[What is your current CGPA?]]&gt;=3.5,"High",IF(Table1[[#This Row],[What is your current CGPA?]]&gt;=2.5,"Medium","Low"))</f>
        <v>High</v>
      </c>
      <c r="AG358" t="str">
        <f>IF(AND(Table1[[#This Row],[Average attendance on class]]&lt;75,Table1[[#This Row],[How many hour do you study daily?]]&lt;1),"At Risk","Normal")</f>
        <v>Normal</v>
      </c>
      <c r="AH358">
        <f>(Table1[[#This Row],[Average attendance on class]]*0.4)+(Table1[[#This Row],[How many hour do you study daily?]]*10*0.3)+(Table1[[#This Row],[How many hour do you spent daily on your skill development?]]*10*0.3)</f>
        <v>61</v>
      </c>
    </row>
    <row r="359" spans="1:34" x14ac:dyDescent="0.25">
      <c r="A359">
        <v>2021</v>
      </c>
      <c r="B359" t="s">
        <v>48</v>
      </c>
      <c r="C359">
        <v>20</v>
      </c>
      <c r="D359">
        <v>2018</v>
      </c>
      <c r="E359" t="s">
        <v>35</v>
      </c>
      <c r="F359">
        <v>3</v>
      </c>
      <c r="G359" t="s">
        <v>36</v>
      </c>
      <c r="H359" t="s">
        <v>36</v>
      </c>
      <c r="I359">
        <v>1</v>
      </c>
      <c r="J359">
        <v>2</v>
      </c>
      <c r="K359" t="s">
        <v>44</v>
      </c>
      <c r="L359" t="s">
        <v>36</v>
      </c>
      <c r="M359" t="s">
        <v>36</v>
      </c>
      <c r="N359">
        <v>5</v>
      </c>
      <c r="O359" t="s">
        <v>39</v>
      </c>
      <c r="P359">
        <v>90</v>
      </c>
      <c r="Q359" t="s">
        <v>37</v>
      </c>
      <c r="R359" t="s">
        <v>37</v>
      </c>
      <c r="S359" t="s">
        <v>36</v>
      </c>
      <c r="T359" t="s">
        <v>40</v>
      </c>
      <c r="U359">
        <v>1</v>
      </c>
      <c r="V359" t="s">
        <v>40</v>
      </c>
      <c r="W359" t="s">
        <v>42</v>
      </c>
      <c r="X359" t="s">
        <v>37</v>
      </c>
      <c r="Y359" t="s">
        <v>47</v>
      </c>
      <c r="Z359" t="s">
        <v>37</v>
      </c>
      <c r="AA359">
        <v>3.49</v>
      </c>
      <c r="AB359" t="s">
        <v>37</v>
      </c>
      <c r="AC359">
        <v>3.5</v>
      </c>
      <c r="AD359">
        <v>23</v>
      </c>
      <c r="AE359">
        <v>30000</v>
      </c>
      <c r="AF359" t="str">
        <f>IF(Table1[[#This Row],[What is your current CGPA?]]&gt;=3.5,"High",IF(Table1[[#This Row],[What is your current CGPA?]]&gt;=2.5,"Medium","Low"))</f>
        <v>High</v>
      </c>
      <c r="AG359" t="str">
        <f>IF(AND(Table1[[#This Row],[Average attendance on class]]&lt;75,Table1[[#This Row],[How many hour do you study daily?]]&lt;1),"At Risk","Normal")</f>
        <v>Normal</v>
      </c>
      <c r="AH359">
        <f>(Table1[[#This Row],[Average attendance on class]]*0.4)+(Table1[[#This Row],[How many hour do you study daily?]]*10*0.3)+(Table1[[#This Row],[How many hour do you spent daily on your skill development?]]*10*0.3)</f>
        <v>42</v>
      </c>
    </row>
    <row r="360" spans="1:34" x14ac:dyDescent="0.25">
      <c r="A360">
        <v>2021</v>
      </c>
      <c r="B360" t="s">
        <v>34</v>
      </c>
      <c r="C360">
        <v>21</v>
      </c>
      <c r="D360">
        <v>2021</v>
      </c>
      <c r="E360" t="s">
        <v>35</v>
      </c>
      <c r="F360">
        <v>3</v>
      </c>
      <c r="G360" t="s">
        <v>36</v>
      </c>
      <c r="H360" t="s">
        <v>36</v>
      </c>
      <c r="I360">
        <v>2</v>
      </c>
      <c r="J360">
        <v>1</v>
      </c>
      <c r="K360" t="s">
        <v>38</v>
      </c>
      <c r="L360" t="s">
        <v>36</v>
      </c>
      <c r="M360" t="s">
        <v>36</v>
      </c>
      <c r="N360">
        <v>2</v>
      </c>
      <c r="O360" t="s">
        <v>39</v>
      </c>
      <c r="P360">
        <v>60</v>
      </c>
      <c r="Q360" t="s">
        <v>37</v>
      </c>
      <c r="R360" t="s">
        <v>37</v>
      </c>
      <c r="S360" t="s">
        <v>37</v>
      </c>
      <c r="T360" t="s">
        <v>40</v>
      </c>
      <c r="U360">
        <v>1</v>
      </c>
      <c r="V360" t="s">
        <v>40</v>
      </c>
      <c r="W360" t="s">
        <v>42</v>
      </c>
      <c r="X360" t="s">
        <v>37</v>
      </c>
      <c r="Y360" t="s">
        <v>47</v>
      </c>
      <c r="Z360" t="s">
        <v>37</v>
      </c>
      <c r="AA360">
        <v>2.11</v>
      </c>
      <c r="AB360" t="s">
        <v>37</v>
      </c>
      <c r="AC360">
        <v>3</v>
      </c>
      <c r="AD360">
        <v>26</v>
      </c>
      <c r="AE360">
        <v>50000</v>
      </c>
      <c r="AF360" t="str">
        <f>IF(Table1[[#This Row],[What is your current CGPA?]]&gt;=3.5,"High",IF(Table1[[#This Row],[What is your current CGPA?]]&gt;=2.5,"Medium","Low"))</f>
        <v>Medium</v>
      </c>
      <c r="AG360" t="str">
        <f>IF(AND(Table1[[#This Row],[Average attendance on class]]&lt;75,Table1[[#This Row],[How many hour do you study daily?]]&lt;1),"At Risk","Normal")</f>
        <v>Normal</v>
      </c>
      <c r="AH360">
        <f>(Table1[[#This Row],[Average attendance on class]]*0.4)+(Table1[[#This Row],[How many hour do you study daily?]]*10*0.3)+(Table1[[#This Row],[How many hour do you spent daily on your skill development?]]*10*0.3)</f>
        <v>33</v>
      </c>
    </row>
    <row r="361" spans="1:34" x14ac:dyDescent="0.25">
      <c r="A361">
        <v>2021</v>
      </c>
      <c r="B361" t="s">
        <v>34</v>
      </c>
      <c r="C361">
        <v>20</v>
      </c>
      <c r="D361">
        <v>2020</v>
      </c>
      <c r="E361" t="s">
        <v>35</v>
      </c>
      <c r="F361">
        <v>2</v>
      </c>
      <c r="G361" t="s">
        <v>36</v>
      </c>
      <c r="H361" t="s">
        <v>37</v>
      </c>
      <c r="I361">
        <v>3</v>
      </c>
      <c r="J361">
        <v>1</v>
      </c>
      <c r="K361" t="s">
        <v>38</v>
      </c>
      <c r="L361" t="s">
        <v>36</v>
      </c>
      <c r="M361" t="s">
        <v>36</v>
      </c>
      <c r="N361">
        <v>3</v>
      </c>
      <c r="O361" t="s">
        <v>39</v>
      </c>
      <c r="P361">
        <v>99</v>
      </c>
      <c r="Q361" t="s">
        <v>36</v>
      </c>
      <c r="R361" t="s">
        <v>36</v>
      </c>
      <c r="S361" t="s">
        <v>36</v>
      </c>
      <c r="T361" t="s">
        <v>40</v>
      </c>
      <c r="U361">
        <v>1</v>
      </c>
      <c r="V361" t="s">
        <v>40</v>
      </c>
      <c r="W361" t="s">
        <v>42</v>
      </c>
      <c r="X361" t="s">
        <v>37</v>
      </c>
      <c r="Y361" t="s">
        <v>47</v>
      </c>
      <c r="Z361" t="s">
        <v>37</v>
      </c>
      <c r="AA361">
        <v>3.42</v>
      </c>
      <c r="AB361" t="s">
        <v>37</v>
      </c>
      <c r="AC361">
        <v>3.42</v>
      </c>
      <c r="AD361">
        <v>11</v>
      </c>
      <c r="AE361">
        <v>20000</v>
      </c>
      <c r="AF361" t="str">
        <f>IF(Table1[[#This Row],[What is your current CGPA?]]&gt;=3.5,"High",IF(Table1[[#This Row],[What is your current CGPA?]]&gt;=2.5,"Medium","Low"))</f>
        <v>Medium</v>
      </c>
      <c r="AG361" t="str">
        <f>IF(AND(Table1[[#This Row],[Average attendance on class]]&lt;75,Table1[[#This Row],[How many hour do you study daily?]]&lt;1),"At Risk","Normal")</f>
        <v>Normal</v>
      </c>
      <c r="AH361">
        <f>(Table1[[#This Row],[Average attendance on class]]*0.4)+(Table1[[#This Row],[How many hour do you study daily?]]*10*0.3)+(Table1[[#This Row],[How many hour do you spent daily on your skill development?]]*10*0.3)</f>
        <v>51.6</v>
      </c>
    </row>
    <row r="362" spans="1:34" x14ac:dyDescent="0.25">
      <c r="A362">
        <v>2020</v>
      </c>
      <c r="B362" t="s">
        <v>48</v>
      </c>
      <c r="C362">
        <v>23</v>
      </c>
      <c r="D362">
        <v>2019</v>
      </c>
      <c r="E362" t="s">
        <v>35</v>
      </c>
      <c r="F362">
        <v>7</v>
      </c>
      <c r="G362" t="s">
        <v>36</v>
      </c>
      <c r="H362" t="s">
        <v>37</v>
      </c>
      <c r="I362">
        <v>5</v>
      </c>
      <c r="J362">
        <v>2</v>
      </c>
      <c r="K362" t="s">
        <v>38</v>
      </c>
      <c r="L362" t="s">
        <v>36</v>
      </c>
      <c r="M362" t="s">
        <v>36</v>
      </c>
      <c r="N362">
        <v>6</v>
      </c>
      <c r="O362" t="s">
        <v>39</v>
      </c>
      <c r="P362">
        <v>99</v>
      </c>
      <c r="Q362" t="s">
        <v>37</v>
      </c>
      <c r="R362" t="s">
        <v>37</v>
      </c>
      <c r="S362" t="s">
        <v>36</v>
      </c>
      <c r="T362" t="s">
        <v>83</v>
      </c>
      <c r="U362">
        <v>2</v>
      </c>
      <c r="V362" t="s">
        <v>51</v>
      </c>
      <c r="W362" t="s">
        <v>57</v>
      </c>
      <c r="X362" t="s">
        <v>36</v>
      </c>
      <c r="Y362" t="s">
        <v>43</v>
      </c>
      <c r="Z362" t="s">
        <v>36</v>
      </c>
      <c r="AA362">
        <v>3.96</v>
      </c>
      <c r="AB362" t="s">
        <v>37</v>
      </c>
      <c r="AC362">
        <v>3.93</v>
      </c>
      <c r="AD362">
        <v>76</v>
      </c>
      <c r="AE362">
        <v>12500</v>
      </c>
      <c r="AF362" t="str">
        <f>IF(Table1[[#This Row],[What is your current CGPA?]]&gt;=3.5,"High",IF(Table1[[#This Row],[What is your current CGPA?]]&gt;=2.5,"Medium","Low"))</f>
        <v>High</v>
      </c>
      <c r="AG362" t="str">
        <f>IF(AND(Table1[[#This Row],[Average attendance on class]]&lt;75,Table1[[#This Row],[How many hour do you study daily?]]&lt;1),"At Risk","Normal")</f>
        <v>Normal</v>
      </c>
      <c r="AH362">
        <f>(Table1[[#This Row],[Average attendance on class]]*0.4)+(Table1[[#This Row],[How many hour do you study daily?]]*10*0.3)+(Table1[[#This Row],[How many hour do you spent daily on your skill development?]]*10*0.3)</f>
        <v>60.6</v>
      </c>
    </row>
    <row r="363" spans="1:34" x14ac:dyDescent="0.25">
      <c r="A363">
        <v>2018</v>
      </c>
      <c r="B363" t="s">
        <v>34</v>
      </c>
      <c r="C363">
        <v>23</v>
      </c>
      <c r="D363">
        <v>2017</v>
      </c>
      <c r="E363" t="s">
        <v>35</v>
      </c>
      <c r="F363">
        <v>12</v>
      </c>
      <c r="G363" t="s">
        <v>37</v>
      </c>
      <c r="H363" t="s">
        <v>36</v>
      </c>
      <c r="I363">
        <v>7</v>
      </c>
      <c r="J363">
        <v>3</v>
      </c>
      <c r="K363" t="s">
        <v>38</v>
      </c>
      <c r="L363" t="s">
        <v>36</v>
      </c>
      <c r="M363" t="s">
        <v>36</v>
      </c>
      <c r="N363">
        <v>2</v>
      </c>
      <c r="O363" t="s">
        <v>39</v>
      </c>
      <c r="P363">
        <v>90</v>
      </c>
      <c r="Q363" t="s">
        <v>36</v>
      </c>
      <c r="R363" t="s">
        <v>37</v>
      </c>
      <c r="S363" t="s">
        <v>36</v>
      </c>
      <c r="T363" t="s">
        <v>40</v>
      </c>
      <c r="U363">
        <v>4</v>
      </c>
      <c r="V363" t="s">
        <v>40</v>
      </c>
      <c r="W363" t="s">
        <v>42</v>
      </c>
      <c r="X363" t="s">
        <v>37</v>
      </c>
      <c r="Y363" t="s">
        <v>43</v>
      </c>
      <c r="Z363" t="s">
        <v>37</v>
      </c>
      <c r="AA363">
        <v>2.86</v>
      </c>
      <c r="AB363" t="s">
        <v>37</v>
      </c>
      <c r="AC363">
        <v>3.26</v>
      </c>
      <c r="AD363">
        <v>125</v>
      </c>
      <c r="AE363">
        <v>15000</v>
      </c>
      <c r="AF363" t="str">
        <f>IF(Table1[[#This Row],[What is your current CGPA?]]&gt;=3.5,"High",IF(Table1[[#This Row],[What is your current CGPA?]]&gt;=2.5,"Medium","Low"))</f>
        <v>Medium</v>
      </c>
      <c r="AG363" t="str">
        <f>IF(AND(Table1[[#This Row],[Average attendance on class]]&lt;75,Table1[[#This Row],[How many hour do you study daily?]]&lt;1),"At Risk","Normal")</f>
        <v>Normal</v>
      </c>
      <c r="AH363">
        <f>(Table1[[#This Row],[Average attendance on class]]*0.4)+(Table1[[#This Row],[How many hour do you study daily?]]*10*0.3)+(Table1[[#This Row],[How many hour do you spent daily on your skill development?]]*10*0.3)</f>
        <v>69</v>
      </c>
    </row>
    <row r="364" spans="1:34" x14ac:dyDescent="0.25">
      <c r="A364">
        <v>2022</v>
      </c>
      <c r="B364" t="s">
        <v>34</v>
      </c>
      <c r="C364">
        <v>21</v>
      </c>
      <c r="D364">
        <v>2020</v>
      </c>
      <c r="E364" t="s">
        <v>35</v>
      </c>
      <c r="F364">
        <v>2</v>
      </c>
      <c r="G364" t="s">
        <v>37</v>
      </c>
      <c r="H364" t="s">
        <v>37</v>
      </c>
      <c r="I364">
        <v>5</v>
      </c>
      <c r="J364">
        <v>3</v>
      </c>
      <c r="K364" t="s">
        <v>38</v>
      </c>
      <c r="L364" t="s">
        <v>36</v>
      </c>
      <c r="M364" t="s">
        <v>37</v>
      </c>
      <c r="N364">
        <v>4</v>
      </c>
      <c r="O364" t="s">
        <v>45</v>
      </c>
      <c r="P364">
        <v>60</v>
      </c>
      <c r="Q364" t="s">
        <v>36</v>
      </c>
      <c r="R364" t="s">
        <v>37</v>
      </c>
      <c r="S364" t="s">
        <v>36</v>
      </c>
      <c r="T364" t="s">
        <v>40</v>
      </c>
      <c r="U364">
        <v>1</v>
      </c>
      <c r="V364" t="s">
        <v>40</v>
      </c>
      <c r="W364" t="s">
        <v>42</v>
      </c>
      <c r="X364" t="s">
        <v>37</v>
      </c>
      <c r="Y364" t="s">
        <v>43</v>
      </c>
      <c r="Z364" t="s">
        <v>37</v>
      </c>
      <c r="AA364">
        <v>0.5</v>
      </c>
      <c r="AB364" t="s">
        <v>37</v>
      </c>
      <c r="AC364">
        <v>0.5</v>
      </c>
      <c r="AD364">
        <v>11</v>
      </c>
      <c r="AE364">
        <v>5000</v>
      </c>
      <c r="AF364" t="str">
        <f>IF(Table1[[#This Row],[What is your current CGPA?]]&gt;=3.5,"High",IF(Table1[[#This Row],[What is your current CGPA?]]&gt;=2.5,"Medium","Low"))</f>
        <v>Low</v>
      </c>
      <c r="AG364" t="str">
        <f>IF(AND(Table1[[#This Row],[Average attendance on class]]&lt;75,Table1[[#This Row],[How many hour do you study daily?]]&lt;1),"At Risk","Normal")</f>
        <v>Normal</v>
      </c>
      <c r="AH364">
        <f>(Table1[[#This Row],[Average attendance on class]]*0.4)+(Table1[[#This Row],[How many hour do you study daily?]]*10*0.3)+(Table1[[#This Row],[How many hour do you spent daily on your skill development?]]*10*0.3)</f>
        <v>42</v>
      </c>
    </row>
    <row r="365" spans="1:34" x14ac:dyDescent="0.25">
      <c r="A365">
        <v>2022</v>
      </c>
      <c r="B365" t="s">
        <v>48</v>
      </c>
      <c r="C365">
        <v>20</v>
      </c>
      <c r="D365">
        <v>2020</v>
      </c>
      <c r="E365" t="s">
        <v>35</v>
      </c>
      <c r="F365">
        <v>1</v>
      </c>
      <c r="G365" t="s">
        <v>37</v>
      </c>
      <c r="H365" t="s">
        <v>37</v>
      </c>
      <c r="I365">
        <v>5</v>
      </c>
      <c r="J365">
        <v>2</v>
      </c>
      <c r="K365" t="s">
        <v>38</v>
      </c>
      <c r="L365" t="s">
        <v>36</v>
      </c>
      <c r="M365" t="s">
        <v>36</v>
      </c>
      <c r="N365">
        <v>3</v>
      </c>
      <c r="O365" t="s">
        <v>39</v>
      </c>
      <c r="P365">
        <v>98</v>
      </c>
      <c r="Q365" t="s">
        <v>37</v>
      </c>
      <c r="R365" t="s">
        <v>37</v>
      </c>
      <c r="S365" t="s">
        <v>36</v>
      </c>
      <c r="T365" t="s">
        <v>40</v>
      </c>
      <c r="U365">
        <v>1</v>
      </c>
      <c r="V365" t="s">
        <v>40</v>
      </c>
      <c r="W365" t="s">
        <v>42</v>
      </c>
      <c r="X365" t="s">
        <v>37</v>
      </c>
      <c r="Y365" t="s">
        <v>47</v>
      </c>
      <c r="Z365" t="s">
        <v>37</v>
      </c>
      <c r="AA365">
        <v>3.5</v>
      </c>
      <c r="AB365" t="s">
        <v>37</v>
      </c>
      <c r="AC365">
        <v>3.5</v>
      </c>
      <c r="AD365">
        <v>0</v>
      </c>
      <c r="AE365">
        <v>20000</v>
      </c>
      <c r="AF365" t="str">
        <f>IF(Table1[[#This Row],[What is your current CGPA?]]&gt;=3.5,"High",IF(Table1[[#This Row],[What is your current CGPA?]]&gt;=2.5,"Medium","Low"))</f>
        <v>High</v>
      </c>
      <c r="AG365" t="str">
        <f>IF(AND(Table1[[#This Row],[Average attendance on class]]&lt;75,Table1[[#This Row],[How many hour do you study daily?]]&lt;1),"At Risk","Normal")</f>
        <v>Normal</v>
      </c>
      <c r="AH365">
        <f>(Table1[[#This Row],[Average attendance on class]]*0.4)+(Table1[[#This Row],[How many hour do you study daily?]]*10*0.3)+(Table1[[#This Row],[How many hour do you spent daily on your skill development?]]*10*0.3)</f>
        <v>57.2</v>
      </c>
    </row>
    <row r="366" spans="1:34" x14ac:dyDescent="0.25">
      <c r="A366">
        <v>2022</v>
      </c>
      <c r="B366" t="s">
        <v>34</v>
      </c>
      <c r="C366">
        <v>20</v>
      </c>
      <c r="D366">
        <v>2020</v>
      </c>
      <c r="E366" t="s">
        <v>35</v>
      </c>
      <c r="F366">
        <v>2</v>
      </c>
      <c r="G366" t="s">
        <v>36</v>
      </c>
      <c r="H366" t="s">
        <v>37</v>
      </c>
      <c r="I366">
        <v>1</v>
      </c>
      <c r="J366">
        <v>2</v>
      </c>
      <c r="K366" t="s">
        <v>38</v>
      </c>
      <c r="L366" t="s">
        <v>36</v>
      </c>
      <c r="M366" t="s">
        <v>36</v>
      </c>
      <c r="N366">
        <v>2</v>
      </c>
      <c r="O366" t="s">
        <v>45</v>
      </c>
      <c r="P366">
        <v>90</v>
      </c>
      <c r="Q366" t="s">
        <v>37</v>
      </c>
      <c r="R366" t="s">
        <v>37</v>
      </c>
      <c r="S366" t="s">
        <v>37</v>
      </c>
      <c r="T366" t="s">
        <v>40</v>
      </c>
      <c r="U366">
        <v>1</v>
      </c>
      <c r="V366" t="s">
        <v>40</v>
      </c>
      <c r="W366" t="s">
        <v>42</v>
      </c>
      <c r="X366" t="s">
        <v>37</v>
      </c>
      <c r="Y366" t="s">
        <v>47</v>
      </c>
      <c r="Z366" t="s">
        <v>37</v>
      </c>
      <c r="AA366">
        <v>2.52</v>
      </c>
      <c r="AB366" t="s">
        <v>37</v>
      </c>
      <c r="AC366">
        <v>2.52</v>
      </c>
      <c r="AD366">
        <v>12</v>
      </c>
      <c r="AE366">
        <v>50000</v>
      </c>
      <c r="AF366" t="str">
        <f>IF(Table1[[#This Row],[What is your current CGPA?]]&gt;=3.5,"High",IF(Table1[[#This Row],[What is your current CGPA?]]&gt;=2.5,"Medium","Low"))</f>
        <v>Medium</v>
      </c>
      <c r="AG366" t="str">
        <f>IF(AND(Table1[[#This Row],[Average attendance on class]]&lt;75,Table1[[#This Row],[How many hour do you study daily?]]&lt;1),"At Risk","Normal")</f>
        <v>Normal</v>
      </c>
      <c r="AH366">
        <f>(Table1[[#This Row],[Average attendance on class]]*0.4)+(Table1[[#This Row],[How many hour do you study daily?]]*10*0.3)+(Table1[[#This Row],[How many hour do you spent daily on your skill development?]]*10*0.3)</f>
        <v>42</v>
      </c>
    </row>
    <row r="367" spans="1:34" x14ac:dyDescent="0.25">
      <c r="A367">
        <v>2021</v>
      </c>
      <c r="B367" t="s">
        <v>34</v>
      </c>
      <c r="C367">
        <v>21</v>
      </c>
      <c r="D367">
        <v>2019</v>
      </c>
      <c r="E367" t="s">
        <v>35</v>
      </c>
      <c r="F367">
        <v>3</v>
      </c>
      <c r="G367" t="s">
        <v>37</v>
      </c>
      <c r="H367" t="s">
        <v>36</v>
      </c>
      <c r="I367">
        <v>4</v>
      </c>
      <c r="J367">
        <v>1</v>
      </c>
      <c r="K367" t="s">
        <v>38</v>
      </c>
      <c r="L367" t="s">
        <v>36</v>
      </c>
      <c r="M367" t="s">
        <v>36</v>
      </c>
      <c r="N367">
        <v>2</v>
      </c>
      <c r="O367" t="s">
        <v>39</v>
      </c>
      <c r="P367">
        <v>98</v>
      </c>
      <c r="Q367" t="s">
        <v>37</v>
      </c>
      <c r="R367" t="s">
        <v>37</v>
      </c>
      <c r="S367" t="s">
        <v>37</v>
      </c>
      <c r="T367" t="s">
        <v>40</v>
      </c>
      <c r="U367">
        <v>3</v>
      </c>
      <c r="V367" t="s">
        <v>40</v>
      </c>
      <c r="W367" t="s">
        <v>42</v>
      </c>
      <c r="X367" t="s">
        <v>37</v>
      </c>
      <c r="Y367" t="s">
        <v>47</v>
      </c>
      <c r="Z367" t="s">
        <v>37</v>
      </c>
      <c r="AA367">
        <v>3.72</v>
      </c>
      <c r="AB367" t="s">
        <v>37</v>
      </c>
      <c r="AC367">
        <v>3.71</v>
      </c>
      <c r="AD367">
        <v>25</v>
      </c>
      <c r="AE367">
        <v>60000</v>
      </c>
      <c r="AF367" t="str">
        <f>IF(Table1[[#This Row],[What is your current CGPA?]]&gt;=3.5,"High",IF(Table1[[#This Row],[What is your current CGPA?]]&gt;=2.5,"Medium","Low"))</f>
        <v>High</v>
      </c>
      <c r="AG367" t="str">
        <f>IF(AND(Table1[[#This Row],[Average attendance on class]]&lt;75,Table1[[#This Row],[How many hour do you study daily?]]&lt;1),"At Risk","Normal")</f>
        <v>Normal</v>
      </c>
      <c r="AH367">
        <f>(Table1[[#This Row],[Average attendance on class]]*0.4)+(Table1[[#This Row],[How many hour do you study daily?]]*10*0.3)+(Table1[[#This Row],[How many hour do you spent daily on your skill development?]]*10*0.3)</f>
        <v>60.2</v>
      </c>
    </row>
    <row r="368" spans="1:34" x14ac:dyDescent="0.25">
      <c r="A368">
        <v>2019</v>
      </c>
      <c r="B368" t="s">
        <v>48</v>
      </c>
      <c r="C368">
        <v>22</v>
      </c>
      <c r="D368">
        <v>2018</v>
      </c>
      <c r="E368" t="s">
        <v>35</v>
      </c>
      <c r="F368">
        <v>11</v>
      </c>
      <c r="G368" t="s">
        <v>36</v>
      </c>
      <c r="H368" t="s">
        <v>37</v>
      </c>
      <c r="I368">
        <v>5</v>
      </c>
      <c r="J368">
        <v>2</v>
      </c>
      <c r="K368" t="s">
        <v>44</v>
      </c>
      <c r="L368" t="s">
        <v>36</v>
      </c>
      <c r="M368" t="s">
        <v>36</v>
      </c>
      <c r="N368">
        <v>2</v>
      </c>
      <c r="O368" t="s">
        <v>39</v>
      </c>
      <c r="P368">
        <v>95</v>
      </c>
      <c r="Q368" t="s">
        <v>37</v>
      </c>
      <c r="R368" t="s">
        <v>37</v>
      </c>
      <c r="S368" t="s">
        <v>36</v>
      </c>
      <c r="T368" t="s">
        <v>84</v>
      </c>
      <c r="U368">
        <v>1</v>
      </c>
      <c r="V368" t="s">
        <v>59</v>
      </c>
      <c r="W368" t="s">
        <v>50</v>
      </c>
      <c r="X368" t="s">
        <v>36</v>
      </c>
      <c r="Y368" t="s">
        <v>47</v>
      </c>
      <c r="Z368" t="s">
        <v>37</v>
      </c>
      <c r="AA368">
        <v>2.8</v>
      </c>
      <c r="AB368" t="s">
        <v>37</v>
      </c>
      <c r="AC368">
        <v>3.35</v>
      </c>
      <c r="AD368">
        <v>120</v>
      </c>
      <c r="AE368">
        <v>68000</v>
      </c>
      <c r="AF368" t="str">
        <f>IF(Table1[[#This Row],[What is your current CGPA?]]&gt;=3.5,"High",IF(Table1[[#This Row],[What is your current CGPA?]]&gt;=2.5,"Medium","Low"))</f>
        <v>Medium</v>
      </c>
      <c r="AG368" t="str">
        <f>IF(AND(Table1[[#This Row],[Average attendance on class]]&lt;75,Table1[[#This Row],[How many hour do you study daily?]]&lt;1),"At Risk","Normal")</f>
        <v>Normal</v>
      </c>
      <c r="AH368">
        <f>(Table1[[#This Row],[Average attendance on class]]*0.4)+(Table1[[#This Row],[How many hour do you study daily?]]*10*0.3)+(Table1[[#This Row],[How many hour do you spent daily on your skill development?]]*10*0.3)</f>
        <v>56</v>
      </c>
    </row>
    <row r="369" spans="1:34" x14ac:dyDescent="0.25">
      <c r="A369">
        <v>2020</v>
      </c>
      <c r="B369" t="s">
        <v>48</v>
      </c>
      <c r="C369">
        <v>21</v>
      </c>
      <c r="D369">
        <v>2019</v>
      </c>
      <c r="E369" t="s">
        <v>35</v>
      </c>
      <c r="F369">
        <v>6</v>
      </c>
      <c r="G369" t="s">
        <v>36</v>
      </c>
      <c r="H369" t="s">
        <v>37</v>
      </c>
      <c r="I369">
        <v>3</v>
      </c>
      <c r="J369">
        <v>2</v>
      </c>
      <c r="K369" t="s">
        <v>38</v>
      </c>
      <c r="L369" t="s">
        <v>36</v>
      </c>
      <c r="M369" t="s">
        <v>36</v>
      </c>
      <c r="N369">
        <v>2</v>
      </c>
      <c r="O369" t="s">
        <v>39</v>
      </c>
      <c r="P369">
        <v>99</v>
      </c>
      <c r="Q369" t="s">
        <v>37</v>
      </c>
      <c r="R369" t="s">
        <v>37</v>
      </c>
      <c r="S369" t="s">
        <v>36</v>
      </c>
      <c r="T369" t="s">
        <v>40</v>
      </c>
      <c r="U369">
        <v>1</v>
      </c>
      <c r="V369" t="s">
        <v>40</v>
      </c>
      <c r="W369" t="s">
        <v>42</v>
      </c>
      <c r="X369" t="s">
        <v>37</v>
      </c>
      <c r="Y369" t="s">
        <v>47</v>
      </c>
      <c r="Z369" t="s">
        <v>37</v>
      </c>
      <c r="AA369">
        <v>3.98</v>
      </c>
      <c r="AB369" t="s">
        <v>37</v>
      </c>
      <c r="AC369">
        <v>3.99</v>
      </c>
      <c r="AD369">
        <v>58</v>
      </c>
      <c r="AE369">
        <v>40000</v>
      </c>
      <c r="AF369" t="str">
        <f>IF(Table1[[#This Row],[What is your current CGPA?]]&gt;=3.5,"High",IF(Table1[[#This Row],[What is your current CGPA?]]&gt;=2.5,"Medium","Low"))</f>
        <v>High</v>
      </c>
      <c r="AG369" t="str">
        <f>IF(AND(Table1[[#This Row],[Average attendance on class]]&lt;75,Table1[[#This Row],[How many hour do you study daily?]]&lt;1),"At Risk","Normal")</f>
        <v>Normal</v>
      </c>
      <c r="AH369">
        <f>(Table1[[#This Row],[Average attendance on class]]*0.4)+(Table1[[#This Row],[How many hour do you study daily?]]*10*0.3)+(Table1[[#This Row],[How many hour do you spent daily on your skill development?]]*10*0.3)</f>
        <v>51.6</v>
      </c>
    </row>
    <row r="370" spans="1:34" x14ac:dyDescent="0.25">
      <c r="A370">
        <v>2021</v>
      </c>
      <c r="B370" t="s">
        <v>34</v>
      </c>
      <c r="C370">
        <v>20</v>
      </c>
      <c r="D370">
        <v>2019</v>
      </c>
      <c r="E370" t="s">
        <v>35</v>
      </c>
      <c r="F370">
        <v>3</v>
      </c>
      <c r="G370" t="s">
        <v>37</v>
      </c>
      <c r="H370" t="s">
        <v>37</v>
      </c>
      <c r="I370">
        <v>4</v>
      </c>
      <c r="J370">
        <v>2</v>
      </c>
      <c r="K370" t="s">
        <v>38</v>
      </c>
      <c r="L370" t="s">
        <v>36</v>
      </c>
      <c r="M370" t="s">
        <v>36</v>
      </c>
      <c r="N370">
        <v>3</v>
      </c>
      <c r="O370" t="s">
        <v>39</v>
      </c>
      <c r="P370">
        <v>100</v>
      </c>
      <c r="Q370" t="s">
        <v>37</v>
      </c>
      <c r="R370" t="s">
        <v>37</v>
      </c>
      <c r="S370" t="s">
        <v>37</v>
      </c>
      <c r="T370" t="s">
        <v>40</v>
      </c>
      <c r="U370">
        <v>2</v>
      </c>
      <c r="V370" t="s">
        <v>40</v>
      </c>
      <c r="W370" t="s">
        <v>42</v>
      </c>
      <c r="X370" t="s">
        <v>37</v>
      </c>
      <c r="Y370" t="s">
        <v>43</v>
      </c>
      <c r="Z370" t="s">
        <v>36</v>
      </c>
      <c r="AA370">
        <v>3.68</v>
      </c>
      <c r="AB370" t="s">
        <v>37</v>
      </c>
      <c r="AC370">
        <v>3.61</v>
      </c>
      <c r="AD370">
        <v>24</v>
      </c>
      <c r="AE370">
        <v>40000</v>
      </c>
      <c r="AF370" t="str">
        <f>IF(Table1[[#This Row],[What is your current CGPA?]]&gt;=3.5,"High",IF(Table1[[#This Row],[What is your current CGPA?]]&gt;=2.5,"Medium","Low"))</f>
        <v>High</v>
      </c>
      <c r="AG370" t="str">
        <f>IF(AND(Table1[[#This Row],[Average attendance on class]]&lt;75,Table1[[#This Row],[How many hour do you study daily?]]&lt;1),"At Risk","Normal")</f>
        <v>Normal</v>
      </c>
      <c r="AH370">
        <f>(Table1[[#This Row],[Average attendance on class]]*0.4)+(Table1[[#This Row],[How many hour do you study daily?]]*10*0.3)+(Table1[[#This Row],[How many hour do you spent daily on your skill development?]]*10*0.3)</f>
        <v>58</v>
      </c>
    </row>
    <row r="371" spans="1:34" x14ac:dyDescent="0.25">
      <c r="A371">
        <v>2021</v>
      </c>
      <c r="B371" t="s">
        <v>34</v>
      </c>
      <c r="C371">
        <v>21</v>
      </c>
      <c r="D371">
        <v>2019</v>
      </c>
      <c r="E371" t="s">
        <v>35</v>
      </c>
      <c r="F371">
        <v>3</v>
      </c>
      <c r="G371" t="s">
        <v>36</v>
      </c>
      <c r="H371" t="s">
        <v>37</v>
      </c>
      <c r="I371">
        <v>1</v>
      </c>
      <c r="J371">
        <v>1</v>
      </c>
      <c r="K371" t="s">
        <v>38</v>
      </c>
      <c r="L371" t="s">
        <v>36</v>
      </c>
      <c r="M371" t="s">
        <v>36</v>
      </c>
      <c r="N371">
        <v>5</v>
      </c>
      <c r="O371" t="s">
        <v>39</v>
      </c>
      <c r="P371">
        <v>90</v>
      </c>
      <c r="Q371" t="s">
        <v>37</v>
      </c>
      <c r="R371" t="s">
        <v>37</v>
      </c>
      <c r="S371" t="s">
        <v>37</v>
      </c>
      <c r="T371" t="s">
        <v>40</v>
      </c>
      <c r="U371">
        <v>1</v>
      </c>
      <c r="V371" t="s">
        <v>40</v>
      </c>
      <c r="W371" t="s">
        <v>42</v>
      </c>
      <c r="X371" t="s">
        <v>37</v>
      </c>
      <c r="Y371" t="s">
        <v>47</v>
      </c>
      <c r="Z371" t="s">
        <v>36</v>
      </c>
      <c r="AA371">
        <v>3.03</v>
      </c>
      <c r="AB371" t="s">
        <v>37</v>
      </c>
      <c r="AC371">
        <v>2.94</v>
      </c>
      <c r="AD371">
        <v>25</v>
      </c>
      <c r="AE371">
        <v>50000</v>
      </c>
      <c r="AF371" t="str">
        <f>IF(Table1[[#This Row],[What is your current CGPA?]]&gt;=3.5,"High",IF(Table1[[#This Row],[What is your current CGPA?]]&gt;=2.5,"Medium","Low"))</f>
        <v>Medium</v>
      </c>
      <c r="AG371" t="str">
        <f>IF(AND(Table1[[#This Row],[Average attendance on class]]&lt;75,Table1[[#This Row],[How many hour do you study daily?]]&lt;1),"At Risk","Normal")</f>
        <v>Normal</v>
      </c>
      <c r="AH371">
        <f>(Table1[[#This Row],[Average attendance on class]]*0.4)+(Table1[[#This Row],[How many hour do you study daily?]]*10*0.3)+(Table1[[#This Row],[How many hour do you spent daily on your skill development?]]*10*0.3)</f>
        <v>42</v>
      </c>
    </row>
    <row r="372" spans="1:34" x14ac:dyDescent="0.25">
      <c r="A372">
        <v>2019</v>
      </c>
      <c r="B372" t="s">
        <v>48</v>
      </c>
      <c r="C372">
        <v>22</v>
      </c>
      <c r="D372">
        <v>2017</v>
      </c>
      <c r="E372" t="s">
        <v>35</v>
      </c>
      <c r="F372">
        <v>11</v>
      </c>
      <c r="G372" t="s">
        <v>37</v>
      </c>
      <c r="H372" t="s">
        <v>37</v>
      </c>
      <c r="I372">
        <v>3</v>
      </c>
      <c r="J372">
        <v>2</v>
      </c>
      <c r="K372" t="s">
        <v>38</v>
      </c>
      <c r="L372" t="s">
        <v>36</v>
      </c>
      <c r="M372" t="s">
        <v>36</v>
      </c>
      <c r="N372">
        <v>4</v>
      </c>
      <c r="O372" t="s">
        <v>39</v>
      </c>
      <c r="P372">
        <v>95</v>
      </c>
      <c r="Q372" t="s">
        <v>37</v>
      </c>
      <c r="R372" t="s">
        <v>37</v>
      </c>
      <c r="S372" t="s">
        <v>36</v>
      </c>
      <c r="T372" t="s">
        <v>40</v>
      </c>
      <c r="U372">
        <v>1</v>
      </c>
      <c r="V372" t="s">
        <v>52</v>
      </c>
      <c r="W372" t="s">
        <v>42</v>
      </c>
      <c r="X372" t="s">
        <v>37</v>
      </c>
      <c r="Y372" t="s">
        <v>47</v>
      </c>
      <c r="Z372" t="s">
        <v>36</v>
      </c>
      <c r="AA372">
        <v>3.34</v>
      </c>
      <c r="AB372" t="s">
        <v>37</v>
      </c>
      <c r="AC372">
        <v>3.18</v>
      </c>
      <c r="AD372">
        <v>120</v>
      </c>
      <c r="AE372">
        <v>40000</v>
      </c>
      <c r="AF372" t="str">
        <f>IF(Table1[[#This Row],[What is your current CGPA?]]&gt;=3.5,"High",IF(Table1[[#This Row],[What is your current CGPA?]]&gt;=2.5,"Medium","Low"))</f>
        <v>Medium</v>
      </c>
      <c r="AG372" t="str">
        <f>IF(AND(Table1[[#This Row],[Average attendance on class]]&lt;75,Table1[[#This Row],[How many hour do you study daily?]]&lt;1),"At Risk","Normal")</f>
        <v>Normal</v>
      </c>
      <c r="AH372">
        <f>(Table1[[#This Row],[Average attendance on class]]*0.4)+(Table1[[#This Row],[How many hour do you study daily?]]*10*0.3)+(Table1[[#This Row],[How many hour do you spent daily on your skill development?]]*10*0.3)</f>
        <v>50</v>
      </c>
    </row>
    <row r="373" spans="1:34" x14ac:dyDescent="0.25">
      <c r="A373">
        <v>2021</v>
      </c>
      <c r="B373" t="s">
        <v>48</v>
      </c>
      <c r="C373">
        <v>21</v>
      </c>
      <c r="D373">
        <v>2020</v>
      </c>
      <c r="E373" t="s">
        <v>35</v>
      </c>
      <c r="F373">
        <v>2</v>
      </c>
      <c r="G373" t="s">
        <v>36</v>
      </c>
      <c r="H373" t="s">
        <v>36</v>
      </c>
      <c r="I373">
        <v>8</v>
      </c>
      <c r="J373">
        <v>2</v>
      </c>
      <c r="K373" t="s">
        <v>38</v>
      </c>
      <c r="L373" t="s">
        <v>36</v>
      </c>
      <c r="M373" t="s">
        <v>36</v>
      </c>
      <c r="N373">
        <v>2</v>
      </c>
      <c r="O373" t="s">
        <v>45</v>
      </c>
      <c r="P373">
        <v>100</v>
      </c>
      <c r="Q373" t="s">
        <v>37</v>
      </c>
      <c r="R373" t="s">
        <v>37</v>
      </c>
      <c r="S373" t="s">
        <v>36</v>
      </c>
      <c r="T373" t="s">
        <v>40</v>
      </c>
      <c r="U373">
        <v>1</v>
      </c>
      <c r="V373" t="s">
        <v>40</v>
      </c>
      <c r="W373" t="s">
        <v>42</v>
      </c>
      <c r="X373" t="s">
        <v>36</v>
      </c>
      <c r="Y373" t="s">
        <v>47</v>
      </c>
      <c r="Z373" t="s">
        <v>37</v>
      </c>
      <c r="AA373">
        <v>3.39</v>
      </c>
      <c r="AB373" t="s">
        <v>37</v>
      </c>
      <c r="AC373">
        <v>3.39</v>
      </c>
      <c r="AD373">
        <v>12</v>
      </c>
      <c r="AE373">
        <v>50000</v>
      </c>
      <c r="AF373" t="str">
        <f>IF(Table1[[#This Row],[What is your current CGPA?]]&gt;=3.5,"High",IF(Table1[[#This Row],[What is your current CGPA?]]&gt;=2.5,"Medium","Low"))</f>
        <v>Medium</v>
      </c>
      <c r="AG373" t="str">
        <f>IF(AND(Table1[[#This Row],[Average attendance on class]]&lt;75,Table1[[#This Row],[How many hour do you study daily?]]&lt;1),"At Risk","Normal")</f>
        <v>Normal</v>
      </c>
      <c r="AH373">
        <f>(Table1[[#This Row],[Average attendance on class]]*0.4)+(Table1[[#This Row],[How many hour do you study daily?]]*10*0.3)+(Table1[[#This Row],[How many hour do you spent daily on your skill development?]]*10*0.3)</f>
        <v>67</v>
      </c>
    </row>
    <row r="374" spans="1:34" x14ac:dyDescent="0.25">
      <c r="A374">
        <v>2019</v>
      </c>
      <c r="B374" t="s">
        <v>48</v>
      </c>
      <c r="C374">
        <v>23</v>
      </c>
      <c r="D374">
        <v>2018</v>
      </c>
      <c r="E374" t="s">
        <v>35</v>
      </c>
      <c r="F374">
        <v>11</v>
      </c>
      <c r="G374" t="s">
        <v>37</v>
      </c>
      <c r="H374" t="s">
        <v>36</v>
      </c>
      <c r="I374">
        <v>3</v>
      </c>
      <c r="J374">
        <v>2</v>
      </c>
      <c r="K374" t="s">
        <v>38</v>
      </c>
      <c r="L374" t="s">
        <v>36</v>
      </c>
      <c r="M374" t="s">
        <v>36</v>
      </c>
      <c r="N374">
        <v>3</v>
      </c>
      <c r="O374" t="s">
        <v>39</v>
      </c>
      <c r="P374">
        <v>96</v>
      </c>
      <c r="Q374" t="s">
        <v>37</v>
      </c>
      <c r="R374" t="s">
        <v>37</v>
      </c>
      <c r="S374" t="s">
        <v>36</v>
      </c>
      <c r="T374" t="s">
        <v>40</v>
      </c>
      <c r="U374">
        <v>2</v>
      </c>
      <c r="V374" t="s">
        <v>40</v>
      </c>
      <c r="W374" t="s">
        <v>42</v>
      </c>
      <c r="X374" t="s">
        <v>37</v>
      </c>
      <c r="Y374" t="s">
        <v>47</v>
      </c>
      <c r="Z374" t="s">
        <v>37</v>
      </c>
      <c r="AA374">
        <v>3.78</v>
      </c>
      <c r="AB374" t="s">
        <v>37</v>
      </c>
      <c r="AC374">
        <v>3.55</v>
      </c>
      <c r="AD374">
        <v>141</v>
      </c>
      <c r="AE374">
        <v>18000</v>
      </c>
      <c r="AF374" t="str">
        <f>IF(Table1[[#This Row],[What is your current CGPA?]]&gt;=3.5,"High",IF(Table1[[#This Row],[What is your current CGPA?]]&gt;=2.5,"Medium","Low"))</f>
        <v>High</v>
      </c>
      <c r="AG374" t="str">
        <f>IF(AND(Table1[[#This Row],[Average attendance on class]]&lt;75,Table1[[#This Row],[How many hour do you study daily?]]&lt;1),"At Risk","Normal")</f>
        <v>Normal</v>
      </c>
      <c r="AH374">
        <f>(Table1[[#This Row],[Average attendance on class]]*0.4)+(Table1[[#This Row],[How many hour do you study daily?]]*10*0.3)+(Table1[[#This Row],[How many hour do you spent daily on your skill development?]]*10*0.3)</f>
        <v>53.400000000000006</v>
      </c>
    </row>
    <row r="375" spans="1:34" x14ac:dyDescent="0.25">
      <c r="A375">
        <v>2019</v>
      </c>
      <c r="B375" t="s">
        <v>34</v>
      </c>
      <c r="C375">
        <v>24</v>
      </c>
      <c r="D375">
        <v>2019</v>
      </c>
      <c r="E375" t="s">
        <v>35</v>
      </c>
      <c r="F375">
        <v>5</v>
      </c>
      <c r="G375" t="s">
        <v>37</v>
      </c>
      <c r="H375" t="s">
        <v>36</v>
      </c>
      <c r="I375">
        <v>2</v>
      </c>
      <c r="J375">
        <v>2</v>
      </c>
      <c r="K375" t="s">
        <v>38</v>
      </c>
      <c r="L375" t="s">
        <v>36</v>
      </c>
      <c r="M375" t="s">
        <v>36</v>
      </c>
      <c r="N375">
        <v>8</v>
      </c>
      <c r="O375" t="s">
        <v>45</v>
      </c>
      <c r="P375">
        <v>100</v>
      </c>
      <c r="Q375" t="s">
        <v>36</v>
      </c>
      <c r="R375" t="s">
        <v>37</v>
      </c>
      <c r="S375" t="s">
        <v>36</v>
      </c>
      <c r="T375" t="s">
        <v>40</v>
      </c>
      <c r="U375">
        <v>8</v>
      </c>
      <c r="V375" t="s">
        <v>40</v>
      </c>
      <c r="W375" t="s">
        <v>42</v>
      </c>
      <c r="X375" t="s">
        <v>37</v>
      </c>
      <c r="Y375" t="s">
        <v>47</v>
      </c>
      <c r="Z375" t="s">
        <v>37</v>
      </c>
      <c r="AA375">
        <v>1.05</v>
      </c>
      <c r="AB375" t="s">
        <v>37</v>
      </c>
      <c r="AC375">
        <v>2.97</v>
      </c>
      <c r="AD375">
        <v>42</v>
      </c>
      <c r="AE375">
        <v>62488</v>
      </c>
      <c r="AF375" t="str">
        <f>IF(Table1[[#This Row],[What is your current CGPA?]]&gt;=3.5,"High",IF(Table1[[#This Row],[What is your current CGPA?]]&gt;=2.5,"Medium","Low"))</f>
        <v>Medium</v>
      </c>
      <c r="AG375" t="str">
        <f>IF(AND(Table1[[#This Row],[Average attendance on class]]&lt;75,Table1[[#This Row],[How many hour do you study daily?]]&lt;1),"At Risk","Normal")</f>
        <v>Normal</v>
      </c>
      <c r="AH375">
        <f>(Table1[[#This Row],[Average attendance on class]]*0.4)+(Table1[[#This Row],[How many hour do you study daily?]]*10*0.3)+(Table1[[#This Row],[How many hour do you spent daily on your skill development?]]*10*0.3)</f>
        <v>70</v>
      </c>
    </row>
    <row r="376" spans="1:34" x14ac:dyDescent="0.25">
      <c r="A376">
        <v>2021</v>
      </c>
      <c r="B376" t="s">
        <v>48</v>
      </c>
      <c r="C376">
        <v>20</v>
      </c>
      <c r="D376">
        <v>2020</v>
      </c>
      <c r="E376" t="s">
        <v>35</v>
      </c>
      <c r="F376">
        <v>3</v>
      </c>
      <c r="G376" t="s">
        <v>37</v>
      </c>
      <c r="H376" t="s">
        <v>37</v>
      </c>
      <c r="I376">
        <v>2</v>
      </c>
      <c r="J376">
        <v>3</v>
      </c>
      <c r="K376" t="s">
        <v>38</v>
      </c>
      <c r="L376" t="s">
        <v>36</v>
      </c>
      <c r="M376" t="s">
        <v>36</v>
      </c>
      <c r="N376">
        <v>4</v>
      </c>
      <c r="O376" t="s">
        <v>45</v>
      </c>
      <c r="P376">
        <v>85</v>
      </c>
      <c r="Q376" t="s">
        <v>36</v>
      </c>
      <c r="R376" t="s">
        <v>37</v>
      </c>
      <c r="S376" t="s">
        <v>37</v>
      </c>
      <c r="T376" t="s">
        <v>40</v>
      </c>
      <c r="U376">
        <v>2</v>
      </c>
      <c r="V376" t="s">
        <v>51</v>
      </c>
      <c r="W376" t="s">
        <v>42</v>
      </c>
      <c r="X376" t="s">
        <v>37</v>
      </c>
      <c r="Y376" t="s">
        <v>43</v>
      </c>
      <c r="Z376" t="s">
        <v>37</v>
      </c>
      <c r="AA376">
        <v>2.06</v>
      </c>
      <c r="AB376" t="s">
        <v>37</v>
      </c>
      <c r="AC376">
        <v>2.2000000000000002</v>
      </c>
      <c r="AD376">
        <v>23</v>
      </c>
      <c r="AE376">
        <v>25000</v>
      </c>
      <c r="AF376" t="str">
        <f>IF(Table1[[#This Row],[What is your current CGPA?]]&gt;=3.5,"High",IF(Table1[[#This Row],[What is your current CGPA?]]&gt;=2.5,"Medium","Low"))</f>
        <v>Low</v>
      </c>
      <c r="AG376" t="str">
        <f>IF(AND(Table1[[#This Row],[Average attendance on class]]&lt;75,Table1[[#This Row],[How many hour do you study daily?]]&lt;1),"At Risk","Normal")</f>
        <v>Normal</v>
      </c>
      <c r="AH376">
        <f>(Table1[[#This Row],[Average attendance on class]]*0.4)+(Table1[[#This Row],[How many hour do you study daily?]]*10*0.3)+(Table1[[#This Row],[How many hour do you spent daily on your skill development?]]*10*0.3)</f>
        <v>46</v>
      </c>
    </row>
    <row r="377" spans="1:34" x14ac:dyDescent="0.25">
      <c r="A377">
        <v>2022</v>
      </c>
      <c r="B377" t="s">
        <v>48</v>
      </c>
      <c r="C377">
        <v>20</v>
      </c>
      <c r="D377">
        <v>2020</v>
      </c>
      <c r="E377" t="s">
        <v>35</v>
      </c>
      <c r="F377">
        <v>2</v>
      </c>
      <c r="G377" t="s">
        <v>36</v>
      </c>
      <c r="H377" t="s">
        <v>37</v>
      </c>
      <c r="I377">
        <v>3</v>
      </c>
      <c r="J377">
        <v>1</v>
      </c>
      <c r="K377" t="s">
        <v>38</v>
      </c>
      <c r="L377" t="s">
        <v>36</v>
      </c>
      <c r="M377" t="s">
        <v>36</v>
      </c>
      <c r="N377">
        <v>3</v>
      </c>
      <c r="O377" t="s">
        <v>45</v>
      </c>
      <c r="P377">
        <v>95</v>
      </c>
      <c r="Q377" t="s">
        <v>37</v>
      </c>
      <c r="R377" t="s">
        <v>37</v>
      </c>
      <c r="S377" t="s">
        <v>37</v>
      </c>
      <c r="T377" t="s">
        <v>40</v>
      </c>
      <c r="U377">
        <v>2</v>
      </c>
      <c r="V377" t="s">
        <v>40</v>
      </c>
      <c r="W377" t="s">
        <v>42</v>
      </c>
      <c r="X377" t="s">
        <v>37</v>
      </c>
      <c r="Y377" t="s">
        <v>47</v>
      </c>
      <c r="Z377" t="s">
        <v>37</v>
      </c>
      <c r="AA377">
        <v>3.67</v>
      </c>
      <c r="AB377" t="s">
        <v>37</v>
      </c>
      <c r="AC377">
        <v>3.67</v>
      </c>
      <c r="AD377">
        <v>11</v>
      </c>
      <c r="AE377">
        <v>45000</v>
      </c>
      <c r="AF377" t="str">
        <f>IF(Table1[[#This Row],[What is your current CGPA?]]&gt;=3.5,"High",IF(Table1[[#This Row],[What is your current CGPA?]]&gt;=2.5,"Medium","Low"))</f>
        <v>High</v>
      </c>
      <c r="AG377" t="str">
        <f>IF(AND(Table1[[#This Row],[Average attendance on class]]&lt;75,Table1[[#This Row],[How many hour do you study daily?]]&lt;1),"At Risk","Normal")</f>
        <v>Normal</v>
      </c>
      <c r="AH377">
        <f>(Table1[[#This Row],[Average attendance on class]]*0.4)+(Table1[[#This Row],[How many hour do you study daily?]]*10*0.3)+(Table1[[#This Row],[How many hour do you spent daily on your skill development?]]*10*0.3)</f>
        <v>53</v>
      </c>
    </row>
    <row r="378" spans="1:34" x14ac:dyDescent="0.25">
      <c r="A378">
        <v>2021</v>
      </c>
      <c r="B378" t="s">
        <v>48</v>
      </c>
      <c r="C378">
        <v>19</v>
      </c>
      <c r="D378">
        <v>2020</v>
      </c>
      <c r="E378" t="s">
        <v>35</v>
      </c>
      <c r="F378">
        <v>2</v>
      </c>
      <c r="G378" t="s">
        <v>37</v>
      </c>
      <c r="H378" t="s">
        <v>36</v>
      </c>
      <c r="I378">
        <v>5</v>
      </c>
      <c r="J378">
        <v>2</v>
      </c>
      <c r="K378" t="s">
        <v>38</v>
      </c>
      <c r="L378" t="s">
        <v>36</v>
      </c>
      <c r="M378" t="s">
        <v>36</v>
      </c>
      <c r="N378">
        <v>3</v>
      </c>
      <c r="O378" t="s">
        <v>39</v>
      </c>
      <c r="P378">
        <v>100</v>
      </c>
      <c r="Q378" t="s">
        <v>37</v>
      </c>
      <c r="R378" t="s">
        <v>37</v>
      </c>
      <c r="S378" t="s">
        <v>37</v>
      </c>
      <c r="T378" t="s">
        <v>40</v>
      </c>
      <c r="U378">
        <v>3</v>
      </c>
      <c r="V378" t="s">
        <v>49</v>
      </c>
      <c r="W378" t="s">
        <v>42</v>
      </c>
      <c r="X378" t="s">
        <v>36</v>
      </c>
      <c r="Y378" t="s">
        <v>47</v>
      </c>
      <c r="Z378" t="s">
        <v>37</v>
      </c>
      <c r="AA378">
        <v>3.78</v>
      </c>
      <c r="AB378" t="s">
        <v>37</v>
      </c>
      <c r="AC378">
        <v>3.78</v>
      </c>
      <c r="AD378">
        <v>11</v>
      </c>
      <c r="AE378">
        <v>40000</v>
      </c>
      <c r="AF378" t="str">
        <f>IF(Table1[[#This Row],[What is your current CGPA?]]&gt;=3.5,"High",IF(Table1[[#This Row],[What is your current CGPA?]]&gt;=2.5,"Medium","Low"))</f>
        <v>High</v>
      </c>
      <c r="AG378" t="str">
        <f>IF(AND(Table1[[#This Row],[Average attendance on class]]&lt;75,Table1[[#This Row],[How many hour do you study daily?]]&lt;1),"At Risk","Normal")</f>
        <v>Normal</v>
      </c>
      <c r="AH378">
        <f>(Table1[[#This Row],[Average attendance on class]]*0.4)+(Table1[[#This Row],[How many hour do you study daily?]]*10*0.3)+(Table1[[#This Row],[How many hour do you spent daily on your skill development?]]*10*0.3)</f>
        <v>64</v>
      </c>
    </row>
    <row r="379" spans="1:34" x14ac:dyDescent="0.25">
      <c r="A379">
        <v>2020</v>
      </c>
      <c r="B379" t="s">
        <v>48</v>
      </c>
      <c r="C379">
        <v>20</v>
      </c>
      <c r="D379">
        <v>2019</v>
      </c>
      <c r="E379" t="s">
        <v>35</v>
      </c>
      <c r="F379">
        <v>7</v>
      </c>
      <c r="G379" t="s">
        <v>36</v>
      </c>
      <c r="H379" t="s">
        <v>37</v>
      </c>
      <c r="I379">
        <v>1</v>
      </c>
      <c r="J379">
        <v>1</v>
      </c>
      <c r="K379" t="s">
        <v>44</v>
      </c>
      <c r="L379" t="s">
        <v>36</v>
      </c>
      <c r="M379" t="s">
        <v>36</v>
      </c>
      <c r="N379">
        <v>1</v>
      </c>
      <c r="O379" t="s">
        <v>39</v>
      </c>
      <c r="P379">
        <v>75</v>
      </c>
      <c r="Q379" t="s">
        <v>36</v>
      </c>
      <c r="R379" t="s">
        <v>37</v>
      </c>
      <c r="S379" t="s">
        <v>37</v>
      </c>
      <c r="T379" t="s">
        <v>85</v>
      </c>
      <c r="U379">
        <v>1</v>
      </c>
      <c r="V379" t="s">
        <v>52</v>
      </c>
      <c r="W379" t="s">
        <v>50</v>
      </c>
      <c r="X379" t="s">
        <v>36</v>
      </c>
      <c r="Y379" t="s">
        <v>47</v>
      </c>
      <c r="Z379" t="s">
        <v>36</v>
      </c>
      <c r="AA379">
        <v>1.63</v>
      </c>
      <c r="AB379" t="s">
        <v>37</v>
      </c>
      <c r="AC379">
        <v>2.61</v>
      </c>
      <c r="AD379">
        <v>79</v>
      </c>
      <c r="AE379">
        <v>60000</v>
      </c>
      <c r="AF379" t="str">
        <f>IF(Table1[[#This Row],[What is your current CGPA?]]&gt;=3.5,"High",IF(Table1[[#This Row],[What is your current CGPA?]]&gt;=2.5,"Medium","Low"))</f>
        <v>Medium</v>
      </c>
      <c r="AG379" t="str">
        <f>IF(AND(Table1[[#This Row],[Average attendance on class]]&lt;75,Table1[[#This Row],[How many hour do you study daily?]]&lt;1),"At Risk","Normal")</f>
        <v>Normal</v>
      </c>
      <c r="AH379">
        <f>(Table1[[#This Row],[Average attendance on class]]*0.4)+(Table1[[#This Row],[How many hour do you study daily?]]*10*0.3)+(Table1[[#This Row],[How many hour do you spent daily on your skill development?]]*10*0.3)</f>
        <v>36</v>
      </c>
    </row>
    <row r="380" spans="1:34" x14ac:dyDescent="0.25">
      <c r="A380">
        <v>2021</v>
      </c>
      <c r="B380" t="s">
        <v>34</v>
      </c>
      <c r="C380">
        <v>21</v>
      </c>
      <c r="D380">
        <v>2020</v>
      </c>
      <c r="E380" t="s">
        <v>35</v>
      </c>
      <c r="F380">
        <v>3</v>
      </c>
      <c r="G380" t="s">
        <v>36</v>
      </c>
      <c r="H380" t="s">
        <v>37</v>
      </c>
      <c r="I380">
        <v>2</v>
      </c>
      <c r="J380">
        <v>1</v>
      </c>
      <c r="K380" t="s">
        <v>38</v>
      </c>
      <c r="L380" t="s">
        <v>36</v>
      </c>
      <c r="M380" t="s">
        <v>36</v>
      </c>
      <c r="N380">
        <v>6</v>
      </c>
      <c r="O380" t="s">
        <v>45</v>
      </c>
      <c r="P380">
        <v>70</v>
      </c>
      <c r="Q380" t="s">
        <v>37</v>
      </c>
      <c r="R380" t="s">
        <v>37</v>
      </c>
      <c r="S380" t="s">
        <v>36</v>
      </c>
      <c r="T380" t="s">
        <v>40</v>
      </c>
      <c r="U380">
        <v>2</v>
      </c>
      <c r="V380" t="s">
        <v>62</v>
      </c>
      <c r="W380" t="s">
        <v>42</v>
      </c>
      <c r="X380" t="s">
        <v>36</v>
      </c>
      <c r="Y380" t="s">
        <v>43</v>
      </c>
      <c r="Z380" t="s">
        <v>37</v>
      </c>
      <c r="AA380">
        <v>3.17</v>
      </c>
      <c r="AB380" t="s">
        <v>37</v>
      </c>
      <c r="AC380">
        <v>3.39</v>
      </c>
      <c r="AD380">
        <v>22</v>
      </c>
      <c r="AE380">
        <v>40000</v>
      </c>
      <c r="AF380" t="str">
        <f>IF(Table1[[#This Row],[What is your current CGPA?]]&gt;=3.5,"High",IF(Table1[[#This Row],[What is your current CGPA?]]&gt;=2.5,"Medium","Low"))</f>
        <v>Medium</v>
      </c>
      <c r="AG380" t="str">
        <f>IF(AND(Table1[[#This Row],[Average attendance on class]]&lt;75,Table1[[#This Row],[How many hour do you study daily?]]&lt;1),"At Risk","Normal")</f>
        <v>Normal</v>
      </c>
      <c r="AH380">
        <f>(Table1[[#This Row],[Average attendance on class]]*0.4)+(Table1[[#This Row],[How many hour do you study daily?]]*10*0.3)+(Table1[[#This Row],[How many hour do you spent daily on your skill development?]]*10*0.3)</f>
        <v>40</v>
      </c>
    </row>
    <row r="381" spans="1:34" x14ac:dyDescent="0.25">
      <c r="A381">
        <v>2021</v>
      </c>
      <c r="B381" t="s">
        <v>48</v>
      </c>
      <c r="C381">
        <v>20</v>
      </c>
      <c r="D381">
        <v>2019</v>
      </c>
      <c r="E381" t="s">
        <v>35</v>
      </c>
      <c r="F381">
        <v>3</v>
      </c>
      <c r="G381" t="s">
        <v>37</v>
      </c>
      <c r="H381" t="s">
        <v>36</v>
      </c>
      <c r="I381">
        <v>2</v>
      </c>
      <c r="J381">
        <v>1</v>
      </c>
      <c r="K381" t="s">
        <v>38</v>
      </c>
      <c r="L381" t="s">
        <v>36</v>
      </c>
      <c r="M381" t="s">
        <v>36</v>
      </c>
      <c r="N381">
        <v>2</v>
      </c>
      <c r="O381" t="s">
        <v>39</v>
      </c>
      <c r="P381">
        <v>100</v>
      </c>
      <c r="Q381" t="s">
        <v>37</v>
      </c>
      <c r="R381" t="s">
        <v>37</v>
      </c>
      <c r="S381" t="s">
        <v>37</v>
      </c>
      <c r="T381" t="s">
        <v>86</v>
      </c>
      <c r="U381">
        <v>3</v>
      </c>
      <c r="V381" t="s">
        <v>41</v>
      </c>
      <c r="W381" t="s">
        <v>42</v>
      </c>
      <c r="X381" t="s">
        <v>37</v>
      </c>
      <c r="Y381" t="s">
        <v>47</v>
      </c>
      <c r="Z381" t="s">
        <v>36</v>
      </c>
      <c r="AA381">
        <v>3.82</v>
      </c>
      <c r="AB381" t="s">
        <v>37</v>
      </c>
      <c r="AC381">
        <v>3.91</v>
      </c>
      <c r="AD381">
        <v>23</v>
      </c>
      <c r="AE381">
        <v>100000</v>
      </c>
      <c r="AF381" t="str">
        <f>IF(Table1[[#This Row],[What is your current CGPA?]]&gt;=3.5,"High",IF(Table1[[#This Row],[What is your current CGPA?]]&gt;=2.5,"Medium","Low"))</f>
        <v>High</v>
      </c>
      <c r="AG381" t="str">
        <f>IF(AND(Table1[[#This Row],[Average attendance on class]]&lt;75,Table1[[#This Row],[How many hour do you study daily?]]&lt;1),"At Risk","Normal")</f>
        <v>Normal</v>
      </c>
      <c r="AH381">
        <f>(Table1[[#This Row],[Average attendance on class]]*0.4)+(Table1[[#This Row],[How many hour do you study daily?]]*10*0.3)+(Table1[[#This Row],[How many hour do you spent daily on your skill development?]]*10*0.3)</f>
        <v>55</v>
      </c>
    </row>
    <row r="382" spans="1:34" x14ac:dyDescent="0.25">
      <c r="A382">
        <v>2022</v>
      </c>
      <c r="B382" t="s">
        <v>34</v>
      </c>
      <c r="C382">
        <v>22</v>
      </c>
      <c r="D382">
        <v>2020</v>
      </c>
      <c r="E382" t="s">
        <v>35</v>
      </c>
      <c r="F382">
        <v>2</v>
      </c>
      <c r="G382" t="s">
        <v>37</v>
      </c>
      <c r="H382" t="s">
        <v>37</v>
      </c>
      <c r="I382">
        <v>2</v>
      </c>
      <c r="J382">
        <v>1</v>
      </c>
      <c r="K382" t="s">
        <v>38</v>
      </c>
      <c r="L382" t="s">
        <v>36</v>
      </c>
      <c r="M382" t="s">
        <v>37</v>
      </c>
      <c r="N382">
        <v>4</v>
      </c>
      <c r="O382" t="s">
        <v>45</v>
      </c>
      <c r="P382">
        <v>100</v>
      </c>
      <c r="Q382" t="s">
        <v>37</v>
      </c>
      <c r="R382" t="s">
        <v>37</v>
      </c>
      <c r="S382" t="s">
        <v>36</v>
      </c>
      <c r="T382" t="s">
        <v>65</v>
      </c>
      <c r="U382">
        <v>0</v>
      </c>
      <c r="V382" t="s">
        <v>40</v>
      </c>
      <c r="W382" t="s">
        <v>42</v>
      </c>
      <c r="X382" t="s">
        <v>37</v>
      </c>
      <c r="Y382" t="s">
        <v>43</v>
      </c>
      <c r="Z382" t="s">
        <v>37</v>
      </c>
      <c r="AA382">
        <v>2.5499999999999998</v>
      </c>
      <c r="AB382" t="s">
        <v>37</v>
      </c>
      <c r="AC382">
        <v>2.5499999999999998</v>
      </c>
      <c r="AD382">
        <v>11</v>
      </c>
      <c r="AE382">
        <v>40000</v>
      </c>
      <c r="AF382" t="str">
        <f>IF(Table1[[#This Row],[What is your current CGPA?]]&gt;=3.5,"High",IF(Table1[[#This Row],[What is your current CGPA?]]&gt;=2.5,"Medium","Low"))</f>
        <v>Medium</v>
      </c>
      <c r="AG382" t="str">
        <f>IF(AND(Table1[[#This Row],[Average attendance on class]]&lt;75,Table1[[#This Row],[How many hour do you study daily?]]&lt;1),"At Risk","Normal")</f>
        <v>Normal</v>
      </c>
      <c r="AH382">
        <f>(Table1[[#This Row],[Average attendance on class]]*0.4)+(Table1[[#This Row],[How many hour do you study daily?]]*10*0.3)+(Table1[[#This Row],[How many hour do you spent daily on your skill development?]]*10*0.3)</f>
        <v>46</v>
      </c>
    </row>
    <row r="383" spans="1:34" x14ac:dyDescent="0.25">
      <c r="A383">
        <v>2021</v>
      </c>
      <c r="B383" t="s">
        <v>34</v>
      </c>
      <c r="C383">
        <v>22</v>
      </c>
      <c r="D383">
        <v>2019</v>
      </c>
      <c r="E383" t="s">
        <v>35</v>
      </c>
      <c r="F383">
        <v>3</v>
      </c>
      <c r="G383" t="s">
        <v>36</v>
      </c>
      <c r="H383" t="s">
        <v>36</v>
      </c>
      <c r="I383">
        <v>2</v>
      </c>
      <c r="J383">
        <v>3</v>
      </c>
      <c r="K383" t="s">
        <v>44</v>
      </c>
      <c r="L383" t="s">
        <v>36</v>
      </c>
      <c r="M383" t="s">
        <v>36</v>
      </c>
      <c r="N383">
        <v>2</v>
      </c>
      <c r="O383" t="s">
        <v>39</v>
      </c>
      <c r="P383">
        <v>92</v>
      </c>
      <c r="Q383" t="s">
        <v>37</v>
      </c>
      <c r="R383" t="s">
        <v>37</v>
      </c>
      <c r="S383" t="s">
        <v>36</v>
      </c>
      <c r="T383" t="s">
        <v>40</v>
      </c>
      <c r="U383">
        <v>1</v>
      </c>
      <c r="V383" t="s">
        <v>40</v>
      </c>
      <c r="W383" t="s">
        <v>42</v>
      </c>
      <c r="X383" t="s">
        <v>37</v>
      </c>
      <c r="Y383" t="s">
        <v>47</v>
      </c>
      <c r="Z383" t="s">
        <v>37</v>
      </c>
      <c r="AA383">
        <v>3.79</v>
      </c>
      <c r="AB383" t="s">
        <v>37</v>
      </c>
      <c r="AC383">
        <v>3.89</v>
      </c>
      <c r="AD383">
        <v>23</v>
      </c>
      <c r="AE383">
        <v>35000</v>
      </c>
      <c r="AF383" t="str">
        <f>IF(Table1[[#This Row],[What is your current CGPA?]]&gt;=3.5,"High",IF(Table1[[#This Row],[What is your current CGPA?]]&gt;=2.5,"Medium","Low"))</f>
        <v>High</v>
      </c>
      <c r="AG383" t="str">
        <f>IF(AND(Table1[[#This Row],[Average attendance on class]]&lt;75,Table1[[#This Row],[How many hour do you study daily?]]&lt;1),"At Risk","Normal")</f>
        <v>Normal</v>
      </c>
      <c r="AH383">
        <f>(Table1[[#This Row],[Average attendance on class]]*0.4)+(Table1[[#This Row],[How many hour do you study daily?]]*10*0.3)+(Table1[[#This Row],[How many hour do you spent daily on your skill development?]]*10*0.3)</f>
        <v>45.800000000000004</v>
      </c>
    </row>
    <row r="384" spans="1:34" x14ac:dyDescent="0.25">
      <c r="A384">
        <v>2022</v>
      </c>
      <c r="B384" t="s">
        <v>34</v>
      </c>
      <c r="C384">
        <v>20</v>
      </c>
      <c r="D384">
        <v>2020</v>
      </c>
      <c r="E384" t="s">
        <v>35</v>
      </c>
      <c r="F384">
        <v>1</v>
      </c>
      <c r="G384" t="s">
        <v>36</v>
      </c>
      <c r="H384" t="s">
        <v>37</v>
      </c>
      <c r="I384">
        <v>2</v>
      </c>
      <c r="J384">
        <v>1</v>
      </c>
      <c r="K384" t="s">
        <v>38</v>
      </c>
      <c r="L384" t="s">
        <v>36</v>
      </c>
      <c r="M384" t="s">
        <v>37</v>
      </c>
      <c r="N384">
        <v>3</v>
      </c>
      <c r="O384" t="s">
        <v>45</v>
      </c>
      <c r="P384">
        <v>99</v>
      </c>
      <c r="Q384" t="s">
        <v>37</v>
      </c>
      <c r="R384" t="s">
        <v>37</v>
      </c>
      <c r="S384" t="s">
        <v>37</v>
      </c>
      <c r="T384" t="s">
        <v>40</v>
      </c>
      <c r="U384">
        <v>0</v>
      </c>
      <c r="V384" t="s">
        <v>40</v>
      </c>
      <c r="W384" t="s">
        <v>50</v>
      </c>
      <c r="X384" t="s">
        <v>36</v>
      </c>
      <c r="Y384" t="s">
        <v>43</v>
      </c>
      <c r="Z384" t="s">
        <v>37</v>
      </c>
      <c r="AA384">
        <v>4</v>
      </c>
      <c r="AB384" t="s">
        <v>37</v>
      </c>
      <c r="AC384">
        <v>4</v>
      </c>
      <c r="AD384">
        <v>10</v>
      </c>
      <c r="AE384">
        <v>20000</v>
      </c>
      <c r="AF384" t="str">
        <f>IF(Table1[[#This Row],[What is your current CGPA?]]&gt;=3.5,"High",IF(Table1[[#This Row],[What is your current CGPA?]]&gt;=2.5,"Medium","Low"))</f>
        <v>High</v>
      </c>
      <c r="AG384" t="str">
        <f>IF(AND(Table1[[#This Row],[Average attendance on class]]&lt;75,Table1[[#This Row],[How many hour do you study daily?]]&lt;1),"At Risk","Normal")</f>
        <v>Normal</v>
      </c>
      <c r="AH384">
        <f>(Table1[[#This Row],[Average attendance on class]]*0.4)+(Table1[[#This Row],[How many hour do you study daily?]]*10*0.3)+(Table1[[#This Row],[How many hour do you spent daily on your skill development?]]*10*0.3)</f>
        <v>45.6</v>
      </c>
    </row>
    <row r="385" spans="1:34" x14ac:dyDescent="0.25">
      <c r="A385">
        <v>2019</v>
      </c>
      <c r="B385" t="s">
        <v>48</v>
      </c>
      <c r="C385">
        <v>23</v>
      </c>
      <c r="D385">
        <v>2017</v>
      </c>
      <c r="E385" t="s">
        <v>35</v>
      </c>
      <c r="F385">
        <v>11</v>
      </c>
      <c r="G385" t="s">
        <v>37</v>
      </c>
      <c r="H385" t="s">
        <v>36</v>
      </c>
      <c r="I385">
        <v>3</v>
      </c>
      <c r="J385">
        <v>2</v>
      </c>
      <c r="K385" t="s">
        <v>38</v>
      </c>
      <c r="L385" t="s">
        <v>36</v>
      </c>
      <c r="M385" t="s">
        <v>36</v>
      </c>
      <c r="N385">
        <v>2</v>
      </c>
      <c r="O385" t="s">
        <v>39</v>
      </c>
      <c r="P385">
        <v>85</v>
      </c>
      <c r="Q385" t="s">
        <v>37</v>
      </c>
      <c r="R385" t="s">
        <v>37</v>
      </c>
      <c r="S385" t="s">
        <v>36</v>
      </c>
      <c r="T385" t="s">
        <v>40</v>
      </c>
      <c r="U385">
        <v>2</v>
      </c>
      <c r="V385" t="s">
        <v>52</v>
      </c>
      <c r="W385" t="s">
        <v>42</v>
      </c>
      <c r="X385" t="s">
        <v>37</v>
      </c>
      <c r="Y385" t="s">
        <v>43</v>
      </c>
      <c r="Z385" t="s">
        <v>37</v>
      </c>
      <c r="AA385">
        <v>3.76</v>
      </c>
      <c r="AB385" t="s">
        <v>37</v>
      </c>
      <c r="AC385">
        <v>3.62</v>
      </c>
      <c r="AD385">
        <v>120</v>
      </c>
      <c r="AE385">
        <v>33000</v>
      </c>
      <c r="AF385" t="str">
        <f>IF(Table1[[#This Row],[What is your current CGPA?]]&gt;=3.5,"High",IF(Table1[[#This Row],[What is your current CGPA?]]&gt;=2.5,"Medium","Low"))</f>
        <v>High</v>
      </c>
      <c r="AG385" t="str">
        <f>IF(AND(Table1[[#This Row],[Average attendance on class]]&lt;75,Table1[[#This Row],[How many hour do you study daily?]]&lt;1),"At Risk","Normal")</f>
        <v>Normal</v>
      </c>
      <c r="AH385">
        <f>(Table1[[#This Row],[Average attendance on class]]*0.4)+(Table1[[#This Row],[How many hour do you study daily?]]*10*0.3)+(Table1[[#This Row],[How many hour do you spent daily on your skill development?]]*10*0.3)</f>
        <v>49</v>
      </c>
    </row>
    <row r="386" spans="1:34" x14ac:dyDescent="0.25">
      <c r="A386">
        <v>2020</v>
      </c>
      <c r="B386" t="s">
        <v>34</v>
      </c>
      <c r="C386">
        <v>21</v>
      </c>
      <c r="D386">
        <v>2019</v>
      </c>
      <c r="E386" t="s">
        <v>35</v>
      </c>
      <c r="F386">
        <v>8</v>
      </c>
      <c r="G386" t="s">
        <v>36</v>
      </c>
      <c r="H386" t="s">
        <v>37</v>
      </c>
      <c r="I386">
        <v>5</v>
      </c>
      <c r="J386">
        <v>3</v>
      </c>
      <c r="K386" t="s">
        <v>38</v>
      </c>
      <c r="L386" t="s">
        <v>36</v>
      </c>
      <c r="M386" t="s">
        <v>36</v>
      </c>
      <c r="N386">
        <v>4</v>
      </c>
      <c r="O386" t="s">
        <v>45</v>
      </c>
      <c r="P386">
        <v>100</v>
      </c>
      <c r="Q386" t="s">
        <v>37</v>
      </c>
      <c r="R386" t="s">
        <v>37</v>
      </c>
      <c r="S386" t="s">
        <v>36</v>
      </c>
      <c r="T386" t="s">
        <v>40</v>
      </c>
      <c r="U386">
        <v>2</v>
      </c>
      <c r="V386" t="s">
        <v>52</v>
      </c>
      <c r="W386" t="s">
        <v>42</v>
      </c>
      <c r="X386" t="s">
        <v>36</v>
      </c>
      <c r="Y386" t="s">
        <v>43</v>
      </c>
      <c r="Z386" t="s">
        <v>36</v>
      </c>
      <c r="AA386">
        <v>3.74</v>
      </c>
      <c r="AB386" t="s">
        <v>37</v>
      </c>
      <c r="AC386">
        <v>3.91</v>
      </c>
      <c r="AD386">
        <v>88</v>
      </c>
      <c r="AE386">
        <v>15000</v>
      </c>
      <c r="AF386" t="str">
        <f>IF(Table1[[#This Row],[What is your current CGPA?]]&gt;=3.5,"High",IF(Table1[[#This Row],[What is your current CGPA?]]&gt;=2.5,"Medium","Low"))</f>
        <v>High</v>
      </c>
      <c r="AG386" t="str">
        <f>IF(AND(Table1[[#This Row],[Average attendance on class]]&lt;75,Table1[[#This Row],[How many hour do you study daily?]]&lt;1),"At Risk","Normal")</f>
        <v>Normal</v>
      </c>
      <c r="AH386">
        <f>(Table1[[#This Row],[Average attendance on class]]*0.4)+(Table1[[#This Row],[How many hour do you study daily?]]*10*0.3)+(Table1[[#This Row],[How many hour do you spent daily on your skill development?]]*10*0.3)</f>
        <v>61</v>
      </c>
    </row>
    <row r="387" spans="1:34" x14ac:dyDescent="0.25">
      <c r="A387">
        <v>2022</v>
      </c>
      <c r="B387" t="s">
        <v>34</v>
      </c>
      <c r="C387">
        <v>20</v>
      </c>
      <c r="D387">
        <v>2020</v>
      </c>
      <c r="E387" t="s">
        <v>35</v>
      </c>
      <c r="F387">
        <v>1</v>
      </c>
      <c r="G387" t="s">
        <v>36</v>
      </c>
      <c r="H387" t="s">
        <v>37</v>
      </c>
      <c r="I387">
        <v>1</v>
      </c>
      <c r="J387">
        <v>1</v>
      </c>
      <c r="K387" t="s">
        <v>38</v>
      </c>
      <c r="L387" t="s">
        <v>36</v>
      </c>
      <c r="M387" t="s">
        <v>36</v>
      </c>
      <c r="N387">
        <v>2</v>
      </c>
      <c r="O387" t="s">
        <v>45</v>
      </c>
      <c r="P387">
        <v>98</v>
      </c>
      <c r="Q387" t="s">
        <v>37</v>
      </c>
      <c r="R387" t="s">
        <v>37</v>
      </c>
      <c r="S387" t="s">
        <v>36</v>
      </c>
      <c r="T387" t="s">
        <v>87</v>
      </c>
      <c r="U387">
        <v>2</v>
      </c>
      <c r="V387" t="s">
        <v>40</v>
      </c>
      <c r="W387" t="s">
        <v>42</v>
      </c>
      <c r="X387" t="s">
        <v>36</v>
      </c>
      <c r="Y387" t="s">
        <v>43</v>
      </c>
      <c r="Z387" t="s">
        <v>37</v>
      </c>
      <c r="AA387">
        <v>0</v>
      </c>
      <c r="AB387" t="s">
        <v>37</v>
      </c>
      <c r="AC387">
        <v>0</v>
      </c>
      <c r="AD387">
        <v>0</v>
      </c>
      <c r="AE387">
        <v>20000</v>
      </c>
      <c r="AF387" t="str">
        <f>IF(Table1[[#This Row],[What is your current CGPA?]]&gt;=3.5,"High",IF(Table1[[#This Row],[What is your current CGPA?]]&gt;=2.5,"Medium","Low"))</f>
        <v>Low</v>
      </c>
      <c r="AG387" t="str">
        <f>IF(AND(Table1[[#This Row],[Average attendance on class]]&lt;75,Table1[[#This Row],[How many hour do you study daily?]]&lt;1),"At Risk","Normal")</f>
        <v>Normal</v>
      </c>
      <c r="AH387">
        <f>(Table1[[#This Row],[Average attendance on class]]*0.4)+(Table1[[#This Row],[How many hour do you study daily?]]*10*0.3)+(Table1[[#This Row],[How many hour do you spent daily on your skill development?]]*10*0.3)</f>
        <v>48.2</v>
      </c>
    </row>
    <row r="388" spans="1:34" x14ac:dyDescent="0.25">
      <c r="A388">
        <v>2022</v>
      </c>
      <c r="B388" t="s">
        <v>34</v>
      </c>
      <c r="C388">
        <v>20</v>
      </c>
      <c r="D388">
        <v>2019</v>
      </c>
      <c r="E388" t="s">
        <v>35</v>
      </c>
      <c r="F388">
        <v>1</v>
      </c>
      <c r="G388" t="s">
        <v>36</v>
      </c>
      <c r="H388" t="s">
        <v>36</v>
      </c>
      <c r="I388">
        <v>2</v>
      </c>
      <c r="J388">
        <v>1</v>
      </c>
      <c r="K388" t="s">
        <v>38</v>
      </c>
      <c r="L388" t="s">
        <v>36</v>
      </c>
      <c r="M388" t="s">
        <v>36</v>
      </c>
      <c r="N388">
        <v>1</v>
      </c>
      <c r="O388" t="s">
        <v>45</v>
      </c>
      <c r="P388">
        <v>99</v>
      </c>
      <c r="Q388" t="s">
        <v>36</v>
      </c>
      <c r="R388" t="s">
        <v>37</v>
      </c>
      <c r="S388" t="s">
        <v>36</v>
      </c>
      <c r="T388" t="s">
        <v>40</v>
      </c>
      <c r="U388">
        <v>2</v>
      </c>
      <c r="V388" t="s">
        <v>40</v>
      </c>
      <c r="W388" t="s">
        <v>42</v>
      </c>
      <c r="X388" t="s">
        <v>36</v>
      </c>
      <c r="Y388" t="s">
        <v>43</v>
      </c>
      <c r="Z388" t="s">
        <v>37</v>
      </c>
      <c r="AA388">
        <v>3.15</v>
      </c>
      <c r="AB388" t="s">
        <v>37</v>
      </c>
      <c r="AC388">
        <v>3.15</v>
      </c>
      <c r="AD388">
        <v>13</v>
      </c>
      <c r="AE388">
        <v>20000</v>
      </c>
      <c r="AF388" t="str">
        <f>IF(Table1[[#This Row],[What is your current CGPA?]]&gt;=3.5,"High",IF(Table1[[#This Row],[What is your current CGPA?]]&gt;=2.5,"Medium","Low"))</f>
        <v>Medium</v>
      </c>
      <c r="AG388" t="str">
        <f>IF(AND(Table1[[#This Row],[Average attendance on class]]&lt;75,Table1[[#This Row],[How many hour do you study daily?]]&lt;1),"At Risk","Normal")</f>
        <v>Normal</v>
      </c>
      <c r="AH388">
        <f>(Table1[[#This Row],[Average attendance on class]]*0.4)+(Table1[[#This Row],[How many hour do you study daily?]]*10*0.3)+(Table1[[#This Row],[How many hour do you spent daily on your skill development?]]*10*0.3)</f>
        <v>51.6</v>
      </c>
    </row>
    <row r="389" spans="1:34" x14ac:dyDescent="0.25">
      <c r="A389">
        <v>2021</v>
      </c>
      <c r="B389" t="s">
        <v>48</v>
      </c>
      <c r="C389">
        <v>21</v>
      </c>
      <c r="D389">
        <v>2020</v>
      </c>
      <c r="E389" t="s">
        <v>35</v>
      </c>
      <c r="F389">
        <v>3</v>
      </c>
      <c r="G389" t="s">
        <v>36</v>
      </c>
      <c r="H389" t="s">
        <v>37</v>
      </c>
      <c r="I389">
        <v>2</v>
      </c>
      <c r="J389">
        <v>2</v>
      </c>
      <c r="K389" t="s">
        <v>38</v>
      </c>
      <c r="L389" t="s">
        <v>36</v>
      </c>
      <c r="M389" t="s">
        <v>36</v>
      </c>
      <c r="N389">
        <v>4</v>
      </c>
      <c r="O389" t="s">
        <v>39</v>
      </c>
      <c r="P389">
        <v>100</v>
      </c>
      <c r="Q389" t="s">
        <v>37</v>
      </c>
      <c r="R389" t="s">
        <v>37</v>
      </c>
      <c r="S389" t="s">
        <v>37</v>
      </c>
      <c r="T389" t="s">
        <v>40</v>
      </c>
      <c r="U389">
        <v>2</v>
      </c>
      <c r="V389" t="s">
        <v>40</v>
      </c>
      <c r="W389" t="s">
        <v>42</v>
      </c>
      <c r="X389" t="s">
        <v>37</v>
      </c>
      <c r="Y389" t="s">
        <v>47</v>
      </c>
      <c r="Z389" t="s">
        <v>37</v>
      </c>
      <c r="AA389">
        <v>3.38</v>
      </c>
      <c r="AB389" t="s">
        <v>37</v>
      </c>
      <c r="AC389">
        <v>3.2</v>
      </c>
      <c r="AD389">
        <v>23</v>
      </c>
      <c r="AE389">
        <v>50000</v>
      </c>
      <c r="AF389" t="str">
        <f>IF(Table1[[#This Row],[What is your current CGPA?]]&gt;=3.5,"High",IF(Table1[[#This Row],[What is your current CGPA?]]&gt;=2.5,"Medium","Low"))</f>
        <v>Medium</v>
      </c>
      <c r="AG389" t="str">
        <f>IF(AND(Table1[[#This Row],[Average attendance on class]]&lt;75,Table1[[#This Row],[How many hour do you study daily?]]&lt;1),"At Risk","Normal")</f>
        <v>Normal</v>
      </c>
      <c r="AH389">
        <f>(Table1[[#This Row],[Average attendance on class]]*0.4)+(Table1[[#This Row],[How many hour do you study daily?]]*10*0.3)+(Table1[[#This Row],[How many hour do you spent daily on your skill development?]]*10*0.3)</f>
        <v>52</v>
      </c>
    </row>
    <row r="390" spans="1:34" x14ac:dyDescent="0.25">
      <c r="A390">
        <v>2020</v>
      </c>
      <c r="B390" t="s">
        <v>34</v>
      </c>
      <c r="C390">
        <v>22</v>
      </c>
      <c r="D390">
        <v>2018</v>
      </c>
      <c r="E390" t="s">
        <v>35</v>
      </c>
      <c r="F390">
        <v>6</v>
      </c>
      <c r="G390" t="s">
        <v>37</v>
      </c>
      <c r="H390" t="s">
        <v>37</v>
      </c>
      <c r="I390">
        <v>5</v>
      </c>
      <c r="J390">
        <v>2</v>
      </c>
      <c r="K390" t="s">
        <v>38</v>
      </c>
      <c r="L390" t="s">
        <v>36</v>
      </c>
      <c r="M390" t="s">
        <v>37</v>
      </c>
      <c r="N390">
        <v>3</v>
      </c>
      <c r="O390" t="s">
        <v>39</v>
      </c>
      <c r="P390">
        <v>90</v>
      </c>
      <c r="Q390" t="s">
        <v>37</v>
      </c>
      <c r="R390" t="s">
        <v>37</v>
      </c>
      <c r="S390" t="s">
        <v>36</v>
      </c>
      <c r="T390" t="s">
        <v>40</v>
      </c>
      <c r="U390">
        <v>3</v>
      </c>
      <c r="V390" t="s">
        <v>40</v>
      </c>
      <c r="W390" t="s">
        <v>42</v>
      </c>
      <c r="X390" t="s">
        <v>37</v>
      </c>
      <c r="Y390" t="s">
        <v>43</v>
      </c>
      <c r="Z390" t="s">
        <v>37</v>
      </c>
      <c r="AA390">
        <v>3.98</v>
      </c>
      <c r="AB390" t="s">
        <v>37</v>
      </c>
      <c r="AC390">
        <v>3.97</v>
      </c>
      <c r="AD390">
        <v>58</v>
      </c>
      <c r="AE390">
        <v>70000</v>
      </c>
      <c r="AF390" t="str">
        <f>IF(Table1[[#This Row],[What is your current CGPA?]]&gt;=3.5,"High",IF(Table1[[#This Row],[What is your current CGPA?]]&gt;=2.5,"Medium","Low"))</f>
        <v>High</v>
      </c>
      <c r="AG390" t="str">
        <f>IF(AND(Table1[[#This Row],[Average attendance on class]]&lt;75,Table1[[#This Row],[How many hour do you study daily?]]&lt;1),"At Risk","Normal")</f>
        <v>Normal</v>
      </c>
      <c r="AH390">
        <f>(Table1[[#This Row],[Average attendance on class]]*0.4)+(Table1[[#This Row],[How many hour do you study daily?]]*10*0.3)+(Table1[[#This Row],[How many hour do you spent daily on your skill development?]]*10*0.3)</f>
        <v>60</v>
      </c>
    </row>
    <row r="391" spans="1:34" x14ac:dyDescent="0.25">
      <c r="A391">
        <v>2022</v>
      </c>
      <c r="B391" t="s">
        <v>34</v>
      </c>
      <c r="C391">
        <v>22</v>
      </c>
      <c r="D391">
        <v>2015</v>
      </c>
      <c r="E391" t="s">
        <v>35</v>
      </c>
      <c r="F391">
        <v>2</v>
      </c>
      <c r="G391" t="s">
        <v>36</v>
      </c>
      <c r="H391" t="s">
        <v>37</v>
      </c>
      <c r="I391">
        <v>2</v>
      </c>
      <c r="J391">
        <v>2</v>
      </c>
      <c r="K391" t="s">
        <v>44</v>
      </c>
      <c r="L391" t="s">
        <v>36</v>
      </c>
      <c r="M391" t="s">
        <v>36</v>
      </c>
      <c r="N391">
        <v>1</v>
      </c>
      <c r="O391" t="s">
        <v>45</v>
      </c>
      <c r="P391">
        <v>95</v>
      </c>
      <c r="Q391" t="s">
        <v>36</v>
      </c>
      <c r="R391" t="s">
        <v>37</v>
      </c>
      <c r="S391" t="s">
        <v>36</v>
      </c>
      <c r="T391" t="s">
        <v>40</v>
      </c>
      <c r="U391">
        <v>1</v>
      </c>
      <c r="V391" t="s">
        <v>40</v>
      </c>
      <c r="W391" t="s">
        <v>42</v>
      </c>
      <c r="X391" t="s">
        <v>36</v>
      </c>
      <c r="Y391" t="s">
        <v>43</v>
      </c>
      <c r="Z391" t="s">
        <v>36</v>
      </c>
      <c r="AA391">
        <v>2.1</v>
      </c>
      <c r="AB391" t="s">
        <v>37</v>
      </c>
      <c r="AC391">
        <v>2.1</v>
      </c>
      <c r="AD391">
        <v>14</v>
      </c>
      <c r="AE391">
        <v>25000</v>
      </c>
      <c r="AF391" t="str">
        <f>IF(Table1[[#This Row],[What is your current CGPA?]]&gt;=3.5,"High",IF(Table1[[#This Row],[What is your current CGPA?]]&gt;=2.5,"Medium","Low"))</f>
        <v>Low</v>
      </c>
      <c r="AG391" t="str">
        <f>IF(AND(Table1[[#This Row],[Average attendance on class]]&lt;75,Table1[[#This Row],[How many hour do you study daily?]]&lt;1),"At Risk","Normal")</f>
        <v>Normal</v>
      </c>
      <c r="AH391">
        <f>(Table1[[#This Row],[Average attendance on class]]*0.4)+(Table1[[#This Row],[How many hour do you study daily?]]*10*0.3)+(Table1[[#This Row],[How many hour do you spent daily on your skill development?]]*10*0.3)</f>
        <v>47</v>
      </c>
    </row>
    <row r="392" spans="1:34" x14ac:dyDescent="0.25">
      <c r="A392">
        <v>2020</v>
      </c>
      <c r="B392" t="s">
        <v>48</v>
      </c>
      <c r="C392">
        <v>21</v>
      </c>
      <c r="D392">
        <v>2019</v>
      </c>
      <c r="E392" t="s">
        <v>35</v>
      </c>
      <c r="F392">
        <v>8</v>
      </c>
      <c r="G392" t="s">
        <v>36</v>
      </c>
      <c r="H392" t="s">
        <v>37</v>
      </c>
      <c r="I392">
        <v>3</v>
      </c>
      <c r="J392">
        <v>1</v>
      </c>
      <c r="K392" t="s">
        <v>38</v>
      </c>
      <c r="L392" t="s">
        <v>36</v>
      </c>
      <c r="M392" t="s">
        <v>36</v>
      </c>
      <c r="N392">
        <v>5</v>
      </c>
      <c r="O392" t="s">
        <v>39</v>
      </c>
      <c r="P392">
        <v>80</v>
      </c>
      <c r="Q392" t="s">
        <v>36</v>
      </c>
      <c r="R392" t="s">
        <v>37</v>
      </c>
      <c r="S392" t="s">
        <v>37</v>
      </c>
      <c r="T392" t="s">
        <v>40</v>
      </c>
      <c r="U392">
        <v>1</v>
      </c>
      <c r="V392" t="s">
        <v>41</v>
      </c>
      <c r="W392" t="s">
        <v>42</v>
      </c>
      <c r="X392" t="s">
        <v>36</v>
      </c>
      <c r="Y392" t="s">
        <v>43</v>
      </c>
      <c r="Z392" t="s">
        <v>37</v>
      </c>
      <c r="AA392">
        <v>2.72</v>
      </c>
      <c r="AB392" t="s">
        <v>37</v>
      </c>
      <c r="AC392">
        <v>2.25</v>
      </c>
      <c r="AD392">
        <v>62</v>
      </c>
      <c r="AE392">
        <v>60000</v>
      </c>
      <c r="AF392" t="str">
        <f>IF(Table1[[#This Row],[What is your current CGPA?]]&gt;=3.5,"High",IF(Table1[[#This Row],[What is your current CGPA?]]&gt;=2.5,"Medium","Low"))</f>
        <v>Low</v>
      </c>
      <c r="AG392" t="str">
        <f>IF(AND(Table1[[#This Row],[Average attendance on class]]&lt;75,Table1[[#This Row],[How many hour do you study daily?]]&lt;1),"At Risk","Normal")</f>
        <v>Normal</v>
      </c>
      <c r="AH392">
        <f>(Table1[[#This Row],[Average attendance on class]]*0.4)+(Table1[[#This Row],[How many hour do you study daily?]]*10*0.3)+(Table1[[#This Row],[How many hour do you spent daily on your skill development?]]*10*0.3)</f>
        <v>44</v>
      </c>
    </row>
    <row r="393" spans="1:34" x14ac:dyDescent="0.25">
      <c r="A393">
        <v>2021</v>
      </c>
      <c r="B393" t="s">
        <v>48</v>
      </c>
      <c r="C393">
        <v>22</v>
      </c>
      <c r="D393">
        <v>2020</v>
      </c>
      <c r="E393" t="s">
        <v>35</v>
      </c>
      <c r="F393">
        <v>3</v>
      </c>
      <c r="G393" t="s">
        <v>36</v>
      </c>
      <c r="H393" t="s">
        <v>36</v>
      </c>
      <c r="I393">
        <v>3</v>
      </c>
      <c r="J393">
        <v>1</v>
      </c>
      <c r="K393" t="s">
        <v>38</v>
      </c>
      <c r="L393" t="s">
        <v>37</v>
      </c>
      <c r="M393" t="s">
        <v>36</v>
      </c>
      <c r="N393">
        <v>3</v>
      </c>
      <c r="O393" t="s">
        <v>53</v>
      </c>
      <c r="P393">
        <v>98</v>
      </c>
      <c r="Q393" t="s">
        <v>37</v>
      </c>
      <c r="R393" t="s">
        <v>37</v>
      </c>
      <c r="S393" t="s">
        <v>36</v>
      </c>
      <c r="T393" t="s">
        <v>61</v>
      </c>
      <c r="U393">
        <v>4</v>
      </c>
      <c r="V393" t="s">
        <v>49</v>
      </c>
      <c r="W393" t="s">
        <v>42</v>
      </c>
      <c r="X393" t="s">
        <v>37</v>
      </c>
      <c r="Y393" t="s">
        <v>47</v>
      </c>
      <c r="Z393" t="s">
        <v>36</v>
      </c>
      <c r="AA393">
        <v>3.3</v>
      </c>
      <c r="AB393" t="s">
        <v>36</v>
      </c>
      <c r="AC393">
        <v>3.39</v>
      </c>
      <c r="AD393">
        <v>23</v>
      </c>
      <c r="AE393">
        <v>50000</v>
      </c>
      <c r="AF393" t="str">
        <f>IF(Table1[[#This Row],[What is your current CGPA?]]&gt;=3.5,"High",IF(Table1[[#This Row],[What is your current CGPA?]]&gt;=2.5,"Medium","Low"))</f>
        <v>Medium</v>
      </c>
      <c r="AG393" t="str">
        <f>IF(AND(Table1[[#This Row],[Average attendance on class]]&lt;75,Table1[[#This Row],[How many hour do you study daily?]]&lt;1),"At Risk","Normal")</f>
        <v>Normal</v>
      </c>
      <c r="AH393">
        <f>(Table1[[#This Row],[Average attendance on class]]*0.4)+(Table1[[#This Row],[How many hour do you study daily?]]*10*0.3)+(Table1[[#This Row],[How many hour do you spent daily on your skill development?]]*10*0.3)</f>
        <v>60.2</v>
      </c>
    </row>
    <row r="394" spans="1:34" x14ac:dyDescent="0.25">
      <c r="A394">
        <v>2021</v>
      </c>
      <c r="B394" t="s">
        <v>34</v>
      </c>
      <c r="C394">
        <v>21</v>
      </c>
      <c r="D394">
        <v>2020</v>
      </c>
      <c r="E394" t="s">
        <v>35</v>
      </c>
      <c r="F394">
        <v>3</v>
      </c>
      <c r="G394" t="s">
        <v>36</v>
      </c>
      <c r="H394" t="s">
        <v>37</v>
      </c>
      <c r="I394">
        <v>4</v>
      </c>
      <c r="J394">
        <v>1</v>
      </c>
      <c r="K394" t="s">
        <v>38</v>
      </c>
      <c r="L394" t="s">
        <v>36</v>
      </c>
      <c r="M394" t="s">
        <v>36</v>
      </c>
      <c r="N394">
        <v>2</v>
      </c>
      <c r="O394" t="s">
        <v>53</v>
      </c>
      <c r="P394">
        <v>100</v>
      </c>
      <c r="Q394" t="s">
        <v>37</v>
      </c>
      <c r="R394" t="s">
        <v>37</v>
      </c>
      <c r="S394" t="s">
        <v>36</v>
      </c>
      <c r="T394" t="s">
        <v>40</v>
      </c>
      <c r="U394">
        <v>3</v>
      </c>
      <c r="V394" t="s">
        <v>40</v>
      </c>
      <c r="W394" t="s">
        <v>42</v>
      </c>
      <c r="X394" t="s">
        <v>37</v>
      </c>
      <c r="Y394" t="s">
        <v>43</v>
      </c>
      <c r="Z394" t="s">
        <v>37</v>
      </c>
      <c r="AA394">
        <v>4</v>
      </c>
      <c r="AB394" t="s">
        <v>37</v>
      </c>
      <c r="AC394">
        <v>3.72</v>
      </c>
      <c r="AD394">
        <v>23</v>
      </c>
      <c r="AE394">
        <v>30000</v>
      </c>
      <c r="AF394" t="str">
        <f>IF(Table1[[#This Row],[What is your current CGPA?]]&gt;=3.5,"High",IF(Table1[[#This Row],[What is your current CGPA?]]&gt;=2.5,"Medium","Low"))</f>
        <v>High</v>
      </c>
      <c r="AG394" t="str">
        <f>IF(AND(Table1[[#This Row],[Average attendance on class]]&lt;75,Table1[[#This Row],[How many hour do you study daily?]]&lt;1),"At Risk","Normal")</f>
        <v>Normal</v>
      </c>
      <c r="AH394">
        <f>(Table1[[#This Row],[Average attendance on class]]*0.4)+(Table1[[#This Row],[How many hour do you study daily?]]*10*0.3)+(Table1[[#This Row],[How many hour do you spent daily on your skill development?]]*10*0.3)</f>
        <v>61</v>
      </c>
    </row>
    <row r="395" spans="1:34" x14ac:dyDescent="0.25">
      <c r="A395">
        <v>2022</v>
      </c>
      <c r="B395" t="s">
        <v>34</v>
      </c>
      <c r="C395">
        <v>20</v>
      </c>
      <c r="D395">
        <v>2019</v>
      </c>
      <c r="E395" t="s">
        <v>35</v>
      </c>
      <c r="F395">
        <v>2</v>
      </c>
      <c r="G395" t="s">
        <v>37</v>
      </c>
      <c r="H395" t="s">
        <v>37</v>
      </c>
      <c r="I395">
        <v>2</v>
      </c>
      <c r="J395">
        <v>2</v>
      </c>
      <c r="K395" t="s">
        <v>38</v>
      </c>
      <c r="L395" t="s">
        <v>36</v>
      </c>
      <c r="M395" t="s">
        <v>36</v>
      </c>
      <c r="N395">
        <v>3</v>
      </c>
      <c r="O395" t="s">
        <v>45</v>
      </c>
      <c r="P395">
        <v>90</v>
      </c>
      <c r="Q395" t="s">
        <v>37</v>
      </c>
      <c r="R395" t="s">
        <v>36</v>
      </c>
      <c r="S395" t="s">
        <v>36</v>
      </c>
      <c r="T395" t="s">
        <v>51</v>
      </c>
      <c r="U395">
        <v>2</v>
      </c>
      <c r="V395" t="s">
        <v>51</v>
      </c>
      <c r="W395" t="s">
        <v>42</v>
      </c>
      <c r="X395" t="s">
        <v>37</v>
      </c>
      <c r="Y395" t="s">
        <v>43</v>
      </c>
      <c r="Z395" t="s">
        <v>37</v>
      </c>
      <c r="AA395">
        <v>3.1</v>
      </c>
      <c r="AB395" t="s">
        <v>37</v>
      </c>
      <c r="AC395">
        <v>3.1</v>
      </c>
      <c r="AD395">
        <v>12</v>
      </c>
      <c r="AE395">
        <v>20000</v>
      </c>
      <c r="AF395" t="str">
        <f>IF(Table1[[#This Row],[What is your current CGPA?]]&gt;=3.5,"High",IF(Table1[[#This Row],[What is your current CGPA?]]&gt;=2.5,"Medium","Low"))</f>
        <v>Medium</v>
      </c>
      <c r="AG395" t="str">
        <f>IF(AND(Table1[[#This Row],[Average attendance on class]]&lt;75,Table1[[#This Row],[How many hour do you study daily?]]&lt;1),"At Risk","Normal")</f>
        <v>Normal</v>
      </c>
      <c r="AH395">
        <f>(Table1[[#This Row],[Average attendance on class]]*0.4)+(Table1[[#This Row],[How many hour do you study daily?]]*10*0.3)+(Table1[[#This Row],[How many hour do you spent daily on your skill development?]]*10*0.3)</f>
        <v>48</v>
      </c>
    </row>
    <row r="396" spans="1:34" x14ac:dyDescent="0.25">
      <c r="A396">
        <v>2021</v>
      </c>
      <c r="B396" t="s">
        <v>48</v>
      </c>
      <c r="C396">
        <v>20</v>
      </c>
      <c r="D396">
        <v>2019</v>
      </c>
      <c r="E396" t="s">
        <v>35</v>
      </c>
      <c r="F396">
        <v>3</v>
      </c>
      <c r="G396" t="s">
        <v>36</v>
      </c>
      <c r="H396" t="s">
        <v>37</v>
      </c>
      <c r="I396">
        <v>1</v>
      </c>
      <c r="J396">
        <v>1</v>
      </c>
      <c r="K396" t="s">
        <v>38</v>
      </c>
      <c r="L396" t="s">
        <v>36</v>
      </c>
      <c r="M396" t="s">
        <v>36</v>
      </c>
      <c r="N396">
        <v>3</v>
      </c>
      <c r="O396" t="s">
        <v>53</v>
      </c>
      <c r="P396">
        <v>90</v>
      </c>
      <c r="Q396" t="s">
        <v>36</v>
      </c>
      <c r="R396" t="s">
        <v>37</v>
      </c>
      <c r="S396" t="s">
        <v>36</v>
      </c>
      <c r="T396" t="s">
        <v>40</v>
      </c>
      <c r="U396">
        <v>1</v>
      </c>
      <c r="V396" t="s">
        <v>40</v>
      </c>
      <c r="W396" t="s">
        <v>42</v>
      </c>
      <c r="X396" t="s">
        <v>37</v>
      </c>
      <c r="Y396" t="s">
        <v>43</v>
      </c>
      <c r="Z396" t="s">
        <v>37</v>
      </c>
      <c r="AA396">
        <v>2.56</v>
      </c>
      <c r="AB396" t="s">
        <v>37</v>
      </c>
      <c r="AC396">
        <v>2.0099999999999998</v>
      </c>
      <c r="AD396">
        <v>23</v>
      </c>
      <c r="AE396">
        <v>35000</v>
      </c>
      <c r="AF396" t="str">
        <f>IF(Table1[[#This Row],[What is your current CGPA?]]&gt;=3.5,"High",IF(Table1[[#This Row],[What is your current CGPA?]]&gt;=2.5,"Medium","Low"))</f>
        <v>Low</v>
      </c>
      <c r="AG396" t="str">
        <f>IF(AND(Table1[[#This Row],[Average attendance on class]]&lt;75,Table1[[#This Row],[How many hour do you study daily?]]&lt;1),"At Risk","Normal")</f>
        <v>Normal</v>
      </c>
      <c r="AH396">
        <f>(Table1[[#This Row],[Average attendance on class]]*0.4)+(Table1[[#This Row],[How many hour do you study daily?]]*10*0.3)+(Table1[[#This Row],[How many hour do you spent daily on your skill development?]]*10*0.3)</f>
        <v>42</v>
      </c>
    </row>
    <row r="397" spans="1:34" x14ac:dyDescent="0.25">
      <c r="A397">
        <v>2020</v>
      </c>
      <c r="B397" t="s">
        <v>48</v>
      </c>
      <c r="C397">
        <v>20</v>
      </c>
      <c r="D397">
        <v>2020</v>
      </c>
      <c r="E397" t="s">
        <v>35</v>
      </c>
      <c r="F397">
        <v>2</v>
      </c>
      <c r="G397" t="s">
        <v>36</v>
      </c>
      <c r="H397" t="s">
        <v>36</v>
      </c>
      <c r="I397">
        <v>2</v>
      </c>
      <c r="J397">
        <v>3</v>
      </c>
      <c r="K397" t="s">
        <v>38</v>
      </c>
      <c r="L397" t="s">
        <v>36</v>
      </c>
      <c r="M397" t="s">
        <v>36</v>
      </c>
      <c r="N397">
        <v>12</v>
      </c>
      <c r="O397" t="s">
        <v>39</v>
      </c>
      <c r="P397">
        <v>80</v>
      </c>
      <c r="Q397" t="s">
        <v>37</v>
      </c>
      <c r="R397" t="s">
        <v>37</v>
      </c>
      <c r="S397" t="s">
        <v>37</v>
      </c>
      <c r="T397" t="s">
        <v>88</v>
      </c>
      <c r="U397">
        <v>1</v>
      </c>
      <c r="V397" t="s">
        <v>40</v>
      </c>
      <c r="W397" t="s">
        <v>57</v>
      </c>
      <c r="X397" t="s">
        <v>36</v>
      </c>
      <c r="Y397" t="s">
        <v>43</v>
      </c>
      <c r="Z397" t="s">
        <v>36</v>
      </c>
      <c r="AA397">
        <v>3.21</v>
      </c>
      <c r="AB397" t="s">
        <v>37</v>
      </c>
      <c r="AC397">
        <v>3.21</v>
      </c>
      <c r="AD397">
        <v>12</v>
      </c>
      <c r="AE397">
        <v>30000</v>
      </c>
      <c r="AF397" t="str">
        <f>IF(Table1[[#This Row],[What is your current CGPA?]]&gt;=3.5,"High",IF(Table1[[#This Row],[What is your current CGPA?]]&gt;=2.5,"Medium","Low"))</f>
        <v>Medium</v>
      </c>
      <c r="AG397" t="str">
        <f>IF(AND(Table1[[#This Row],[Average attendance on class]]&lt;75,Table1[[#This Row],[How many hour do you study daily?]]&lt;1),"At Risk","Normal")</f>
        <v>Normal</v>
      </c>
      <c r="AH397">
        <f>(Table1[[#This Row],[Average attendance on class]]*0.4)+(Table1[[#This Row],[How many hour do you study daily?]]*10*0.3)+(Table1[[#This Row],[How many hour do you spent daily on your skill development?]]*10*0.3)</f>
        <v>41</v>
      </c>
    </row>
    <row r="398" spans="1:34" x14ac:dyDescent="0.25">
      <c r="A398">
        <v>2022</v>
      </c>
      <c r="B398" t="s">
        <v>48</v>
      </c>
      <c r="C398">
        <v>19</v>
      </c>
      <c r="D398">
        <v>2021</v>
      </c>
      <c r="E398" t="s">
        <v>35</v>
      </c>
      <c r="F398">
        <v>1</v>
      </c>
      <c r="G398" t="s">
        <v>36</v>
      </c>
      <c r="H398" t="s">
        <v>36</v>
      </c>
      <c r="I398">
        <v>6</v>
      </c>
      <c r="J398">
        <v>2</v>
      </c>
      <c r="K398" t="s">
        <v>38</v>
      </c>
      <c r="L398" t="s">
        <v>36</v>
      </c>
      <c r="M398" t="s">
        <v>36</v>
      </c>
      <c r="N398">
        <v>2</v>
      </c>
      <c r="O398" t="s">
        <v>39</v>
      </c>
      <c r="P398">
        <v>95</v>
      </c>
      <c r="Q398" t="s">
        <v>37</v>
      </c>
      <c r="R398" t="s">
        <v>37</v>
      </c>
      <c r="S398" t="s">
        <v>37</v>
      </c>
      <c r="T398" t="s">
        <v>40</v>
      </c>
      <c r="U398">
        <v>2</v>
      </c>
      <c r="V398" t="s">
        <v>40</v>
      </c>
      <c r="W398" t="s">
        <v>42</v>
      </c>
      <c r="X398" t="s">
        <v>37</v>
      </c>
      <c r="Y398" t="s">
        <v>47</v>
      </c>
      <c r="Z398" t="s">
        <v>37</v>
      </c>
      <c r="AA398">
        <v>0</v>
      </c>
      <c r="AB398" t="s">
        <v>37</v>
      </c>
      <c r="AC398">
        <v>0</v>
      </c>
      <c r="AD398">
        <v>0</v>
      </c>
      <c r="AE398">
        <v>70000</v>
      </c>
      <c r="AF398" t="str">
        <f>IF(Table1[[#This Row],[What is your current CGPA?]]&gt;=3.5,"High",IF(Table1[[#This Row],[What is your current CGPA?]]&gt;=2.5,"Medium","Low"))</f>
        <v>Low</v>
      </c>
      <c r="AG398" t="str">
        <f>IF(AND(Table1[[#This Row],[Average attendance on class]]&lt;75,Table1[[#This Row],[How many hour do you study daily?]]&lt;1),"At Risk","Normal")</f>
        <v>Normal</v>
      </c>
      <c r="AH398">
        <f>(Table1[[#This Row],[Average attendance on class]]*0.4)+(Table1[[#This Row],[How many hour do you study daily?]]*10*0.3)+(Table1[[#This Row],[How many hour do you spent daily on your skill development?]]*10*0.3)</f>
        <v>62</v>
      </c>
    </row>
    <row r="399" spans="1:34" x14ac:dyDescent="0.25">
      <c r="A399">
        <v>2022</v>
      </c>
      <c r="B399" t="s">
        <v>34</v>
      </c>
      <c r="C399">
        <v>19</v>
      </c>
      <c r="D399">
        <v>2020</v>
      </c>
      <c r="E399" t="s">
        <v>35</v>
      </c>
      <c r="F399">
        <v>12</v>
      </c>
      <c r="G399" t="s">
        <v>37</v>
      </c>
      <c r="H399" t="s">
        <v>37</v>
      </c>
      <c r="I399">
        <v>4</v>
      </c>
      <c r="J399">
        <v>2</v>
      </c>
      <c r="K399" t="s">
        <v>38</v>
      </c>
      <c r="L399" t="s">
        <v>36</v>
      </c>
      <c r="M399" t="s">
        <v>37</v>
      </c>
      <c r="N399">
        <v>3</v>
      </c>
      <c r="O399" t="s">
        <v>39</v>
      </c>
      <c r="P399">
        <v>75</v>
      </c>
      <c r="Q399" t="s">
        <v>36</v>
      </c>
      <c r="R399" t="s">
        <v>37</v>
      </c>
      <c r="S399" t="s">
        <v>36</v>
      </c>
      <c r="T399" t="s">
        <v>40</v>
      </c>
      <c r="U399">
        <v>1</v>
      </c>
      <c r="V399" t="s">
        <v>40</v>
      </c>
      <c r="W399" t="s">
        <v>42</v>
      </c>
      <c r="X399" t="s">
        <v>36</v>
      </c>
      <c r="Y399" t="s">
        <v>47</v>
      </c>
      <c r="Z399" t="s">
        <v>36</v>
      </c>
      <c r="AA399">
        <v>3.38</v>
      </c>
      <c r="AB399" t="s">
        <v>37</v>
      </c>
      <c r="AC399">
        <v>3.38</v>
      </c>
      <c r="AD399">
        <v>14</v>
      </c>
      <c r="AE399">
        <v>15000</v>
      </c>
      <c r="AF399" t="str">
        <f>IF(Table1[[#This Row],[What is your current CGPA?]]&gt;=3.5,"High",IF(Table1[[#This Row],[What is your current CGPA?]]&gt;=2.5,"Medium","Low"))</f>
        <v>Medium</v>
      </c>
      <c r="AG399" t="str">
        <f>IF(AND(Table1[[#This Row],[Average attendance on class]]&lt;75,Table1[[#This Row],[How many hour do you study daily?]]&lt;1),"At Risk","Normal")</f>
        <v>Normal</v>
      </c>
      <c r="AH399">
        <f>(Table1[[#This Row],[Average attendance on class]]*0.4)+(Table1[[#This Row],[How many hour do you study daily?]]*10*0.3)+(Table1[[#This Row],[How many hour do you spent daily on your skill development?]]*10*0.3)</f>
        <v>45</v>
      </c>
    </row>
    <row r="400" spans="1:34" x14ac:dyDescent="0.25">
      <c r="A400">
        <v>2022</v>
      </c>
      <c r="B400" t="s">
        <v>48</v>
      </c>
      <c r="C400">
        <v>19</v>
      </c>
      <c r="D400">
        <v>2021</v>
      </c>
      <c r="E400" t="s">
        <v>35</v>
      </c>
      <c r="F400">
        <v>1</v>
      </c>
      <c r="G400" t="s">
        <v>36</v>
      </c>
      <c r="H400" t="s">
        <v>37</v>
      </c>
      <c r="I400">
        <v>3</v>
      </c>
      <c r="J400">
        <v>2</v>
      </c>
      <c r="K400" t="s">
        <v>38</v>
      </c>
      <c r="L400" t="s">
        <v>36</v>
      </c>
      <c r="M400" t="s">
        <v>37</v>
      </c>
      <c r="N400">
        <v>2</v>
      </c>
      <c r="O400" t="s">
        <v>45</v>
      </c>
      <c r="P400">
        <v>92</v>
      </c>
      <c r="Q400" t="s">
        <v>37</v>
      </c>
      <c r="R400" t="s">
        <v>37</v>
      </c>
      <c r="S400" t="s">
        <v>37</v>
      </c>
      <c r="T400" t="s">
        <v>40</v>
      </c>
      <c r="U400">
        <v>1</v>
      </c>
      <c r="V400" t="s">
        <v>40</v>
      </c>
      <c r="W400" t="s">
        <v>42</v>
      </c>
      <c r="X400" t="s">
        <v>37</v>
      </c>
      <c r="Y400" t="s">
        <v>47</v>
      </c>
      <c r="Z400" t="s">
        <v>37</v>
      </c>
      <c r="AA400">
        <v>3.15</v>
      </c>
      <c r="AB400" t="s">
        <v>37</v>
      </c>
      <c r="AC400">
        <v>3.15</v>
      </c>
      <c r="AD400">
        <v>11</v>
      </c>
      <c r="AE400">
        <v>50000</v>
      </c>
      <c r="AF400" t="str">
        <f>IF(Table1[[#This Row],[What is your current CGPA?]]&gt;=3.5,"High",IF(Table1[[#This Row],[What is your current CGPA?]]&gt;=2.5,"Medium","Low"))</f>
        <v>Medium</v>
      </c>
      <c r="AG400" t="str">
        <f>IF(AND(Table1[[#This Row],[Average attendance on class]]&lt;75,Table1[[#This Row],[How many hour do you study daily?]]&lt;1),"At Risk","Normal")</f>
        <v>Normal</v>
      </c>
      <c r="AH400">
        <f>(Table1[[#This Row],[Average attendance on class]]*0.4)+(Table1[[#This Row],[How many hour do you study daily?]]*10*0.3)+(Table1[[#This Row],[How many hour do you spent daily on your skill development?]]*10*0.3)</f>
        <v>48.800000000000004</v>
      </c>
    </row>
    <row r="401" spans="1:34" x14ac:dyDescent="0.25">
      <c r="A401">
        <v>2022</v>
      </c>
      <c r="B401" t="s">
        <v>34</v>
      </c>
      <c r="C401">
        <v>21</v>
      </c>
      <c r="D401">
        <v>2020</v>
      </c>
      <c r="E401" t="s">
        <v>35</v>
      </c>
      <c r="F401">
        <v>2</v>
      </c>
      <c r="G401" t="s">
        <v>37</v>
      </c>
      <c r="H401" t="s">
        <v>37</v>
      </c>
      <c r="I401">
        <v>1</v>
      </c>
      <c r="J401">
        <v>1</v>
      </c>
      <c r="K401" t="s">
        <v>38</v>
      </c>
      <c r="L401" t="s">
        <v>36</v>
      </c>
      <c r="M401" t="s">
        <v>36</v>
      </c>
      <c r="N401">
        <v>4</v>
      </c>
      <c r="O401" t="s">
        <v>45</v>
      </c>
      <c r="P401">
        <v>95</v>
      </c>
      <c r="Q401" t="s">
        <v>36</v>
      </c>
      <c r="R401" t="s">
        <v>37</v>
      </c>
      <c r="S401" t="s">
        <v>36</v>
      </c>
      <c r="T401" t="s">
        <v>40</v>
      </c>
      <c r="U401">
        <v>2</v>
      </c>
      <c r="V401" t="s">
        <v>40</v>
      </c>
      <c r="W401" t="s">
        <v>42</v>
      </c>
      <c r="X401" t="s">
        <v>36</v>
      </c>
      <c r="Y401" t="s">
        <v>43</v>
      </c>
      <c r="Z401" t="s">
        <v>37</v>
      </c>
      <c r="AA401">
        <v>3.9</v>
      </c>
      <c r="AB401" t="s">
        <v>37</v>
      </c>
      <c r="AC401">
        <v>3.9</v>
      </c>
      <c r="AD401">
        <v>11</v>
      </c>
      <c r="AE401">
        <v>30000</v>
      </c>
      <c r="AF401" t="str">
        <f>IF(Table1[[#This Row],[What is your current CGPA?]]&gt;=3.5,"High",IF(Table1[[#This Row],[What is your current CGPA?]]&gt;=2.5,"Medium","Low"))</f>
        <v>High</v>
      </c>
      <c r="AG401" t="str">
        <f>IF(AND(Table1[[#This Row],[Average attendance on class]]&lt;75,Table1[[#This Row],[How many hour do you study daily?]]&lt;1),"At Risk","Normal")</f>
        <v>Normal</v>
      </c>
      <c r="AH401">
        <f>(Table1[[#This Row],[Average attendance on class]]*0.4)+(Table1[[#This Row],[How many hour do you study daily?]]*10*0.3)+(Table1[[#This Row],[How many hour do you spent daily on your skill development?]]*10*0.3)</f>
        <v>47</v>
      </c>
    </row>
    <row r="402" spans="1:34" x14ac:dyDescent="0.25">
      <c r="A402">
        <v>2022</v>
      </c>
      <c r="B402" t="s">
        <v>34</v>
      </c>
      <c r="C402">
        <v>20</v>
      </c>
      <c r="D402">
        <v>2020</v>
      </c>
      <c r="E402" t="s">
        <v>35</v>
      </c>
      <c r="F402">
        <v>2</v>
      </c>
      <c r="G402" t="s">
        <v>36</v>
      </c>
      <c r="H402" t="s">
        <v>36</v>
      </c>
      <c r="I402">
        <v>2</v>
      </c>
      <c r="J402">
        <v>1</v>
      </c>
      <c r="K402" t="s">
        <v>38</v>
      </c>
      <c r="L402" t="s">
        <v>36</v>
      </c>
      <c r="M402" t="s">
        <v>36</v>
      </c>
      <c r="N402">
        <v>1</v>
      </c>
      <c r="O402" t="s">
        <v>39</v>
      </c>
      <c r="P402">
        <v>98</v>
      </c>
      <c r="Q402" t="s">
        <v>37</v>
      </c>
      <c r="R402" t="s">
        <v>37</v>
      </c>
      <c r="S402" t="s">
        <v>36</v>
      </c>
      <c r="T402" t="s">
        <v>40</v>
      </c>
      <c r="U402">
        <v>1</v>
      </c>
      <c r="V402" t="s">
        <v>40</v>
      </c>
      <c r="W402" t="s">
        <v>42</v>
      </c>
      <c r="X402" t="s">
        <v>37</v>
      </c>
      <c r="Y402" t="s">
        <v>47</v>
      </c>
      <c r="Z402" t="s">
        <v>37</v>
      </c>
      <c r="AA402">
        <v>3.95</v>
      </c>
      <c r="AB402" t="s">
        <v>37</v>
      </c>
      <c r="AC402">
        <v>3.95</v>
      </c>
      <c r="AD402">
        <v>12</v>
      </c>
      <c r="AE402">
        <v>50000</v>
      </c>
      <c r="AF402" t="str">
        <f>IF(Table1[[#This Row],[What is your current CGPA?]]&gt;=3.5,"High",IF(Table1[[#This Row],[What is your current CGPA?]]&gt;=2.5,"Medium","Low"))</f>
        <v>High</v>
      </c>
      <c r="AG402" t="str">
        <f>IF(AND(Table1[[#This Row],[Average attendance on class]]&lt;75,Table1[[#This Row],[How many hour do you study daily?]]&lt;1),"At Risk","Normal")</f>
        <v>Normal</v>
      </c>
      <c r="AH402">
        <f>(Table1[[#This Row],[Average attendance on class]]*0.4)+(Table1[[#This Row],[How many hour do you study daily?]]*10*0.3)+(Table1[[#This Row],[How many hour do you spent daily on your skill development?]]*10*0.3)</f>
        <v>48.2</v>
      </c>
    </row>
    <row r="403" spans="1:34" x14ac:dyDescent="0.25">
      <c r="A403">
        <v>2022</v>
      </c>
      <c r="B403" t="s">
        <v>48</v>
      </c>
      <c r="C403">
        <v>20</v>
      </c>
      <c r="D403">
        <v>2020</v>
      </c>
      <c r="E403" t="s">
        <v>35</v>
      </c>
      <c r="F403">
        <v>2</v>
      </c>
      <c r="G403" t="s">
        <v>36</v>
      </c>
      <c r="H403" t="s">
        <v>36</v>
      </c>
      <c r="I403">
        <v>3</v>
      </c>
      <c r="J403">
        <v>2</v>
      </c>
      <c r="K403" t="s">
        <v>38</v>
      </c>
      <c r="L403" t="s">
        <v>36</v>
      </c>
      <c r="M403" t="s">
        <v>36</v>
      </c>
      <c r="N403">
        <v>3</v>
      </c>
      <c r="O403" t="s">
        <v>39</v>
      </c>
      <c r="P403">
        <v>100</v>
      </c>
      <c r="Q403" t="s">
        <v>37</v>
      </c>
      <c r="R403" t="s">
        <v>37</v>
      </c>
      <c r="S403" t="s">
        <v>37</v>
      </c>
      <c r="T403" t="s">
        <v>40</v>
      </c>
      <c r="U403">
        <v>1</v>
      </c>
      <c r="V403" t="s">
        <v>49</v>
      </c>
      <c r="W403" t="s">
        <v>42</v>
      </c>
      <c r="X403" t="s">
        <v>37</v>
      </c>
      <c r="Y403" t="s">
        <v>47</v>
      </c>
      <c r="Z403" t="s">
        <v>37</v>
      </c>
      <c r="AA403">
        <v>3.03</v>
      </c>
      <c r="AB403" t="s">
        <v>37</v>
      </c>
      <c r="AC403">
        <v>3.03</v>
      </c>
      <c r="AD403">
        <v>12</v>
      </c>
      <c r="AE403">
        <v>90000</v>
      </c>
      <c r="AF403" t="str">
        <f>IF(Table1[[#This Row],[What is your current CGPA?]]&gt;=3.5,"High",IF(Table1[[#This Row],[What is your current CGPA?]]&gt;=2.5,"Medium","Low"))</f>
        <v>Medium</v>
      </c>
      <c r="AG403" t="str">
        <f>IF(AND(Table1[[#This Row],[Average attendance on class]]&lt;75,Table1[[#This Row],[How many hour do you study daily?]]&lt;1),"At Risk","Normal")</f>
        <v>Normal</v>
      </c>
      <c r="AH403">
        <f>(Table1[[#This Row],[Average attendance on class]]*0.4)+(Table1[[#This Row],[How many hour do you study daily?]]*10*0.3)+(Table1[[#This Row],[How many hour do you spent daily on your skill development?]]*10*0.3)</f>
        <v>52</v>
      </c>
    </row>
    <row r="404" spans="1:34" x14ac:dyDescent="0.25">
      <c r="A404">
        <v>2018</v>
      </c>
      <c r="B404" t="s">
        <v>48</v>
      </c>
      <c r="C404">
        <v>23</v>
      </c>
      <c r="D404">
        <v>2017</v>
      </c>
      <c r="E404" t="s">
        <v>35</v>
      </c>
      <c r="F404">
        <v>14</v>
      </c>
      <c r="G404" t="s">
        <v>37</v>
      </c>
      <c r="H404" t="s">
        <v>36</v>
      </c>
      <c r="I404">
        <v>7</v>
      </c>
      <c r="J404">
        <v>1</v>
      </c>
      <c r="K404" t="s">
        <v>38</v>
      </c>
      <c r="L404" t="s">
        <v>36</v>
      </c>
      <c r="M404" t="s">
        <v>36</v>
      </c>
      <c r="N404">
        <v>5</v>
      </c>
      <c r="O404" t="s">
        <v>39</v>
      </c>
      <c r="P404">
        <v>60</v>
      </c>
      <c r="Q404" t="s">
        <v>36</v>
      </c>
      <c r="R404" t="s">
        <v>37</v>
      </c>
      <c r="S404" t="s">
        <v>37</v>
      </c>
      <c r="T404" t="s">
        <v>61</v>
      </c>
      <c r="U404">
        <v>2</v>
      </c>
      <c r="V404" t="s">
        <v>49</v>
      </c>
      <c r="W404" t="s">
        <v>50</v>
      </c>
      <c r="X404" t="s">
        <v>36</v>
      </c>
      <c r="Y404" t="s">
        <v>43</v>
      </c>
      <c r="Z404" t="s">
        <v>36</v>
      </c>
      <c r="AA404">
        <v>2.59</v>
      </c>
      <c r="AB404" t="s">
        <v>37</v>
      </c>
      <c r="AC404">
        <v>2.56</v>
      </c>
      <c r="AD404">
        <v>133</v>
      </c>
      <c r="AE404">
        <v>28000</v>
      </c>
      <c r="AF404" t="str">
        <f>IF(Table1[[#This Row],[What is your current CGPA?]]&gt;=3.5,"High",IF(Table1[[#This Row],[What is your current CGPA?]]&gt;=2.5,"Medium","Low"))</f>
        <v>Medium</v>
      </c>
      <c r="AG404" t="str">
        <f>IF(AND(Table1[[#This Row],[Average attendance on class]]&lt;75,Table1[[#This Row],[How many hour do you study daily?]]&lt;1),"At Risk","Normal")</f>
        <v>Normal</v>
      </c>
      <c r="AH404">
        <f>(Table1[[#This Row],[Average attendance on class]]*0.4)+(Table1[[#This Row],[How many hour do you study daily?]]*10*0.3)+(Table1[[#This Row],[How many hour do you spent daily on your skill development?]]*10*0.3)</f>
        <v>51</v>
      </c>
    </row>
    <row r="405" spans="1:34" x14ac:dyDescent="0.25">
      <c r="A405">
        <v>2022</v>
      </c>
      <c r="B405" t="s">
        <v>34</v>
      </c>
      <c r="C405">
        <v>20</v>
      </c>
      <c r="D405">
        <v>2020</v>
      </c>
      <c r="E405" t="s">
        <v>35</v>
      </c>
      <c r="F405">
        <v>1</v>
      </c>
      <c r="G405" t="s">
        <v>36</v>
      </c>
      <c r="H405" t="s">
        <v>37</v>
      </c>
      <c r="I405">
        <v>3</v>
      </c>
      <c r="J405">
        <v>1</v>
      </c>
      <c r="K405" t="s">
        <v>38</v>
      </c>
      <c r="L405" t="s">
        <v>36</v>
      </c>
      <c r="M405" t="s">
        <v>37</v>
      </c>
      <c r="N405">
        <v>2</v>
      </c>
      <c r="O405" t="s">
        <v>53</v>
      </c>
      <c r="P405">
        <v>100</v>
      </c>
      <c r="Q405" t="s">
        <v>37</v>
      </c>
      <c r="R405" t="s">
        <v>37</v>
      </c>
      <c r="S405" t="s">
        <v>36</v>
      </c>
      <c r="T405" t="s">
        <v>40</v>
      </c>
      <c r="U405">
        <v>2</v>
      </c>
      <c r="V405" t="s">
        <v>40</v>
      </c>
      <c r="W405" t="s">
        <v>42</v>
      </c>
      <c r="X405" t="s">
        <v>36</v>
      </c>
      <c r="Y405" t="s">
        <v>43</v>
      </c>
      <c r="Z405" t="s">
        <v>37</v>
      </c>
      <c r="AA405">
        <v>0</v>
      </c>
      <c r="AB405" t="s">
        <v>37</v>
      </c>
      <c r="AC405">
        <v>0</v>
      </c>
      <c r="AD405">
        <v>0</v>
      </c>
      <c r="AE405">
        <v>30000</v>
      </c>
      <c r="AF405" t="str">
        <f>IF(Table1[[#This Row],[What is your current CGPA?]]&gt;=3.5,"High",IF(Table1[[#This Row],[What is your current CGPA?]]&gt;=2.5,"Medium","Low"))</f>
        <v>Low</v>
      </c>
      <c r="AG405" t="str">
        <f>IF(AND(Table1[[#This Row],[Average attendance on class]]&lt;75,Table1[[#This Row],[How many hour do you study daily?]]&lt;1),"At Risk","Normal")</f>
        <v>Normal</v>
      </c>
      <c r="AH405">
        <f>(Table1[[#This Row],[Average attendance on class]]*0.4)+(Table1[[#This Row],[How many hour do you study daily?]]*10*0.3)+(Table1[[#This Row],[How many hour do you spent daily on your skill development?]]*10*0.3)</f>
        <v>55</v>
      </c>
    </row>
    <row r="406" spans="1:34" x14ac:dyDescent="0.25">
      <c r="A406">
        <v>2021</v>
      </c>
      <c r="B406" t="s">
        <v>48</v>
      </c>
      <c r="C406">
        <v>19</v>
      </c>
      <c r="D406">
        <v>2020</v>
      </c>
      <c r="E406" t="s">
        <v>35</v>
      </c>
      <c r="F406">
        <v>3</v>
      </c>
      <c r="G406" t="s">
        <v>36</v>
      </c>
      <c r="H406" t="s">
        <v>36</v>
      </c>
      <c r="I406">
        <v>5</v>
      </c>
      <c r="J406">
        <v>2</v>
      </c>
      <c r="K406" t="s">
        <v>38</v>
      </c>
      <c r="L406" t="s">
        <v>36</v>
      </c>
      <c r="M406" t="s">
        <v>36</v>
      </c>
      <c r="N406">
        <v>4</v>
      </c>
      <c r="O406" t="s">
        <v>39</v>
      </c>
      <c r="P406">
        <v>99</v>
      </c>
      <c r="Q406" t="s">
        <v>37</v>
      </c>
      <c r="R406" t="s">
        <v>37</v>
      </c>
      <c r="S406" t="s">
        <v>36</v>
      </c>
      <c r="T406" t="s">
        <v>40</v>
      </c>
      <c r="U406">
        <v>3</v>
      </c>
      <c r="V406" t="s">
        <v>40</v>
      </c>
      <c r="W406" t="s">
        <v>42</v>
      </c>
      <c r="X406" t="s">
        <v>37</v>
      </c>
      <c r="Y406" t="s">
        <v>47</v>
      </c>
      <c r="Z406" t="s">
        <v>37</v>
      </c>
      <c r="AA406">
        <v>3.45</v>
      </c>
      <c r="AB406" t="s">
        <v>37</v>
      </c>
      <c r="AC406">
        <v>3.3</v>
      </c>
      <c r="AD406">
        <v>25</v>
      </c>
      <c r="AE406">
        <v>25000</v>
      </c>
      <c r="AF406" t="str">
        <f>IF(Table1[[#This Row],[What is your current CGPA?]]&gt;=3.5,"High",IF(Table1[[#This Row],[What is your current CGPA?]]&gt;=2.5,"Medium","Low"))</f>
        <v>Medium</v>
      </c>
      <c r="AG406" t="str">
        <f>IF(AND(Table1[[#This Row],[Average attendance on class]]&lt;75,Table1[[#This Row],[How many hour do you study daily?]]&lt;1),"At Risk","Normal")</f>
        <v>Normal</v>
      </c>
      <c r="AH406">
        <f>(Table1[[#This Row],[Average attendance on class]]*0.4)+(Table1[[#This Row],[How many hour do you study daily?]]*10*0.3)+(Table1[[#This Row],[How many hour do you spent daily on your skill development?]]*10*0.3)</f>
        <v>63.6</v>
      </c>
    </row>
    <row r="407" spans="1:34" x14ac:dyDescent="0.25">
      <c r="A407">
        <v>2022</v>
      </c>
      <c r="B407" t="s">
        <v>34</v>
      </c>
      <c r="C407">
        <v>20</v>
      </c>
      <c r="D407">
        <v>2021</v>
      </c>
      <c r="E407" t="s">
        <v>35</v>
      </c>
      <c r="F407">
        <v>2</v>
      </c>
      <c r="G407" t="s">
        <v>37</v>
      </c>
      <c r="H407" t="s">
        <v>36</v>
      </c>
      <c r="I407">
        <v>1</v>
      </c>
      <c r="J407">
        <v>1</v>
      </c>
      <c r="K407" t="s">
        <v>38</v>
      </c>
      <c r="L407" t="s">
        <v>36</v>
      </c>
      <c r="M407" t="s">
        <v>37</v>
      </c>
      <c r="N407">
        <v>4</v>
      </c>
      <c r="O407" t="s">
        <v>45</v>
      </c>
      <c r="P407">
        <v>85</v>
      </c>
      <c r="Q407" t="s">
        <v>37</v>
      </c>
      <c r="R407" t="s">
        <v>37</v>
      </c>
      <c r="S407" t="s">
        <v>37</v>
      </c>
      <c r="T407" t="s">
        <v>40</v>
      </c>
      <c r="U407">
        <v>1</v>
      </c>
      <c r="V407" t="s">
        <v>40</v>
      </c>
      <c r="W407" t="s">
        <v>42</v>
      </c>
      <c r="X407" t="s">
        <v>36</v>
      </c>
      <c r="Y407" t="s">
        <v>47</v>
      </c>
      <c r="Z407" t="s">
        <v>37</v>
      </c>
      <c r="AA407">
        <v>3.6</v>
      </c>
      <c r="AB407" t="s">
        <v>37</v>
      </c>
      <c r="AC407">
        <v>3.6</v>
      </c>
      <c r="AD407">
        <v>11</v>
      </c>
      <c r="AE407">
        <v>40000</v>
      </c>
      <c r="AF407" t="str">
        <f>IF(Table1[[#This Row],[What is your current CGPA?]]&gt;=3.5,"High",IF(Table1[[#This Row],[What is your current CGPA?]]&gt;=2.5,"Medium","Low"))</f>
        <v>High</v>
      </c>
      <c r="AG407" t="str">
        <f>IF(AND(Table1[[#This Row],[Average attendance on class]]&lt;75,Table1[[#This Row],[How many hour do you study daily?]]&lt;1),"At Risk","Normal")</f>
        <v>Normal</v>
      </c>
      <c r="AH407">
        <f>(Table1[[#This Row],[Average attendance on class]]*0.4)+(Table1[[#This Row],[How many hour do you study daily?]]*10*0.3)+(Table1[[#This Row],[How many hour do you spent daily on your skill development?]]*10*0.3)</f>
        <v>40</v>
      </c>
    </row>
    <row r="408" spans="1:34" x14ac:dyDescent="0.25">
      <c r="A408">
        <v>2022</v>
      </c>
      <c r="B408" t="s">
        <v>48</v>
      </c>
      <c r="C408">
        <v>20</v>
      </c>
      <c r="D408">
        <v>2020</v>
      </c>
      <c r="E408" t="s">
        <v>35</v>
      </c>
      <c r="F408">
        <v>2</v>
      </c>
      <c r="G408" t="s">
        <v>37</v>
      </c>
      <c r="H408" t="s">
        <v>37</v>
      </c>
      <c r="I408">
        <v>6</v>
      </c>
      <c r="J408">
        <v>2</v>
      </c>
      <c r="K408" t="s">
        <v>44</v>
      </c>
      <c r="L408" t="s">
        <v>36</v>
      </c>
      <c r="M408" t="s">
        <v>36</v>
      </c>
      <c r="N408">
        <v>1</v>
      </c>
      <c r="O408" t="s">
        <v>45</v>
      </c>
      <c r="P408">
        <v>98</v>
      </c>
      <c r="Q408" t="s">
        <v>36</v>
      </c>
      <c r="R408" t="s">
        <v>37</v>
      </c>
      <c r="S408" t="s">
        <v>36</v>
      </c>
      <c r="T408" t="s">
        <v>40</v>
      </c>
      <c r="U408">
        <v>5</v>
      </c>
      <c r="V408" t="s">
        <v>40</v>
      </c>
      <c r="W408" t="s">
        <v>42</v>
      </c>
      <c r="X408" t="s">
        <v>36</v>
      </c>
      <c r="Y408" t="s">
        <v>43</v>
      </c>
      <c r="Z408" t="s">
        <v>37</v>
      </c>
      <c r="AA408">
        <v>3.53</v>
      </c>
      <c r="AB408" t="s">
        <v>37</v>
      </c>
      <c r="AC408">
        <v>3.53</v>
      </c>
      <c r="AD408">
        <v>11</v>
      </c>
      <c r="AE408">
        <v>40000</v>
      </c>
      <c r="AF408" t="str">
        <f>IF(Table1[[#This Row],[What is your current CGPA?]]&gt;=3.5,"High",IF(Table1[[#This Row],[What is your current CGPA?]]&gt;=2.5,"Medium","Low"))</f>
        <v>High</v>
      </c>
      <c r="AG408" t="str">
        <f>IF(AND(Table1[[#This Row],[Average attendance on class]]&lt;75,Table1[[#This Row],[How many hour do you study daily?]]&lt;1),"At Risk","Normal")</f>
        <v>Normal</v>
      </c>
      <c r="AH408">
        <f>(Table1[[#This Row],[Average attendance on class]]*0.4)+(Table1[[#This Row],[How many hour do you study daily?]]*10*0.3)+(Table1[[#This Row],[How many hour do you spent daily on your skill development?]]*10*0.3)</f>
        <v>72.2</v>
      </c>
    </row>
    <row r="409" spans="1:34" x14ac:dyDescent="0.25">
      <c r="A409">
        <v>2020</v>
      </c>
      <c r="B409" t="s">
        <v>48</v>
      </c>
      <c r="C409">
        <v>20</v>
      </c>
      <c r="D409">
        <v>2019</v>
      </c>
      <c r="E409" t="s">
        <v>35</v>
      </c>
      <c r="F409">
        <v>8</v>
      </c>
      <c r="G409" t="s">
        <v>36</v>
      </c>
      <c r="H409" t="s">
        <v>37</v>
      </c>
      <c r="I409">
        <v>3</v>
      </c>
      <c r="J409">
        <v>2</v>
      </c>
      <c r="K409" t="s">
        <v>38</v>
      </c>
      <c r="L409" t="s">
        <v>36</v>
      </c>
      <c r="M409" t="s">
        <v>36</v>
      </c>
      <c r="N409">
        <v>2</v>
      </c>
      <c r="O409" t="s">
        <v>39</v>
      </c>
      <c r="P409">
        <v>99</v>
      </c>
      <c r="Q409" t="s">
        <v>37</v>
      </c>
      <c r="R409" t="s">
        <v>37</v>
      </c>
      <c r="S409" t="s">
        <v>36</v>
      </c>
      <c r="T409" t="s">
        <v>40</v>
      </c>
      <c r="U409">
        <v>1</v>
      </c>
      <c r="V409" t="s">
        <v>52</v>
      </c>
      <c r="W409" t="s">
        <v>42</v>
      </c>
      <c r="X409" t="s">
        <v>36</v>
      </c>
      <c r="Y409" t="s">
        <v>47</v>
      </c>
      <c r="Z409" t="s">
        <v>37</v>
      </c>
      <c r="AA409">
        <v>3.86</v>
      </c>
      <c r="AB409" t="s">
        <v>37</v>
      </c>
      <c r="AC409">
        <v>3.69</v>
      </c>
      <c r="AD409">
        <v>90</v>
      </c>
      <c r="AE409">
        <v>50000</v>
      </c>
      <c r="AF409" t="str">
        <f>IF(Table1[[#This Row],[What is your current CGPA?]]&gt;=3.5,"High",IF(Table1[[#This Row],[What is your current CGPA?]]&gt;=2.5,"Medium","Low"))</f>
        <v>High</v>
      </c>
      <c r="AG409" t="str">
        <f>IF(AND(Table1[[#This Row],[Average attendance on class]]&lt;75,Table1[[#This Row],[How many hour do you study daily?]]&lt;1),"At Risk","Normal")</f>
        <v>Normal</v>
      </c>
      <c r="AH409">
        <f>(Table1[[#This Row],[Average attendance on class]]*0.4)+(Table1[[#This Row],[How many hour do you study daily?]]*10*0.3)+(Table1[[#This Row],[How many hour do you spent daily on your skill development?]]*10*0.3)</f>
        <v>51.6</v>
      </c>
    </row>
    <row r="410" spans="1:34" x14ac:dyDescent="0.25">
      <c r="A410">
        <v>2022</v>
      </c>
      <c r="B410" t="s">
        <v>48</v>
      </c>
      <c r="C410">
        <v>19</v>
      </c>
      <c r="D410">
        <v>2020</v>
      </c>
      <c r="E410" t="s">
        <v>35</v>
      </c>
      <c r="F410">
        <v>2</v>
      </c>
      <c r="G410" t="s">
        <v>37</v>
      </c>
      <c r="H410" t="s">
        <v>36</v>
      </c>
      <c r="I410">
        <v>3</v>
      </c>
      <c r="J410">
        <v>2</v>
      </c>
      <c r="K410" t="s">
        <v>38</v>
      </c>
      <c r="L410" t="s">
        <v>36</v>
      </c>
      <c r="M410" t="s">
        <v>36</v>
      </c>
      <c r="N410">
        <v>4</v>
      </c>
      <c r="O410" t="s">
        <v>53</v>
      </c>
      <c r="P410">
        <v>100</v>
      </c>
      <c r="Q410" t="s">
        <v>37</v>
      </c>
      <c r="R410" t="s">
        <v>37</v>
      </c>
      <c r="S410" t="s">
        <v>36</v>
      </c>
      <c r="T410" t="s">
        <v>40</v>
      </c>
      <c r="U410">
        <v>2</v>
      </c>
      <c r="V410" t="s">
        <v>49</v>
      </c>
      <c r="W410" t="s">
        <v>42</v>
      </c>
      <c r="X410" t="s">
        <v>36</v>
      </c>
      <c r="Y410" t="s">
        <v>47</v>
      </c>
      <c r="Z410" t="s">
        <v>37</v>
      </c>
      <c r="AA410">
        <v>3.48</v>
      </c>
      <c r="AB410" t="s">
        <v>37</v>
      </c>
      <c r="AC410">
        <v>2.4</v>
      </c>
      <c r="AD410">
        <v>11</v>
      </c>
      <c r="AE410">
        <v>25000</v>
      </c>
      <c r="AF410" t="str">
        <f>IF(Table1[[#This Row],[What is your current CGPA?]]&gt;=3.5,"High",IF(Table1[[#This Row],[What is your current CGPA?]]&gt;=2.5,"Medium","Low"))</f>
        <v>Low</v>
      </c>
      <c r="AG410" t="str">
        <f>IF(AND(Table1[[#This Row],[Average attendance on class]]&lt;75,Table1[[#This Row],[How many hour do you study daily?]]&lt;1),"At Risk","Normal")</f>
        <v>Normal</v>
      </c>
      <c r="AH410">
        <f>(Table1[[#This Row],[Average attendance on class]]*0.4)+(Table1[[#This Row],[How many hour do you study daily?]]*10*0.3)+(Table1[[#This Row],[How many hour do you spent daily on your skill development?]]*10*0.3)</f>
        <v>55</v>
      </c>
    </row>
    <row r="411" spans="1:34" x14ac:dyDescent="0.25">
      <c r="A411">
        <v>2021</v>
      </c>
      <c r="B411" t="s">
        <v>34</v>
      </c>
      <c r="C411">
        <v>21</v>
      </c>
      <c r="D411">
        <v>2019</v>
      </c>
      <c r="E411" t="s">
        <v>35</v>
      </c>
      <c r="F411">
        <v>5</v>
      </c>
      <c r="G411" t="s">
        <v>37</v>
      </c>
      <c r="H411" t="s">
        <v>37</v>
      </c>
      <c r="I411">
        <v>2</v>
      </c>
      <c r="J411">
        <v>1</v>
      </c>
      <c r="K411" t="s">
        <v>44</v>
      </c>
      <c r="L411" t="s">
        <v>36</v>
      </c>
      <c r="M411" t="s">
        <v>36</v>
      </c>
      <c r="N411">
        <v>1</v>
      </c>
      <c r="O411" t="s">
        <v>39</v>
      </c>
      <c r="P411">
        <v>98</v>
      </c>
      <c r="Q411" t="s">
        <v>37</v>
      </c>
      <c r="R411" t="s">
        <v>37</v>
      </c>
      <c r="S411" t="s">
        <v>37</v>
      </c>
      <c r="T411" t="s">
        <v>40</v>
      </c>
      <c r="U411">
        <v>6</v>
      </c>
      <c r="V411" t="s">
        <v>40</v>
      </c>
      <c r="W411" t="s">
        <v>42</v>
      </c>
      <c r="X411" t="s">
        <v>37</v>
      </c>
      <c r="Y411" t="s">
        <v>43</v>
      </c>
      <c r="Z411" t="s">
        <v>37</v>
      </c>
      <c r="AA411">
        <v>3.7</v>
      </c>
      <c r="AB411" t="s">
        <v>37</v>
      </c>
      <c r="AC411">
        <v>3.77</v>
      </c>
      <c r="AD411">
        <v>54</v>
      </c>
      <c r="AE411">
        <v>62488</v>
      </c>
      <c r="AF411" t="str">
        <f>IF(Table1[[#This Row],[What is your current CGPA?]]&gt;=3.5,"High",IF(Table1[[#This Row],[What is your current CGPA?]]&gt;=2.5,"Medium","Low"))</f>
        <v>High</v>
      </c>
      <c r="AG411" t="str">
        <f>IF(AND(Table1[[#This Row],[Average attendance on class]]&lt;75,Table1[[#This Row],[How many hour do you study daily?]]&lt;1),"At Risk","Normal")</f>
        <v>Normal</v>
      </c>
      <c r="AH411">
        <f>(Table1[[#This Row],[Average attendance on class]]*0.4)+(Table1[[#This Row],[How many hour do you study daily?]]*10*0.3)+(Table1[[#This Row],[How many hour do you spent daily on your skill development?]]*10*0.3)</f>
        <v>63.2</v>
      </c>
    </row>
    <row r="412" spans="1:34" x14ac:dyDescent="0.25">
      <c r="A412">
        <v>2022</v>
      </c>
      <c r="B412" t="s">
        <v>48</v>
      </c>
      <c r="C412">
        <v>20</v>
      </c>
      <c r="D412">
        <v>2020</v>
      </c>
      <c r="E412" t="s">
        <v>35</v>
      </c>
      <c r="F412">
        <v>2</v>
      </c>
      <c r="G412" t="s">
        <v>37</v>
      </c>
      <c r="H412" t="s">
        <v>36</v>
      </c>
      <c r="I412">
        <v>3</v>
      </c>
      <c r="J412">
        <v>1</v>
      </c>
      <c r="K412" t="s">
        <v>38</v>
      </c>
      <c r="L412" t="s">
        <v>36</v>
      </c>
      <c r="M412" t="s">
        <v>36</v>
      </c>
      <c r="N412">
        <v>1</v>
      </c>
      <c r="O412" t="s">
        <v>53</v>
      </c>
      <c r="P412">
        <v>100</v>
      </c>
      <c r="Q412" t="s">
        <v>37</v>
      </c>
      <c r="R412" t="s">
        <v>37</v>
      </c>
      <c r="S412" t="s">
        <v>36</v>
      </c>
      <c r="T412" t="s">
        <v>40</v>
      </c>
      <c r="U412">
        <v>2</v>
      </c>
      <c r="V412" t="s">
        <v>40</v>
      </c>
      <c r="W412" t="s">
        <v>42</v>
      </c>
      <c r="X412" t="s">
        <v>37</v>
      </c>
      <c r="Y412" t="s">
        <v>47</v>
      </c>
      <c r="Z412" t="s">
        <v>37</v>
      </c>
      <c r="AA412">
        <v>3.84</v>
      </c>
      <c r="AB412" t="s">
        <v>37</v>
      </c>
      <c r="AC412">
        <v>3.84</v>
      </c>
      <c r="AD412">
        <v>11</v>
      </c>
      <c r="AE412">
        <v>50000</v>
      </c>
      <c r="AF412" t="str">
        <f>IF(Table1[[#This Row],[What is your current CGPA?]]&gt;=3.5,"High",IF(Table1[[#This Row],[What is your current CGPA?]]&gt;=2.5,"Medium","Low"))</f>
        <v>High</v>
      </c>
      <c r="AG412" t="str">
        <f>IF(AND(Table1[[#This Row],[Average attendance on class]]&lt;75,Table1[[#This Row],[How many hour do you study daily?]]&lt;1),"At Risk","Normal")</f>
        <v>Normal</v>
      </c>
      <c r="AH412">
        <f>(Table1[[#This Row],[Average attendance on class]]*0.4)+(Table1[[#This Row],[How many hour do you study daily?]]*10*0.3)+(Table1[[#This Row],[How many hour do you spent daily on your skill development?]]*10*0.3)</f>
        <v>55</v>
      </c>
    </row>
    <row r="413" spans="1:34" x14ac:dyDescent="0.25">
      <c r="A413">
        <v>2020</v>
      </c>
      <c r="B413" t="s">
        <v>48</v>
      </c>
      <c r="C413">
        <v>21</v>
      </c>
      <c r="D413">
        <v>2019</v>
      </c>
      <c r="E413" t="s">
        <v>35</v>
      </c>
      <c r="F413">
        <v>8</v>
      </c>
      <c r="G413" t="s">
        <v>37</v>
      </c>
      <c r="H413" t="s">
        <v>36</v>
      </c>
      <c r="I413">
        <v>6</v>
      </c>
      <c r="J413">
        <v>2</v>
      </c>
      <c r="K413" t="s">
        <v>38</v>
      </c>
      <c r="L413" t="s">
        <v>36</v>
      </c>
      <c r="M413" t="s">
        <v>36</v>
      </c>
      <c r="N413">
        <v>2</v>
      </c>
      <c r="O413" t="s">
        <v>39</v>
      </c>
      <c r="P413">
        <v>100</v>
      </c>
      <c r="Q413" t="s">
        <v>37</v>
      </c>
      <c r="R413" t="s">
        <v>37</v>
      </c>
      <c r="S413" t="s">
        <v>36</v>
      </c>
      <c r="T413" t="s">
        <v>40</v>
      </c>
      <c r="U413">
        <v>3</v>
      </c>
      <c r="V413" t="s">
        <v>40</v>
      </c>
      <c r="W413" t="s">
        <v>42</v>
      </c>
      <c r="X413" t="s">
        <v>37</v>
      </c>
      <c r="Y413" t="s">
        <v>47</v>
      </c>
      <c r="Z413" t="s">
        <v>37</v>
      </c>
      <c r="AA413">
        <v>3.4</v>
      </c>
      <c r="AB413" t="s">
        <v>37</v>
      </c>
      <c r="AC413">
        <v>3.29</v>
      </c>
      <c r="AD413">
        <v>85</v>
      </c>
      <c r="AE413">
        <v>60000</v>
      </c>
      <c r="AF413" t="str">
        <f>IF(Table1[[#This Row],[What is your current CGPA?]]&gt;=3.5,"High",IF(Table1[[#This Row],[What is your current CGPA?]]&gt;=2.5,"Medium","Low"))</f>
        <v>Medium</v>
      </c>
      <c r="AG413" t="str">
        <f>IF(AND(Table1[[#This Row],[Average attendance on class]]&lt;75,Table1[[#This Row],[How many hour do you study daily?]]&lt;1),"At Risk","Normal")</f>
        <v>Normal</v>
      </c>
      <c r="AH413">
        <f>(Table1[[#This Row],[Average attendance on class]]*0.4)+(Table1[[#This Row],[How many hour do you study daily?]]*10*0.3)+(Table1[[#This Row],[How many hour do you spent daily on your skill development?]]*10*0.3)</f>
        <v>67</v>
      </c>
    </row>
    <row r="414" spans="1:34" x14ac:dyDescent="0.25">
      <c r="A414">
        <v>2022</v>
      </c>
      <c r="B414" t="s">
        <v>34</v>
      </c>
      <c r="C414">
        <v>19</v>
      </c>
      <c r="D414">
        <v>2020</v>
      </c>
      <c r="E414" t="s">
        <v>35</v>
      </c>
      <c r="F414">
        <v>1</v>
      </c>
      <c r="G414" t="s">
        <v>37</v>
      </c>
      <c r="H414" t="s">
        <v>37</v>
      </c>
      <c r="I414">
        <v>4</v>
      </c>
      <c r="J414">
        <v>2</v>
      </c>
      <c r="K414" t="s">
        <v>38</v>
      </c>
      <c r="L414" t="s">
        <v>36</v>
      </c>
      <c r="M414" t="s">
        <v>36</v>
      </c>
      <c r="N414">
        <v>2</v>
      </c>
      <c r="O414" t="s">
        <v>45</v>
      </c>
      <c r="P414">
        <v>90</v>
      </c>
      <c r="Q414" t="s">
        <v>37</v>
      </c>
      <c r="R414" t="s">
        <v>37</v>
      </c>
      <c r="S414" t="s">
        <v>37</v>
      </c>
      <c r="T414" t="s">
        <v>40</v>
      </c>
      <c r="U414">
        <v>1</v>
      </c>
      <c r="V414" t="s">
        <v>49</v>
      </c>
      <c r="W414" t="s">
        <v>50</v>
      </c>
      <c r="X414" t="s">
        <v>37</v>
      </c>
      <c r="Y414" t="s">
        <v>43</v>
      </c>
      <c r="Z414" t="s">
        <v>37</v>
      </c>
      <c r="AA414">
        <v>3.43</v>
      </c>
      <c r="AB414" t="s">
        <v>37</v>
      </c>
      <c r="AC414">
        <v>3.43</v>
      </c>
      <c r="AD414">
        <v>14</v>
      </c>
      <c r="AE414">
        <v>24000</v>
      </c>
      <c r="AF414" t="str">
        <f>IF(Table1[[#This Row],[What is your current CGPA?]]&gt;=3.5,"High",IF(Table1[[#This Row],[What is your current CGPA?]]&gt;=2.5,"Medium","Low"))</f>
        <v>Medium</v>
      </c>
      <c r="AG414" t="str">
        <f>IF(AND(Table1[[#This Row],[Average attendance on class]]&lt;75,Table1[[#This Row],[How many hour do you study daily?]]&lt;1),"At Risk","Normal")</f>
        <v>Normal</v>
      </c>
      <c r="AH414">
        <f>(Table1[[#This Row],[Average attendance on class]]*0.4)+(Table1[[#This Row],[How many hour do you study daily?]]*10*0.3)+(Table1[[#This Row],[How many hour do you spent daily on your skill development?]]*10*0.3)</f>
        <v>51</v>
      </c>
    </row>
    <row r="415" spans="1:34" x14ac:dyDescent="0.25">
      <c r="A415">
        <v>2021</v>
      </c>
      <c r="B415" t="s">
        <v>48</v>
      </c>
      <c r="C415">
        <v>21</v>
      </c>
      <c r="D415">
        <v>2020</v>
      </c>
      <c r="E415" t="s">
        <v>35</v>
      </c>
      <c r="F415">
        <v>2</v>
      </c>
      <c r="G415" t="s">
        <v>36</v>
      </c>
      <c r="H415" t="s">
        <v>37</v>
      </c>
      <c r="I415">
        <v>4</v>
      </c>
      <c r="J415">
        <v>2</v>
      </c>
      <c r="K415" t="s">
        <v>38</v>
      </c>
      <c r="L415" t="s">
        <v>36</v>
      </c>
      <c r="M415" t="s">
        <v>37</v>
      </c>
      <c r="N415">
        <v>2</v>
      </c>
      <c r="O415" t="s">
        <v>39</v>
      </c>
      <c r="P415">
        <v>100</v>
      </c>
      <c r="Q415" t="s">
        <v>37</v>
      </c>
      <c r="R415" t="s">
        <v>37</v>
      </c>
      <c r="S415" t="s">
        <v>36</v>
      </c>
      <c r="T415" t="s">
        <v>40</v>
      </c>
      <c r="U415">
        <v>12</v>
      </c>
      <c r="V415" t="s">
        <v>40</v>
      </c>
      <c r="W415" t="s">
        <v>42</v>
      </c>
      <c r="X415" t="s">
        <v>36</v>
      </c>
      <c r="Y415" t="s">
        <v>43</v>
      </c>
      <c r="Z415" t="s">
        <v>37</v>
      </c>
      <c r="AA415">
        <v>3.7</v>
      </c>
      <c r="AB415" t="s">
        <v>37</v>
      </c>
      <c r="AC415">
        <v>3.7</v>
      </c>
      <c r="AD415">
        <v>11</v>
      </c>
      <c r="AE415">
        <v>30000</v>
      </c>
      <c r="AF415" t="str">
        <f>IF(Table1[[#This Row],[What is your current CGPA?]]&gt;=3.5,"High",IF(Table1[[#This Row],[What is your current CGPA?]]&gt;=2.5,"Medium","Low"))</f>
        <v>High</v>
      </c>
      <c r="AG415" t="str">
        <f>IF(AND(Table1[[#This Row],[Average attendance on class]]&lt;75,Table1[[#This Row],[How many hour do you study daily?]]&lt;1),"At Risk","Normal")</f>
        <v>Normal</v>
      </c>
      <c r="AH415">
        <f>(Table1[[#This Row],[Average attendance on class]]*0.4)+(Table1[[#This Row],[How many hour do you study daily?]]*10*0.3)+(Table1[[#This Row],[How many hour do you spent daily on your skill development?]]*10*0.3)</f>
        <v>88</v>
      </c>
    </row>
    <row r="416" spans="1:34" x14ac:dyDescent="0.25">
      <c r="A416">
        <v>2020</v>
      </c>
      <c r="B416" t="s">
        <v>34</v>
      </c>
      <c r="C416">
        <v>22</v>
      </c>
      <c r="D416">
        <v>2019</v>
      </c>
      <c r="E416" t="s">
        <v>35</v>
      </c>
      <c r="F416">
        <v>6</v>
      </c>
      <c r="G416" t="s">
        <v>37</v>
      </c>
      <c r="H416" t="s">
        <v>36</v>
      </c>
      <c r="I416">
        <v>4</v>
      </c>
      <c r="J416">
        <v>3</v>
      </c>
      <c r="K416" t="s">
        <v>38</v>
      </c>
      <c r="L416" t="s">
        <v>36</v>
      </c>
      <c r="M416" t="s">
        <v>36</v>
      </c>
      <c r="N416">
        <v>4</v>
      </c>
      <c r="O416" t="s">
        <v>53</v>
      </c>
      <c r="P416">
        <v>85</v>
      </c>
      <c r="Q416" t="s">
        <v>37</v>
      </c>
      <c r="R416" t="s">
        <v>37</v>
      </c>
      <c r="S416" t="s">
        <v>36</v>
      </c>
      <c r="T416" t="s">
        <v>40</v>
      </c>
      <c r="U416">
        <v>3</v>
      </c>
      <c r="V416" t="s">
        <v>41</v>
      </c>
      <c r="W416" t="s">
        <v>50</v>
      </c>
      <c r="X416" t="s">
        <v>37</v>
      </c>
      <c r="Y416" t="s">
        <v>47</v>
      </c>
      <c r="Z416" t="s">
        <v>37</v>
      </c>
      <c r="AA416">
        <v>3.02</v>
      </c>
      <c r="AB416" t="s">
        <v>37</v>
      </c>
      <c r="AC416">
        <v>3.2</v>
      </c>
      <c r="AD416">
        <v>70</v>
      </c>
      <c r="AE416">
        <v>20000</v>
      </c>
      <c r="AF416" t="str">
        <f>IF(Table1[[#This Row],[What is your current CGPA?]]&gt;=3.5,"High",IF(Table1[[#This Row],[What is your current CGPA?]]&gt;=2.5,"Medium","Low"))</f>
        <v>Medium</v>
      </c>
      <c r="AG416" t="str">
        <f>IF(AND(Table1[[#This Row],[Average attendance on class]]&lt;75,Table1[[#This Row],[How many hour do you study daily?]]&lt;1),"At Risk","Normal")</f>
        <v>Normal</v>
      </c>
      <c r="AH416">
        <f>(Table1[[#This Row],[Average attendance on class]]*0.4)+(Table1[[#This Row],[How many hour do you study daily?]]*10*0.3)+(Table1[[#This Row],[How many hour do you spent daily on your skill development?]]*10*0.3)</f>
        <v>55</v>
      </c>
    </row>
    <row r="417" spans="1:34" x14ac:dyDescent="0.25">
      <c r="A417">
        <v>2021</v>
      </c>
      <c r="B417" t="s">
        <v>34</v>
      </c>
      <c r="C417">
        <v>20</v>
      </c>
      <c r="D417">
        <v>2020</v>
      </c>
      <c r="E417" t="s">
        <v>35</v>
      </c>
      <c r="F417">
        <v>3</v>
      </c>
      <c r="G417" t="s">
        <v>37</v>
      </c>
      <c r="H417" t="s">
        <v>36</v>
      </c>
      <c r="I417">
        <v>2</v>
      </c>
      <c r="J417">
        <v>1</v>
      </c>
      <c r="K417" t="s">
        <v>38</v>
      </c>
      <c r="L417" t="s">
        <v>36</v>
      </c>
      <c r="M417" t="s">
        <v>36</v>
      </c>
      <c r="N417">
        <v>3</v>
      </c>
      <c r="O417" t="s">
        <v>45</v>
      </c>
      <c r="P417">
        <v>90</v>
      </c>
      <c r="Q417" t="s">
        <v>37</v>
      </c>
      <c r="R417" t="s">
        <v>37</v>
      </c>
      <c r="S417" t="s">
        <v>37</v>
      </c>
      <c r="T417" t="s">
        <v>40</v>
      </c>
      <c r="U417">
        <v>2</v>
      </c>
      <c r="V417" t="s">
        <v>40</v>
      </c>
      <c r="W417" t="s">
        <v>42</v>
      </c>
      <c r="X417" t="s">
        <v>37</v>
      </c>
      <c r="Y417" t="s">
        <v>43</v>
      </c>
      <c r="Z417" t="s">
        <v>37</v>
      </c>
      <c r="AA417">
        <v>3.48</v>
      </c>
      <c r="AB417" t="s">
        <v>37</v>
      </c>
      <c r="AC417">
        <v>2.98</v>
      </c>
      <c r="AD417">
        <v>23</v>
      </c>
      <c r="AE417">
        <v>20000</v>
      </c>
      <c r="AF417" t="str">
        <f>IF(Table1[[#This Row],[What is your current CGPA?]]&gt;=3.5,"High",IF(Table1[[#This Row],[What is your current CGPA?]]&gt;=2.5,"Medium","Low"))</f>
        <v>Medium</v>
      </c>
      <c r="AG417" t="str">
        <f>IF(AND(Table1[[#This Row],[Average attendance on class]]&lt;75,Table1[[#This Row],[How many hour do you study daily?]]&lt;1),"At Risk","Normal")</f>
        <v>Normal</v>
      </c>
      <c r="AH417">
        <f>(Table1[[#This Row],[Average attendance on class]]*0.4)+(Table1[[#This Row],[How many hour do you study daily?]]*10*0.3)+(Table1[[#This Row],[How many hour do you spent daily on your skill development?]]*10*0.3)</f>
        <v>48</v>
      </c>
    </row>
    <row r="418" spans="1:34" x14ac:dyDescent="0.25">
      <c r="A418">
        <v>2022</v>
      </c>
      <c r="B418" t="s">
        <v>34</v>
      </c>
      <c r="C418">
        <v>20</v>
      </c>
      <c r="D418">
        <v>2020</v>
      </c>
      <c r="E418" t="s">
        <v>35</v>
      </c>
      <c r="F418">
        <v>2</v>
      </c>
      <c r="G418" t="s">
        <v>36</v>
      </c>
      <c r="H418" t="s">
        <v>37</v>
      </c>
      <c r="I418">
        <v>3</v>
      </c>
      <c r="J418">
        <v>2</v>
      </c>
      <c r="K418" t="s">
        <v>38</v>
      </c>
      <c r="L418" t="s">
        <v>36</v>
      </c>
      <c r="M418" t="s">
        <v>36</v>
      </c>
      <c r="N418">
        <v>2</v>
      </c>
      <c r="O418" t="s">
        <v>53</v>
      </c>
      <c r="P418">
        <v>90</v>
      </c>
      <c r="Q418" t="s">
        <v>37</v>
      </c>
      <c r="R418" t="s">
        <v>37</v>
      </c>
      <c r="S418" t="s">
        <v>36</v>
      </c>
      <c r="T418" t="s">
        <v>40</v>
      </c>
      <c r="U418">
        <v>2</v>
      </c>
      <c r="V418" t="s">
        <v>40</v>
      </c>
      <c r="W418" t="s">
        <v>42</v>
      </c>
      <c r="X418" t="s">
        <v>36</v>
      </c>
      <c r="Y418" t="s">
        <v>43</v>
      </c>
      <c r="Z418" t="s">
        <v>37</v>
      </c>
      <c r="AA418">
        <v>3.53</v>
      </c>
      <c r="AB418" t="s">
        <v>37</v>
      </c>
      <c r="AC418">
        <v>3.53</v>
      </c>
      <c r="AD418">
        <v>13</v>
      </c>
      <c r="AE418">
        <v>40000</v>
      </c>
      <c r="AF418" t="str">
        <f>IF(Table1[[#This Row],[What is your current CGPA?]]&gt;=3.5,"High",IF(Table1[[#This Row],[What is your current CGPA?]]&gt;=2.5,"Medium","Low"))</f>
        <v>High</v>
      </c>
      <c r="AG418" t="str">
        <f>IF(AND(Table1[[#This Row],[Average attendance on class]]&lt;75,Table1[[#This Row],[How many hour do you study daily?]]&lt;1),"At Risk","Normal")</f>
        <v>Normal</v>
      </c>
      <c r="AH418">
        <f>(Table1[[#This Row],[Average attendance on class]]*0.4)+(Table1[[#This Row],[How many hour do you study daily?]]*10*0.3)+(Table1[[#This Row],[How many hour do you spent daily on your skill development?]]*10*0.3)</f>
        <v>51</v>
      </c>
    </row>
    <row r="419" spans="1:34" x14ac:dyDescent="0.25">
      <c r="A419">
        <v>2020</v>
      </c>
      <c r="B419" t="s">
        <v>48</v>
      </c>
      <c r="C419">
        <v>19</v>
      </c>
      <c r="D419">
        <v>2019</v>
      </c>
      <c r="E419" t="s">
        <v>35</v>
      </c>
      <c r="F419">
        <v>8</v>
      </c>
      <c r="G419" t="s">
        <v>36</v>
      </c>
      <c r="H419" t="s">
        <v>36</v>
      </c>
      <c r="I419">
        <v>4</v>
      </c>
      <c r="J419">
        <v>1</v>
      </c>
      <c r="K419" t="s">
        <v>38</v>
      </c>
      <c r="L419" t="s">
        <v>36</v>
      </c>
      <c r="M419" t="s">
        <v>36</v>
      </c>
      <c r="N419">
        <v>2</v>
      </c>
      <c r="O419" t="s">
        <v>53</v>
      </c>
      <c r="P419">
        <v>90</v>
      </c>
      <c r="Q419" t="s">
        <v>37</v>
      </c>
      <c r="R419" t="s">
        <v>37</v>
      </c>
      <c r="S419" t="s">
        <v>37</v>
      </c>
      <c r="T419" t="s">
        <v>40</v>
      </c>
      <c r="U419">
        <v>3</v>
      </c>
      <c r="V419" t="s">
        <v>41</v>
      </c>
      <c r="W419" t="s">
        <v>42</v>
      </c>
      <c r="X419" t="s">
        <v>37</v>
      </c>
      <c r="Y419" t="s">
        <v>43</v>
      </c>
      <c r="Z419" t="s">
        <v>37</v>
      </c>
      <c r="AA419">
        <v>3.06</v>
      </c>
      <c r="AB419" t="s">
        <v>37</v>
      </c>
      <c r="AC419">
        <v>3.41</v>
      </c>
      <c r="AD419">
        <v>87</v>
      </c>
      <c r="AE419">
        <v>30000</v>
      </c>
      <c r="AF419" t="str">
        <f>IF(Table1[[#This Row],[What is your current CGPA?]]&gt;=3.5,"High",IF(Table1[[#This Row],[What is your current CGPA?]]&gt;=2.5,"Medium","Low"))</f>
        <v>Medium</v>
      </c>
      <c r="AG419" t="str">
        <f>IF(AND(Table1[[#This Row],[Average attendance on class]]&lt;75,Table1[[#This Row],[How many hour do you study daily?]]&lt;1),"At Risk","Normal")</f>
        <v>Normal</v>
      </c>
      <c r="AH419">
        <f>(Table1[[#This Row],[Average attendance on class]]*0.4)+(Table1[[#This Row],[How many hour do you study daily?]]*10*0.3)+(Table1[[#This Row],[How many hour do you spent daily on your skill development?]]*10*0.3)</f>
        <v>57</v>
      </c>
    </row>
    <row r="420" spans="1:34" x14ac:dyDescent="0.25">
      <c r="A420">
        <v>2021</v>
      </c>
      <c r="B420" t="s">
        <v>34</v>
      </c>
      <c r="C420">
        <v>20</v>
      </c>
      <c r="D420">
        <v>2020</v>
      </c>
      <c r="E420" t="s">
        <v>35</v>
      </c>
      <c r="F420">
        <v>2</v>
      </c>
      <c r="G420" t="s">
        <v>37</v>
      </c>
      <c r="H420" t="s">
        <v>37</v>
      </c>
      <c r="I420">
        <v>2</v>
      </c>
      <c r="J420">
        <v>1</v>
      </c>
      <c r="K420" t="s">
        <v>38</v>
      </c>
      <c r="L420" t="s">
        <v>36</v>
      </c>
      <c r="M420" t="s">
        <v>36</v>
      </c>
      <c r="N420">
        <v>3</v>
      </c>
      <c r="O420" t="s">
        <v>45</v>
      </c>
      <c r="P420">
        <v>100</v>
      </c>
      <c r="Q420" t="s">
        <v>36</v>
      </c>
      <c r="R420" t="s">
        <v>37</v>
      </c>
      <c r="S420" t="s">
        <v>36</v>
      </c>
      <c r="T420" t="s">
        <v>40</v>
      </c>
      <c r="U420">
        <v>1</v>
      </c>
      <c r="V420" t="s">
        <v>40</v>
      </c>
      <c r="W420" t="s">
        <v>42</v>
      </c>
      <c r="X420" t="s">
        <v>37</v>
      </c>
      <c r="Y420" t="s">
        <v>43</v>
      </c>
      <c r="Z420" t="s">
        <v>37</v>
      </c>
      <c r="AA420">
        <v>3.9</v>
      </c>
      <c r="AB420" t="s">
        <v>37</v>
      </c>
      <c r="AC420">
        <v>3.9</v>
      </c>
      <c r="AD420">
        <v>11</v>
      </c>
      <c r="AE420">
        <v>20000</v>
      </c>
      <c r="AF420" t="str">
        <f>IF(Table1[[#This Row],[What is your current CGPA?]]&gt;=3.5,"High",IF(Table1[[#This Row],[What is your current CGPA?]]&gt;=2.5,"Medium","Low"))</f>
        <v>High</v>
      </c>
      <c r="AG420" t="str">
        <f>IF(AND(Table1[[#This Row],[Average attendance on class]]&lt;75,Table1[[#This Row],[How many hour do you study daily?]]&lt;1),"At Risk","Normal")</f>
        <v>Normal</v>
      </c>
      <c r="AH420">
        <f>(Table1[[#This Row],[Average attendance on class]]*0.4)+(Table1[[#This Row],[How many hour do you study daily?]]*10*0.3)+(Table1[[#This Row],[How many hour do you spent daily on your skill development?]]*10*0.3)</f>
        <v>49</v>
      </c>
    </row>
    <row r="421" spans="1:34" x14ac:dyDescent="0.25">
      <c r="A421">
        <v>2022</v>
      </c>
      <c r="B421" t="s">
        <v>48</v>
      </c>
      <c r="C421">
        <v>20</v>
      </c>
      <c r="D421">
        <v>2018</v>
      </c>
      <c r="E421" t="s">
        <v>35</v>
      </c>
      <c r="F421">
        <v>1</v>
      </c>
      <c r="G421" t="s">
        <v>37</v>
      </c>
      <c r="H421" t="s">
        <v>37</v>
      </c>
      <c r="I421">
        <v>2</v>
      </c>
      <c r="J421">
        <v>2</v>
      </c>
      <c r="K421" t="s">
        <v>38</v>
      </c>
      <c r="L421" t="s">
        <v>36</v>
      </c>
      <c r="M421" t="s">
        <v>37</v>
      </c>
      <c r="N421">
        <v>4</v>
      </c>
      <c r="O421" t="s">
        <v>39</v>
      </c>
      <c r="P421">
        <v>95</v>
      </c>
      <c r="Q421" t="s">
        <v>37</v>
      </c>
      <c r="R421" t="s">
        <v>37</v>
      </c>
      <c r="S421" t="s">
        <v>36</v>
      </c>
      <c r="T421" t="s">
        <v>51</v>
      </c>
      <c r="U421">
        <v>0</v>
      </c>
      <c r="V421" t="s">
        <v>40</v>
      </c>
      <c r="W421" t="s">
        <v>42</v>
      </c>
      <c r="X421" t="s">
        <v>37</v>
      </c>
      <c r="Y421" t="s">
        <v>43</v>
      </c>
      <c r="Z421" t="s">
        <v>36</v>
      </c>
      <c r="AA421">
        <v>0</v>
      </c>
      <c r="AB421" t="s">
        <v>37</v>
      </c>
      <c r="AC421">
        <v>0</v>
      </c>
      <c r="AD421">
        <v>0</v>
      </c>
      <c r="AE421">
        <v>50000</v>
      </c>
      <c r="AF421" t="str">
        <f>IF(Table1[[#This Row],[What is your current CGPA?]]&gt;=3.5,"High",IF(Table1[[#This Row],[What is your current CGPA?]]&gt;=2.5,"Medium","Low"))</f>
        <v>Low</v>
      </c>
      <c r="AG421" t="str">
        <f>IF(AND(Table1[[#This Row],[Average attendance on class]]&lt;75,Table1[[#This Row],[How many hour do you study daily?]]&lt;1),"At Risk","Normal")</f>
        <v>Normal</v>
      </c>
      <c r="AH421">
        <f>(Table1[[#This Row],[Average attendance on class]]*0.4)+(Table1[[#This Row],[How many hour do you study daily?]]*10*0.3)+(Table1[[#This Row],[How many hour do you spent daily on your skill development?]]*10*0.3)</f>
        <v>44</v>
      </c>
    </row>
    <row r="422" spans="1:34" x14ac:dyDescent="0.25">
      <c r="A422">
        <v>2019</v>
      </c>
      <c r="B422" t="s">
        <v>48</v>
      </c>
      <c r="C422">
        <v>20</v>
      </c>
      <c r="D422">
        <v>2019</v>
      </c>
      <c r="E422" t="s">
        <v>35</v>
      </c>
      <c r="F422">
        <v>9</v>
      </c>
      <c r="G422" t="s">
        <v>37</v>
      </c>
      <c r="H422" t="s">
        <v>36</v>
      </c>
      <c r="I422">
        <v>3</v>
      </c>
      <c r="J422">
        <v>3</v>
      </c>
      <c r="K422" t="s">
        <v>38</v>
      </c>
      <c r="L422" t="s">
        <v>36</v>
      </c>
      <c r="M422" t="s">
        <v>36</v>
      </c>
      <c r="N422">
        <v>1</v>
      </c>
      <c r="O422" t="s">
        <v>39</v>
      </c>
      <c r="P422">
        <v>99</v>
      </c>
      <c r="Q422" t="s">
        <v>37</v>
      </c>
      <c r="R422" t="s">
        <v>37</v>
      </c>
      <c r="S422" t="s">
        <v>37</v>
      </c>
      <c r="T422" t="s">
        <v>40</v>
      </c>
      <c r="U422">
        <v>4</v>
      </c>
      <c r="V422" t="s">
        <v>40</v>
      </c>
      <c r="W422" t="s">
        <v>42</v>
      </c>
      <c r="X422" t="s">
        <v>36</v>
      </c>
      <c r="Y422" t="s">
        <v>47</v>
      </c>
      <c r="Z422" t="s">
        <v>37</v>
      </c>
      <c r="AA422">
        <v>3.19</v>
      </c>
      <c r="AB422" t="s">
        <v>37</v>
      </c>
      <c r="AC422">
        <v>3.37</v>
      </c>
      <c r="AD422">
        <v>101</v>
      </c>
      <c r="AE422">
        <v>40000</v>
      </c>
      <c r="AF422" t="str">
        <f>IF(Table1[[#This Row],[What is your current CGPA?]]&gt;=3.5,"High",IF(Table1[[#This Row],[What is your current CGPA?]]&gt;=2.5,"Medium","Low"))</f>
        <v>Medium</v>
      </c>
      <c r="AG422" t="str">
        <f>IF(AND(Table1[[#This Row],[Average attendance on class]]&lt;75,Table1[[#This Row],[How many hour do you study daily?]]&lt;1),"At Risk","Normal")</f>
        <v>Normal</v>
      </c>
      <c r="AH422">
        <f>(Table1[[#This Row],[Average attendance on class]]*0.4)+(Table1[[#This Row],[How many hour do you study daily?]]*10*0.3)+(Table1[[#This Row],[How many hour do you spent daily on your skill development?]]*10*0.3)</f>
        <v>60.6</v>
      </c>
    </row>
    <row r="423" spans="1:34" x14ac:dyDescent="0.25">
      <c r="A423">
        <v>2022</v>
      </c>
      <c r="B423" t="s">
        <v>48</v>
      </c>
      <c r="C423">
        <v>21</v>
      </c>
      <c r="D423">
        <v>2020</v>
      </c>
      <c r="E423" t="s">
        <v>35</v>
      </c>
      <c r="F423">
        <v>2</v>
      </c>
      <c r="G423" t="s">
        <v>37</v>
      </c>
      <c r="H423" t="s">
        <v>37</v>
      </c>
      <c r="I423">
        <v>4</v>
      </c>
      <c r="J423">
        <v>2</v>
      </c>
      <c r="K423" t="s">
        <v>44</v>
      </c>
      <c r="L423" t="s">
        <v>36</v>
      </c>
      <c r="M423" t="s">
        <v>36</v>
      </c>
      <c r="N423">
        <v>2</v>
      </c>
      <c r="O423" t="s">
        <v>45</v>
      </c>
      <c r="P423">
        <v>95</v>
      </c>
      <c r="Q423" t="s">
        <v>36</v>
      </c>
      <c r="R423" t="s">
        <v>37</v>
      </c>
      <c r="S423" t="s">
        <v>36</v>
      </c>
      <c r="T423" t="s">
        <v>40</v>
      </c>
      <c r="U423">
        <v>4</v>
      </c>
      <c r="V423" t="s">
        <v>40</v>
      </c>
      <c r="W423" t="s">
        <v>42</v>
      </c>
      <c r="X423" t="s">
        <v>36</v>
      </c>
      <c r="Y423" t="s">
        <v>43</v>
      </c>
      <c r="Z423" t="s">
        <v>36</v>
      </c>
      <c r="AA423">
        <v>0.13</v>
      </c>
      <c r="AB423" t="s">
        <v>37</v>
      </c>
      <c r="AC423">
        <v>0.13</v>
      </c>
      <c r="AD423">
        <v>11</v>
      </c>
      <c r="AE423">
        <v>30000</v>
      </c>
      <c r="AF423" t="str">
        <f>IF(Table1[[#This Row],[What is your current CGPA?]]&gt;=3.5,"High",IF(Table1[[#This Row],[What is your current CGPA?]]&gt;=2.5,"Medium","Low"))</f>
        <v>Low</v>
      </c>
      <c r="AG423" t="str">
        <f>IF(AND(Table1[[#This Row],[Average attendance on class]]&lt;75,Table1[[#This Row],[How many hour do you study daily?]]&lt;1),"At Risk","Normal")</f>
        <v>Normal</v>
      </c>
      <c r="AH423">
        <f>(Table1[[#This Row],[Average attendance on class]]*0.4)+(Table1[[#This Row],[How many hour do you study daily?]]*10*0.3)+(Table1[[#This Row],[How many hour do you spent daily on your skill development?]]*10*0.3)</f>
        <v>62</v>
      </c>
    </row>
    <row r="424" spans="1:34" x14ac:dyDescent="0.25">
      <c r="A424">
        <v>2022</v>
      </c>
      <c r="B424" t="s">
        <v>48</v>
      </c>
      <c r="C424">
        <v>22</v>
      </c>
      <c r="D424">
        <v>2020</v>
      </c>
      <c r="E424" t="s">
        <v>35</v>
      </c>
      <c r="F424">
        <v>2</v>
      </c>
      <c r="G424" t="s">
        <v>36</v>
      </c>
      <c r="H424" t="s">
        <v>37</v>
      </c>
      <c r="I424">
        <v>4</v>
      </c>
      <c r="J424">
        <v>1</v>
      </c>
      <c r="K424" t="s">
        <v>38</v>
      </c>
      <c r="L424" t="s">
        <v>36</v>
      </c>
      <c r="M424" t="s">
        <v>36</v>
      </c>
      <c r="N424">
        <v>2</v>
      </c>
      <c r="O424" t="s">
        <v>45</v>
      </c>
      <c r="P424">
        <v>98</v>
      </c>
      <c r="Q424" t="s">
        <v>37</v>
      </c>
      <c r="R424" t="s">
        <v>37</v>
      </c>
      <c r="S424" t="s">
        <v>37</v>
      </c>
      <c r="T424" t="s">
        <v>40</v>
      </c>
      <c r="U424">
        <v>2</v>
      </c>
      <c r="V424" t="s">
        <v>49</v>
      </c>
      <c r="W424" t="s">
        <v>57</v>
      </c>
      <c r="X424" t="s">
        <v>37</v>
      </c>
      <c r="Y424" t="s">
        <v>43</v>
      </c>
      <c r="Z424" t="s">
        <v>36</v>
      </c>
      <c r="AA424">
        <v>3.05</v>
      </c>
      <c r="AB424" t="s">
        <v>37</v>
      </c>
      <c r="AC424">
        <v>3.05</v>
      </c>
      <c r="AD424">
        <v>11</v>
      </c>
      <c r="AE424">
        <v>20000</v>
      </c>
      <c r="AF424" t="str">
        <f>IF(Table1[[#This Row],[What is your current CGPA?]]&gt;=3.5,"High",IF(Table1[[#This Row],[What is your current CGPA?]]&gt;=2.5,"Medium","Low"))</f>
        <v>Medium</v>
      </c>
      <c r="AG424" t="str">
        <f>IF(AND(Table1[[#This Row],[Average attendance on class]]&lt;75,Table1[[#This Row],[How many hour do you study daily?]]&lt;1),"At Risk","Normal")</f>
        <v>Normal</v>
      </c>
      <c r="AH424">
        <f>(Table1[[#This Row],[Average attendance on class]]*0.4)+(Table1[[#This Row],[How many hour do you study daily?]]*10*0.3)+(Table1[[#This Row],[How many hour do you spent daily on your skill development?]]*10*0.3)</f>
        <v>57.2</v>
      </c>
    </row>
    <row r="425" spans="1:34" x14ac:dyDescent="0.25">
      <c r="A425">
        <v>2022</v>
      </c>
      <c r="B425" t="s">
        <v>48</v>
      </c>
      <c r="C425">
        <v>21</v>
      </c>
      <c r="D425">
        <v>2020</v>
      </c>
      <c r="E425" t="s">
        <v>35</v>
      </c>
      <c r="F425">
        <v>1</v>
      </c>
      <c r="G425" t="s">
        <v>37</v>
      </c>
      <c r="H425" t="s">
        <v>36</v>
      </c>
      <c r="I425">
        <v>3</v>
      </c>
      <c r="J425">
        <v>2</v>
      </c>
      <c r="K425" t="s">
        <v>38</v>
      </c>
      <c r="L425" t="s">
        <v>36</v>
      </c>
      <c r="M425" t="s">
        <v>36</v>
      </c>
      <c r="N425">
        <v>1</v>
      </c>
      <c r="O425" t="s">
        <v>53</v>
      </c>
      <c r="P425">
        <v>99</v>
      </c>
      <c r="Q425" t="s">
        <v>37</v>
      </c>
      <c r="R425" t="s">
        <v>37</v>
      </c>
      <c r="S425" t="s">
        <v>36</v>
      </c>
      <c r="T425" t="s">
        <v>40</v>
      </c>
      <c r="U425">
        <v>1</v>
      </c>
      <c r="V425" t="s">
        <v>40</v>
      </c>
      <c r="W425" t="s">
        <v>42</v>
      </c>
      <c r="X425" t="s">
        <v>36</v>
      </c>
      <c r="Y425" t="s">
        <v>47</v>
      </c>
      <c r="Z425" t="s">
        <v>37</v>
      </c>
      <c r="AA425">
        <v>4</v>
      </c>
      <c r="AB425" t="s">
        <v>37</v>
      </c>
      <c r="AC425">
        <v>4</v>
      </c>
      <c r="AD425">
        <v>11</v>
      </c>
      <c r="AE425">
        <v>80000</v>
      </c>
      <c r="AF425" t="str">
        <f>IF(Table1[[#This Row],[What is your current CGPA?]]&gt;=3.5,"High",IF(Table1[[#This Row],[What is your current CGPA?]]&gt;=2.5,"Medium","Low"))</f>
        <v>High</v>
      </c>
      <c r="AG425" t="str">
        <f>IF(AND(Table1[[#This Row],[Average attendance on class]]&lt;75,Table1[[#This Row],[How many hour do you study daily?]]&lt;1),"At Risk","Normal")</f>
        <v>Normal</v>
      </c>
      <c r="AH425">
        <f>(Table1[[#This Row],[Average attendance on class]]*0.4)+(Table1[[#This Row],[How many hour do you study daily?]]*10*0.3)+(Table1[[#This Row],[How many hour do you spent daily on your skill development?]]*10*0.3)</f>
        <v>51.6</v>
      </c>
    </row>
    <row r="426" spans="1:34" x14ac:dyDescent="0.25">
      <c r="A426">
        <v>2021</v>
      </c>
      <c r="B426" t="s">
        <v>48</v>
      </c>
      <c r="C426">
        <v>20</v>
      </c>
      <c r="D426">
        <v>2020</v>
      </c>
      <c r="E426" t="s">
        <v>35</v>
      </c>
      <c r="F426">
        <v>2</v>
      </c>
      <c r="G426" t="s">
        <v>36</v>
      </c>
      <c r="H426" t="s">
        <v>37</v>
      </c>
      <c r="I426">
        <v>4</v>
      </c>
      <c r="J426">
        <v>1</v>
      </c>
      <c r="K426" t="s">
        <v>38</v>
      </c>
      <c r="L426" t="s">
        <v>36</v>
      </c>
      <c r="M426" t="s">
        <v>36</v>
      </c>
      <c r="N426">
        <v>3</v>
      </c>
      <c r="O426" t="s">
        <v>39</v>
      </c>
      <c r="P426">
        <v>98</v>
      </c>
      <c r="Q426" t="s">
        <v>37</v>
      </c>
      <c r="R426" t="s">
        <v>37</v>
      </c>
      <c r="S426" t="s">
        <v>36</v>
      </c>
      <c r="T426" t="s">
        <v>40</v>
      </c>
      <c r="U426">
        <v>3</v>
      </c>
      <c r="V426" t="s">
        <v>40</v>
      </c>
      <c r="W426" t="s">
        <v>56</v>
      </c>
      <c r="X426" t="s">
        <v>36</v>
      </c>
      <c r="Y426" t="s">
        <v>47</v>
      </c>
      <c r="Z426" t="s">
        <v>37</v>
      </c>
      <c r="AA426">
        <v>3.75</v>
      </c>
      <c r="AB426" t="s">
        <v>37</v>
      </c>
      <c r="AC426">
        <v>3.75</v>
      </c>
      <c r="AD426">
        <v>11</v>
      </c>
      <c r="AE426">
        <v>60000</v>
      </c>
      <c r="AF426" t="str">
        <f>IF(Table1[[#This Row],[What is your current CGPA?]]&gt;=3.5,"High",IF(Table1[[#This Row],[What is your current CGPA?]]&gt;=2.5,"Medium","Low"))</f>
        <v>High</v>
      </c>
      <c r="AG426" t="str">
        <f>IF(AND(Table1[[#This Row],[Average attendance on class]]&lt;75,Table1[[#This Row],[How many hour do you study daily?]]&lt;1),"At Risk","Normal")</f>
        <v>Normal</v>
      </c>
      <c r="AH426">
        <f>(Table1[[#This Row],[Average attendance on class]]*0.4)+(Table1[[#This Row],[How many hour do you study daily?]]*10*0.3)+(Table1[[#This Row],[How many hour do you spent daily on your skill development?]]*10*0.3)</f>
        <v>60.2</v>
      </c>
    </row>
    <row r="427" spans="1:34" x14ac:dyDescent="0.25">
      <c r="A427">
        <v>2021</v>
      </c>
      <c r="B427" t="s">
        <v>34</v>
      </c>
      <c r="C427">
        <v>22</v>
      </c>
      <c r="D427">
        <v>2019</v>
      </c>
      <c r="E427" t="s">
        <v>35</v>
      </c>
      <c r="F427">
        <v>2</v>
      </c>
      <c r="G427" t="s">
        <v>36</v>
      </c>
      <c r="H427" t="s">
        <v>37</v>
      </c>
      <c r="I427">
        <v>3</v>
      </c>
      <c r="J427">
        <v>3</v>
      </c>
      <c r="K427" t="s">
        <v>38</v>
      </c>
      <c r="L427" t="s">
        <v>36</v>
      </c>
      <c r="M427" t="s">
        <v>36</v>
      </c>
      <c r="N427">
        <v>2</v>
      </c>
      <c r="O427" t="s">
        <v>39</v>
      </c>
      <c r="P427">
        <v>90</v>
      </c>
      <c r="Q427" t="s">
        <v>37</v>
      </c>
      <c r="R427" t="s">
        <v>37</v>
      </c>
      <c r="S427" t="s">
        <v>37</v>
      </c>
      <c r="T427" t="s">
        <v>40</v>
      </c>
      <c r="U427">
        <v>4</v>
      </c>
      <c r="V427" t="s">
        <v>40</v>
      </c>
      <c r="W427" t="s">
        <v>50</v>
      </c>
      <c r="X427" t="s">
        <v>37</v>
      </c>
      <c r="Y427" t="s">
        <v>43</v>
      </c>
      <c r="Z427" t="s">
        <v>37</v>
      </c>
      <c r="AA427">
        <v>3.33</v>
      </c>
      <c r="AB427" t="s">
        <v>37</v>
      </c>
      <c r="AC427">
        <v>3.33</v>
      </c>
      <c r="AD427">
        <v>12</v>
      </c>
      <c r="AE427">
        <v>20000</v>
      </c>
      <c r="AF427" t="str">
        <f>IF(Table1[[#This Row],[What is your current CGPA?]]&gt;=3.5,"High",IF(Table1[[#This Row],[What is your current CGPA?]]&gt;=2.5,"Medium","Low"))</f>
        <v>Medium</v>
      </c>
      <c r="AG427" t="str">
        <f>IF(AND(Table1[[#This Row],[Average attendance on class]]&lt;75,Table1[[#This Row],[How many hour do you study daily?]]&lt;1),"At Risk","Normal")</f>
        <v>Normal</v>
      </c>
      <c r="AH427">
        <f>(Table1[[#This Row],[Average attendance on class]]*0.4)+(Table1[[#This Row],[How many hour do you study daily?]]*10*0.3)+(Table1[[#This Row],[How many hour do you spent daily on your skill development?]]*10*0.3)</f>
        <v>57</v>
      </c>
    </row>
    <row r="428" spans="1:34" x14ac:dyDescent="0.25">
      <c r="A428">
        <v>2021</v>
      </c>
      <c r="B428" t="s">
        <v>34</v>
      </c>
      <c r="C428">
        <v>20</v>
      </c>
      <c r="D428">
        <v>2020</v>
      </c>
      <c r="E428" t="s">
        <v>35</v>
      </c>
      <c r="F428">
        <v>3</v>
      </c>
      <c r="G428" t="s">
        <v>36</v>
      </c>
      <c r="H428" t="s">
        <v>37</v>
      </c>
      <c r="I428">
        <v>4</v>
      </c>
      <c r="J428">
        <v>1</v>
      </c>
      <c r="K428" t="s">
        <v>44</v>
      </c>
      <c r="L428" t="s">
        <v>36</v>
      </c>
      <c r="M428" t="s">
        <v>36</v>
      </c>
      <c r="N428">
        <v>1</v>
      </c>
      <c r="O428" t="s">
        <v>45</v>
      </c>
      <c r="P428">
        <v>80</v>
      </c>
      <c r="Q428" t="s">
        <v>36</v>
      </c>
      <c r="R428" t="s">
        <v>37</v>
      </c>
      <c r="S428" t="s">
        <v>36</v>
      </c>
      <c r="T428" t="s">
        <v>40</v>
      </c>
      <c r="U428">
        <v>2</v>
      </c>
      <c r="V428" t="s">
        <v>51</v>
      </c>
      <c r="W428" t="s">
        <v>42</v>
      </c>
      <c r="X428" t="s">
        <v>36</v>
      </c>
      <c r="Y428" t="s">
        <v>43</v>
      </c>
      <c r="Z428" t="s">
        <v>37</v>
      </c>
      <c r="AA428">
        <v>2.81</v>
      </c>
      <c r="AB428" t="s">
        <v>36</v>
      </c>
      <c r="AC428">
        <v>2.81</v>
      </c>
      <c r="AD428">
        <v>35</v>
      </c>
      <c r="AE428">
        <v>40000</v>
      </c>
      <c r="AF428" t="str">
        <f>IF(Table1[[#This Row],[What is your current CGPA?]]&gt;=3.5,"High",IF(Table1[[#This Row],[What is your current CGPA?]]&gt;=2.5,"Medium","Low"))</f>
        <v>Medium</v>
      </c>
      <c r="AG428" t="str">
        <f>IF(AND(Table1[[#This Row],[Average attendance on class]]&lt;75,Table1[[#This Row],[How many hour do you study daily?]]&lt;1),"At Risk","Normal")</f>
        <v>Normal</v>
      </c>
      <c r="AH428">
        <f>(Table1[[#This Row],[Average attendance on class]]*0.4)+(Table1[[#This Row],[How many hour do you study daily?]]*10*0.3)+(Table1[[#This Row],[How many hour do you spent daily on your skill development?]]*10*0.3)</f>
        <v>50</v>
      </c>
    </row>
    <row r="429" spans="1:34" x14ac:dyDescent="0.25">
      <c r="A429">
        <v>2022</v>
      </c>
      <c r="B429" t="s">
        <v>34</v>
      </c>
      <c r="C429">
        <v>21</v>
      </c>
      <c r="D429">
        <v>2019</v>
      </c>
      <c r="E429" t="s">
        <v>35</v>
      </c>
      <c r="F429">
        <v>2</v>
      </c>
      <c r="G429" t="s">
        <v>36</v>
      </c>
      <c r="H429" t="s">
        <v>37</v>
      </c>
      <c r="I429">
        <v>3</v>
      </c>
      <c r="J429">
        <v>3</v>
      </c>
      <c r="K429" t="s">
        <v>38</v>
      </c>
      <c r="L429" t="s">
        <v>36</v>
      </c>
      <c r="M429" t="s">
        <v>36</v>
      </c>
      <c r="N429">
        <v>4</v>
      </c>
      <c r="O429" t="s">
        <v>39</v>
      </c>
      <c r="P429">
        <v>90</v>
      </c>
      <c r="Q429" t="s">
        <v>36</v>
      </c>
      <c r="R429" t="s">
        <v>37</v>
      </c>
      <c r="S429" t="s">
        <v>36</v>
      </c>
      <c r="T429" t="s">
        <v>73</v>
      </c>
      <c r="U429">
        <v>0</v>
      </c>
      <c r="V429" t="s">
        <v>40</v>
      </c>
      <c r="W429" t="s">
        <v>42</v>
      </c>
      <c r="X429" t="s">
        <v>36</v>
      </c>
      <c r="Y429" t="s">
        <v>43</v>
      </c>
      <c r="Z429" t="s">
        <v>36</v>
      </c>
      <c r="AA429">
        <v>2.1800000000000002</v>
      </c>
      <c r="AB429" t="s">
        <v>37</v>
      </c>
      <c r="AC429">
        <v>2.08</v>
      </c>
      <c r="AD429">
        <v>11</v>
      </c>
      <c r="AE429">
        <v>35000</v>
      </c>
      <c r="AF429" t="str">
        <f>IF(Table1[[#This Row],[What is your current CGPA?]]&gt;=3.5,"High",IF(Table1[[#This Row],[What is your current CGPA?]]&gt;=2.5,"Medium","Low"))</f>
        <v>Low</v>
      </c>
      <c r="AG429" t="str">
        <f>IF(AND(Table1[[#This Row],[Average attendance on class]]&lt;75,Table1[[#This Row],[How many hour do you study daily?]]&lt;1),"At Risk","Normal")</f>
        <v>Normal</v>
      </c>
      <c r="AH429">
        <f>(Table1[[#This Row],[Average attendance on class]]*0.4)+(Table1[[#This Row],[How many hour do you study daily?]]*10*0.3)+(Table1[[#This Row],[How many hour do you spent daily on your skill development?]]*10*0.3)</f>
        <v>45</v>
      </c>
    </row>
    <row r="430" spans="1:34" x14ac:dyDescent="0.25">
      <c r="A430">
        <v>2022</v>
      </c>
      <c r="B430" t="s">
        <v>34</v>
      </c>
      <c r="C430">
        <v>21</v>
      </c>
      <c r="D430">
        <v>2020</v>
      </c>
      <c r="E430" t="s">
        <v>35</v>
      </c>
      <c r="F430">
        <v>1</v>
      </c>
      <c r="G430" t="s">
        <v>37</v>
      </c>
      <c r="H430" t="s">
        <v>36</v>
      </c>
      <c r="I430">
        <v>4</v>
      </c>
      <c r="J430">
        <v>2</v>
      </c>
      <c r="K430" t="s">
        <v>38</v>
      </c>
      <c r="L430" t="s">
        <v>36</v>
      </c>
      <c r="M430" t="s">
        <v>36</v>
      </c>
      <c r="N430">
        <v>1</v>
      </c>
      <c r="O430" t="s">
        <v>39</v>
      </c>
      <c r="P430">
        <v>100</v>
      </c>
      <c r="Q430" t="s">
        <v>37</v>
      </c>
      <c r="R430" t="s">
        <v>37</v>
      </c>
      <c r="S430" t="s">
        <v>36</v>
      </c>
      <c r="T430" t="s">
        <v>89</v>
      </c>
      <c r="U430">
        <v>2</v>
      </c>
      <c r="V430" t="s">
        <v>40</v>
      </c>
      <c r="W430" t="s">
        <v>42</v>
      </c>
      <c r="X430" t="s">
        <v>37</v>
      </c>
      <c r="Y430" t="s">
        <v>47</v>
      </c>
      <c r="Z430" t="s">
        <v>37</v>
      </c>
      <c r="AA430">
        <v>0</v>
      </c>
      <c r="AB430" t="s">
        <v>37</v>
      </c>
      <c r="AC430">
        <v>0</v>
      </c>
      <c r="AD430">
        <v>0</v>
      </c>
      <c r="AE430">
        <v>30000</v>
      </c>
      <c r="AF430" t="str">
        <f>IF(Table1[[#This Row],[What is your current CGPA?]]&gt;=3.5,"High",IF(Table1[[#This Row],[What is your current CGPA?]]&gt;=2.5,"Medium","Low"))</f>
        <v>Low</v>
      </c>
      <c r="AG430" t="str">
        <f>IF(AND(Table1[[#This Row],[Average attendance on class]]&lt;75,Table1[[#This Row],[How many hour do you study daily?]]&lt;1),"At Risk","Normal")</f>
        <v>Normal</v>
      </c>
      <c r="AH430">
        <f>(Table1[[#This Row],[Average attendance on class]]*0.4)+(Table1[[#This Row],[How many hour do you study daily?]]*10*0.3)+(Table1[[#This Row],[How many hour do you spent daily on your skill development?]]*10*0.3)</f>
        <v>58</v>
      </c>
    </row>
    <row r="431" spans="1:34" x14ac:dyDescent="0.25">
      <c r="A431">
        <v>2020</v>
      </c>
      <c r="B431" t="s">
        <v>34</v>
      </c>
      <c r="C431">
        <v>23</v>
      </c>
      <c r="D431">
        <v>2018</v>
      </c>
      <c r="E431" t="s">
        <v>35</v>
      </c>
      <c r="F431">
        <v>8</v>
      </c>
      <c r="G431" t="s">
        <v>37</v>
      </c>
      <c r="H431" t="s">
        <v>36</v>
      </c>
      <c r="I431">
        <v>0</v>
      </c>
      <c r="J431">
        <v>3</v>
      </c>
      <c r="K431" t="s">
        <v>38</v>
      </c>
      <c r="L431" t="s">
        <v>36</v>
      </c>
      <c r="M431" t="s">
        <v>37</v>
      </c>
      <c r="N431">
        <v>3</v>
      </c>
      <c r="O431" t="s">
        <v>39</v>
      </c>
      <c r="P431">
        <v>70</v>
      </c>
      <c r="Q431" t="s">
        <v>37</v>
      </c>
      <c r="R431" t="s">
        <v>37</v>
      </c>
      <c r="S431" t="s">
        <v>37</v>
      </c>
      <c r="T431" t="s">
        <v>40</v>
      </c>
      <c r="U431">
        <v>6</v>
      </c>
      <c r="V431" t="s">
        <v>40</v>
      </c>
      <c r="W431" t="s">
        <v>42</v>
      </c>
      <c r="X431" t="s">
        <v>37</v>
      </c>
      <c r="Y431" t="s">
        <v>47</v>
      </c>
      <c r="Z431" t="s">
        <v>37</v>
      </c>
      <c r="AA431">
        <v>3.7</v>
      </c>
      <c r="AB431" t="s">
        <v>37</v>
      </c>
      <c r="AC431">
        <v>3.75</v>
      </c>
      <c r="AD431">
        <v>70</v>
      </c>
      <c r="AE431">
        <v>20000</v>
      </c>
      <c r="AF431" t="str">
        <f>IF(Table1[[#This Row],[What is your current CGPA?]]&gt;=3.5,"High",IF(Table1[[#This Row],[What is your current CGPA?]]&gt;=2.5,"Medium","Low"))</f>
        <v>High</v>
      </c>
      <c r="AG431" t="str">
        <f>IF(AND(Table1[[#This Row],[Average attendance on class]]&lt;75,Table1[[#This Row],[How many hour do you study daily?]]&lt;1),"At Risk","Normal")</f>
        <v>At Risk</v>
      </c>
      <c r="AH431">
        <f>(Table1[[#This Row],[Average attendance on class]]*0.4)+(Table1[[#This Row],[How many hour do you study daily?]]*10*0.3)+(Table1[[#This Row],[How many hour do you spent daily on your skill development?]]*10*0.3)</f>
        <v>46</v>
      </c>
    </row>
    <row r="432" spans="1:34" x14ac:dyDescent="0.25">
      <c r="A432">
        <v>2018</v>
      </c>
      <c r="B432" t="s">
        <v>48</v>
      </c>
      <c r="C432">
        <v>24</v>
      </c>
      <c r="D432">
        <v>2016</v>
      </c>
      <c r="E432" t="s">
        <v>35</v>
      </c>
      <c r="F432">
        <v>13</v>
      </c>
      <c r="G432" t="s">
        <v>37</v>
      </c>
      <c r="H432" t="s">
        <v>37</v>
      </c>
      <c r="I432">
        <v>2</v>
      </c>
      <c r="J432">
        <v>1</v>
      </c>
      <c r="K432" t="s">
        <v>44</v>
      </c>
      <c r="L432" t="s">
        <v>36</v>
      </c>
      <c r="M432" t="s">
        <v>36</v>
      </c>
      <c r="N432">
        <v>1</v>
      </c>
      <c r="O432" t="s">
        <v>39</v>
      </c>
      <c r="P432">
        <v>90</v>
      </c>
      <c r="Q432" t="s">
        <v>37</v>
      </c>
      <c r="R432" t="s">
        <v>37</v>
      </c>
      <c r="S432" t="s">
        <v>36</v>
      </c>
      <c r="T432" t="s">
        <v>51</v>
      </c>
      <c r="U432">
        <v>2</v>
      </c>
      <c r="V432" t="s">
        <v>59</v>
      </c>
      <c r="W432" t="s">
        <v>57</v>
      </c>
      <c r="X432" t="s">
        <v>37</v>
      </c>
      <c r="Y432" t="s">
        <v>43</v>
      </c>
      <c r="Z432" t="s">
        <v>36</v>
      </c>
      <c r="AA432">
        <v>3.62</v>
      </c>
      <c r="AB432" t="s">
        <v>37</v>
      </c>
      <c r="AC432">
        <v>3</v>
      </c>
      <c r="AD432">
        <v>140</v>
      </c>
      <c r="AE432">
        <v>62488</v>
      </c>
      <c r="AF432" t="str">
        <f>IF(Table1[[#This Row],[What is your current CGPA?]]&gt;=3.5,"High",IF(Table1[[#This Row],[What is your current CGPA?]]&gt;=2.5,"Medium","Low"))</f>
        <v>Medium</v>
      </c>
      <c r="AG432" t="str">
        <f>IF(AND(Table1[[#This Row],[Average attendance on class]]&lt;75,Table1[[#This Row],[How many hour do you study daily?]]&lt;1),"At Risk","Normal")</f>
        <v>Normal</v>
      </c>
      <c r="AH432">
        <f>(Table1[[#This Row],[Average attendance on class]]*0.4)+(Table1[[#This Row],[How many hour do you study daily?]]*10*0.3)+(Table1[[#This Row],[How many hour do you spent daily on your skill development?]]*10*0.3)</f>
        <v>48</v>
      </c>
    </row>
    <row r="433" spans="1:34" x14ac:dyDescent="0.25">
      <c r="A433">
        <v>2022</v>
      </c>
      <c r="B433" t="s">
        <v>34</v>
      </c>
      <c r="C433">
        <v>20</v>
      </c>
      <c r="D433">
        <v>2020</v>
      </c>
      <c r="E433" t="s">
        <v>35</v>
      </c>
      <c r="F433">
        <v>3</v>
      </c>
      <c r="G433" t="s">
        <v>37</v>
      </c>
      <c r="H433" t="s">
        <v>36</v>
      </c>
      <c r="I433">
        <v>2</v>
      </c>
      <c r="J433">
        <v>2</v>
      </c>
      <c r="K433" t="s">
        <v>38</v>
      </c>
      <c r="L433" t="s">
        <v>36</v>
      </c>
      <c r="M433" t="s">
        <v>36</v>
      </c>
      <c r="N433">
        <v>3</v>
      </c>
      <c r="O433" t="s">
        <v>45</v>
      </c>
      <c r="P433">
        <v>87</v>
      </c>
      <c r="Q433" t="s">
        <v>37</v>
      </c>
      <c r="R433" t="s">
        <v>37</v>
      </c>
      <c r="S433" t="s">
        <v>36</v>
      </c>
      <c r="T433" t="s">
        <v>40</v>
      </c>
      <c r="U433">
        <v>1</v>
      </c>
      <c r="V433" t="s">
        <v>40</v>
      </c>
      <c r="W433" t="s">
        <v>42</v>
      </c>
      <c r="X433" t="s">
        <v>37</v>
      </c>
      <c r="Y433" t="s">
        <v>47</v>
      </c>
      <c r="Z433" t="s">
        <v>36</v>
      </c>
      <c r="AA433">
        <v>3.18</v>
      </c>
      <c r="AB433" t="s">
        <v>36</v>
      </c>
      <c r="AC433">
        <v>3.18</v>
      </c>
      <c r="AD433">
        <v>11</v>
      </c>
      <c r="AE433">
        <v>35000</v>
      </c>
      <c r="AF433" t="str">
        <f>IF(Table1[[#This Row],[What is your current CGPA?]]&gt;=3.5,"High",IF(Table1[[#This Row],[What is your current CGPA?]]&gt;=2.5,"Medium","Low"))</f>
        <v>Medium</v>
      </c>
      <c r="AG433" t="str">
        <f>IF(AND(Table1[[#This Row],[Average attendance on class]]&lt;75,Table1[[#This Row],[How many hour do you study daily?]]&lt;1),"At Risk","Normal")</f>
        <v>Normal</v>
      </c>
      <c r="AH433">
        <f>(Table1[[#This Row],[Average attendance on class]]*0.4)+(Table1[[#This Row],[How many hour do you study daily?]]*10*0.3)+(Table1[[#This Row],[How many hour do you spent daily on your skill development?]]*10*0.3)</f>
        <v>43.800000000000004</v>
      </c>
    </row>
    <row r="434" spans="1:34" x14ac:dyDescent="0.25">
      <c r="A434">
        <v>2022</v>
      </c>
      <c r="B434" t="s">
        <v>48</v>
      </c>
      <c r="C434">
        <v>21</v>
      </c>
      <c r="D434">
        <v>2020</v>
      </c>
      <c r="E434" t="s">
        <v>35</v>
      </c>
      <c r="F434">
        <v>1</v>
      </c>
      <c r="G434" t="s">
        <v>36</v>
      </c>
      <c r="H434" t="s">
        <v>36</v>
      </c>
      <c r="I434">
        <v>3</v>
      </c>
      <c r="J434">
        <v>2</v>
      </c>
      <c r="K434" t="s">
        <v>44</v>
      </c>
      <c r="L434" t="s">
        <v>36</v>
      </c>
      <c r="M434" t="s">
        <v>37</v>
      </c>
      <c r="N434">
        <v>8</v>
      </c>
      <c r="O434" t="s">
        <v>45</v>
      </c>
      <c r="P434">
        <v>98</v>
      </c>
      <c r="Q434" t="s">
        <v>37</v>
      </c>
      <c r="R434" t="s">
        <v>37</v>
      </c>
      <c r="S434" t="s">
        <v>37</v>
      </c>
      <c r="T434" t="s">
        <v>40</v>
      </c>
      <c r="U434">
        <v>1</v>
      </c>
      <c r="V434" t="s">
        <v>40</v>
      </c>
      <c r="W434" t="s">
        <v>42</v>
      </c>
      <c r="X434" t="s">
        <v>36</v>
      </c>
      <c r="Y434" t="s">
        <v>47</v>
      </c>
      <c r="Z434" t="s">
        <v>36</v>
      </c>
      <c r="AA434">
        <v>3.55</v>
      </c>
      <c r="AB434" t="s">
        <v>36</v>
      </c>
      <c r="AC434">
        <v>3.59</v>
      </c>
      <c r="AD434">
        <v>11</v>
      </c>
      <c r="AE434">
        <v>100000</v>
      </c>
      <c r="AF434" t="str">
        <f>IF(Table1[[#This Row],[What is your current CGPA?]]&gt;=3.5,"High",IF(Table1[[#This Row],[What is your current CGPA?]]&gt;=2.5,"Medium","Low"))</f>
        <v>High</v>
      </c>
      <c r="AG434" t="str">
        <f>IF(AND(Table1[[#This Row],[Average attendance on class]]&lt;75,Table1[[#This Row],[How many hour do you study daily?]]&lt;1),"At Risk","Normal")</f>
        <v>Normal</v>
      </c>
      <c r="AH434">
        <f>(Table1[[#This Row],[Average attendance on class]]*0.4)+(Table1[[#This Row],[How many hour do you study daily?]]*10*0.3)+(Table1[[#This Row],[How many hour do you spent daily on your skill development?]]*10*0.3)</f>
        <v>51.2</v>
      </c>
    </row>
    <row r="435" spans="1:34" x14ac:dyDescent="0.25">
      <c r="A435">
        <v>2020</v>
      </c>
      <c r="B435" t="s">
        <v>34</v>
      </c>
      <c r="C435">
        <v>23</v>
      </c>
      <c r="D435">
        <v>2020</v>
      </c>
      <c r="E435" t="s">
        <v>35</v>
      </c>
      <c r="F435">
        <v>3</v>
      </c>
      <c r="G435" t="s">
        <v>36</v>
      </c>
      <c r="H435" t="s">
        <v>37</v>
      </c>
      <c r="I435">
        <v>4</v>
      </c>
      <c r="J435">
        <v>2</v>
      </c>
      <c r="K435" t="s">
        <v>38</v>
      </c>
      <c r="L435" t="s">
        <v>36</v>
      </c>
      <c r="M435" t="s">
        <v>36</v>
      </c>
      <c r="N435">
        <v>2</v>
      </c>
      <c r="O435" t="s">
        <v>45</v>
      </c>
      <c r="P435">
        <v>100</v>
      </c>
      <c r="Q435" t="s">
        <v>37</v>
      </c>
      <c r="R435" t="s">
        <v>37</v>
      </c>
      <c r="S435" t="s">
        <v>37</v>
      </c>
      <c r="T435" t="s">
        <v>40</v>
      </c>
      <c r="U435">
        <v>6</v>
      </c>
      <c r="V435" t="s">
        <v>40</v>
      </c>
      <c r="W435" t="s">
        <v>42</v>
      </c>
      <c r="X435" t="s">
        <v>36</v>
      </c>
      <c r="Y435" t="s">
        <v>43</v>
      </c>
      <c r="Z435" t="s">
        <v>37</v>
      </c>
      <c r="AA435">
        <v>3.58</v>
      </c>
      <c r="AB435" t="s">
        <v>37</v>
      </c>
      <c r="AC435">
        <v>3.75</v>
      </c>
      <c r="AD435">
        <v>23</v>
      </c>
      <c r="AE435">
        <v>15000</v>
      </c>
      <c r="AF435" t="str">
        <f>IF(Table1[[#This Row],[What is your current CGPA?]]&gt;=3.5,"High",IF(Table1[[#This Row],[What is your current CGPA?]]&gt;=2.5,"Medium","Low"))</f>
        <v>High</v>
      </c>
      <c r="AG435" t="str">
        <f>IF(AND(Table1[[#This Row],[Average attendance on class]]&lt;75,Table1[[#This Row],[How many hour do you study daily?]]&lt;1),"At Risk","Normal")</f>
        <v>Normal</v>
      </c>
      <c r="AH435">
        <f>(Table1[[#This Row],[Average attendance on class]]*0.4)+(Table1[[#This Row],[How many hour do you study daily?]]*10*0.3)+(Table1[[#This Row],[How many hour do you spent daily on your skill development?]]*10*0.3)</f>
        <v>70</v>
      </c>
    </row>
    <row r="436" spans="1:34" x14ac:dyDescent="0.25">
      <c r="A436">
        <v>2022</v>
      </c>
      <c r="B436" t="s">
        <v>34</v>
      </c>
      <c r="C436">
        <v>22</v>
      </c>
      <c r="D436">
        <v>2020</v>
      </c>
      <c r="E436" t="s">
        <v>35</v>
      </c>
      <c r="F436">
        <v>2</v>
      </c>
      <c r="G436" t="s">
        <v>36</v>
      </c>
      <c r="H436" t="s">
        <v>37</v>
      </c>
      <c r="I436">
        <v>2</v>
      </c>
      <c r="J436">
        <v>1</v>
      </c>
      <c r="K436" t="s">
        <v>38</v>
      </c>
      <c r="L436" t="s">
        <v>36</v>
      </c>
      <c r="M436" t="s">
        <v>36</v>
      </c>
      <c r="N436">
        <v>8</v>
      </c>
      <c r="O436" t="s">
        <v>45</v>
      </c>
      <c r="P436">
        <v>90</v>
      </c>
      <c r="Q436" t="s">
        <v>37</v>
      </c>
      <c r="R436" t="s">
        <v>37</v>
      </c>
      <c r="S436" t="s">
        <v>37</v>
      </c>
      <c r="T436" t="s">
        <v>40</v>
      </c>
      <c r="U436">
        <v>3</v>
      </c>
      <c r="V436" t="s">
        <v>40</v>
      </c>
      <c r="W436" t="s">
        <v>42</v>
      </c>
      <c r="X436" t="s">
        <v>37</v>
      </c>
      <c r="Y436" t="s">
        <v>43</v>
      </c>
      <c r="Z436" t="s">
        <v>36</v>
      </c>
      <c r="AA436">
        <v>3.88</v>
      </c>
      <c r="AB436" t="s">
        <v>37</v>
      </c>
      <c r="AC436">
        <v>3.88</v>
      </c>
      <c r="AD436">
        <v>12</v>
      </c>
      <c r="AE436">
        <v>10000</v>
      </c>
      <c r="AF436" t="str">
        <f>IF(Table1[[#This Row],[What is your current CGPA?]]&gt;=3.5,"High",IF(Table1[[#This Row],[What is your current CGPA?]]&gt;=2.5,"Medium","Low"))</f>
        <v>High</v>
      </c>
      <c r="AG436" t="str">
        <f>IF(AND(Table1[[#This Row],[Average attendance on class]]&lt;75,Table1[[#This Row],[How many hour do you study daily?]]&lt;1),"At Risk","Normal")</f>
        <v>Normal</v>
      </c>
      <c r="AH436">
        <f>(Table1[[#This Row],[Average attendance on class]]*0.4)+(Table1[[#This Row],[How many hour do you study daily?]]*10*0.3)+(Table1[[#This Row],[How many hour do you spent daily on your skill development?]]*10*0.3)</f>
        <v>51</v>
      </c>
    </row>
    <row r="437" spans="1:34" x14ac:dyDescent="0.25">
      <c r="A437">
        <v>2022</v>
      </c>
      <c r="B437" t="s">
        <v>34</v>
      </c>
      <c r="C437">
        <v>20</v>
      </c>
      <c r="D437">
        <v>2020</v>
      </c>
      <c r="E437" t="s">
        <v>35</v>
      </c>
      <c r="F437">
        <v>2</v>
      </c>
      <c r="G437" t="s">
        <v>36</v>
      </c>
      <c r="H437" t="s">
        <v>37</v>
      </c>
      <c r="I437">
        <v>2</v>
      </c>
      <c r="J437">
        <v>1</v>
      </c>
      <c r="K437" t="s">
        <v>38</v>
      </c>
      <c r="L437" t="s">
        <v>36</v>
      </c>
      <c r="M437" t="s">
        <v>36</v>
      </c>
      <c r="N437">
        <v>10</v>
      </c>
      <c r="O437" t="s">
        <v>45</v>
      </c>
      <c r="P437">
        <v>90</v>
      </c>
      <c r="Q437" t="s">
        <v>37</v>
      </c>
      <c r="R437" t="s">
        <v>37</v>
      </c>
      <c r="S437" t="s">
        <v>37</v>
      </c>
      <c r="T437" t="s">
        <v>40</v>
      </c>
      <c r="U437">
        <v>3</v>
      </c>
      <c r="V437" t="s">
        <v>40</v>
      </c>
      <c r="W437" t="s">
        <v>42</v>
      </c>
      <c r="X437" t="s">
        <v>37</v>
      </c>
      <c r="Y437" t="s">
        <v>43</v>
      </c>
      <c r="Z437" t="s">
        <v>37</v>
      </c>
      <c r="AA437">
        <v>3</v>
      </c>
      <c r="AB437" t="s">
        <v>37</v>
      </c>
      <c r="AC437">
        <v>3</v>
      </c>
      <c r="AD437">
        <v>12</v>
      </c>
      <c r="AE437">
        <v>30000</v>
      </c>
      <c r="AF437" t="str">
        <f>IF(Table1[[#This Row],[What is your current CGPA?]]&gt;=3.5,"High",IF(Table1[[#This Row],[What is your current CGPA?]]&gt;=2.5,"Medium","Low"))</f>
        <v>Medium</v>
      </c>
      <c r="AG437" t="str">
        <f>IF(AND(Table1[[#This Row],[Average attendance on class]]&lt;75,Table1[[#This Row],[How many hour do you study daily?]]&lt;1),"At Risk","Normal")</f>
        <v>Normal</v>
      </c>
      <c r="AH437">
        <f>(Table1[[#This Row],[Average attendance on class]]*0.4)+(Table1[[#This Row],[How many hour do you study daily?]]*10*0.3)+(Table1[[#This Row],[How many hour do you spent daily on your skill development?]]*10*0.3)</f>
        <v>51</v>
      </c>
    </row>
    <row r="438" spans="1:34" x14ac:dyDescent="0.25">
      <c r="A438">
        <v>2022</v>
      </c>
      <c r="B438" t="s">
        <v>34</v>
      </c>
      <c r="C438">
        <v>20</v>
      </c>
      <c r="D438">
        <v>2020</v>
      </c>
      <c r="E438" t="s">
        <v>35</v>
      </c>
      <c r="F438">
        <v>2</v>
      </c>
      <c r="G438" t="s">
        <v>36</v>
      </c>
      <c r="H438" t="s">
        <v>37</v>
      </c>
      <c r="I438">
        <v>4</v>
      </c>
      <c r="J438">
        <v>2</v>
      </c>
      <c r="K438" t="s">
        <v>38</v>
      </c>
      <c r="L438" t="s">
        <v>36</v>
      </c>
      <c r="M438" t="s">
        <v>36</v>
      </c>
      <c r="N438">
        <v>1</v>
      </c>
      <c r="O438" t="s">
        <v>39</v>
      </c>
      <c r="P438">
        <v>95</v>
      </c>
      <c r="Q438" t="s">
        <v>37</v>
      </c>
      <c r="R438" t="s">
        <v>36</v>
      </c>
      <c r="S438" t="s">
        <v>36</v>
      </c>
      <c r="T438" t="s">
        <v>40</v>
      </c>
      <c r="U438">
        <v>2</v>
      </c>
      <c r="V438" t="s">
        <v>40</v>
      </c>
      <c r="W438" t="s">
        <v>42</v>
      </c>
      <c r="X438" t="s">
        <v>36</v>
      </c>
      <c r="Y438" t="s">
        <v>43</v>
      </c>
      <c r="Z438" t="s">
        <v>37</v>
      </c>
      <c r="AA438">
        <v>4</v>
      </c>
      <c r="AB438" t="s">
        <v>37</v>
      </c>
      <c r="AC438">
        <v>4</v>
      </c>
      <c r="AD438">
        <v>11</v>
      </c>
      <c r="AE438">
        <v>40000</v>
      </c>
      <c r="AF438" t="str">
        <f>IF(Table1[[#This Row],[What is your current CGPA?]]&gt;=3.5,"High",IF(Table1[[#This Row],[What is your current CGPA?]]&gt;=2.5,"Medium","Low"))</f>
        <v>High</v>
      </c>
      <c r="AG438" t="str">
        <f>IF(AND(Table1[[#This Row],[Average attendance on class]]&lt;75,Table1[[#This Row],[How many hour do you study daily?]]&lt;1),"At Risk","Normal")</f>
        <v>Normal</v>
      </c>
      <c r="AH438">
        <f>(Table1[[#This Row],[Average attendance on class]]*0.4)+(Table1[[#This Row],[How many hour do you study daily?]]*10*0.3)+(Table1[[#This Row],[How many hour do you spent daily on your skill development?]]*10*0.3)</f>
        <v>56</v>
      </c>
    </row>
    <row r="439" spans="1:34" x14ac:dyDescent="0.25">
      <c r="A439">
        <v>2022</v>
      </c>
      <c r="B439" t="s">
        <v>34</v>
      </c>
      <c r="C439">
        <v>22</v>
      </c>
      <c r="D439">
        <v>2016</v>
      </c>
      <c r="E439" t="s">
        <v>35</v>
      </c>
      <c r="F439">
        <v>2</v>
      </c>
      <c r="G439" t="s">
        <v>36</v>
      </c>
      <c r="H439" t="s">
        <v>36</v>
      </c>
      <c r="I439">
        <v>2</v>
      </c>
      <c r="J439">
        <v>2</v>
      </c>
      <c r="K439" t="s">
        <v>44</v>
      </c>
      <c r="L439" t="s">
        <v>36</v>
      </c>
      <c r="M439" t="s">
        <v>36</v>
      </c>
      <c r="N439">
        <v>1</v>
      </c>
      <c r="O439" t="s">
        <v>45</v>
      </c>
      <c r="P439">
        <v>80</v>
      </c>
      <c r="Q439" t="s">
        <v>37</v>
      </c>
      <c r="R439" t="s">
        <v>37</v>
      </c>
      <c r="S439" t="s">
        <v>36</v>
      </c>
      <c r="T439" t="s">
        <v>40</v>
      </c>
      <c r="U439">
        <v>3</v>
      </c>
      <c r="V439" t="s">
        <v>51</v>
      </c>
      <c r="W439" t="s">
        <v>50</v>
      </c>
      <c r="X439" t="s">
        <v>36</v>
      </c>
      <c r="Y439" t="s">
        <v>47</v>
      </c>
      <c r="Z439" t="s">
        <v>37</v>
      </c>
      <c r="AA439">
        <v>3.97</v>
      </c>
      <c r="AB439" t="s">
        <v>37</v>
      </c>
      <c r="AC439">
        <v>3.97</v>
      </c>
      <c r="AD439">
        <v>11</v>
      </c>
      <c r="AE439">
        <v>30000</v>
      </c>
      <c r="AF439" t="str">
        <f>IF(Table1[[#This Row],[What is your current CGPA?]]&gt;=3.5,"High",IF(Table1[[#This Row],[What is your current CGPA?]]&gt;=2.5,"Medium","Low"))</f>
        <v>High</v>
      </c>
      <c r="AG439" t="str">
        <f>IF(AND(Table1[[#This Row],[Average attendance on class]]&lt;75,Table1[[#This Row],[How many hour do you study daily?]]&lt;1),"At Risk","Normal")</f>
        <v>Normal</v>
      </c>
      <c r="AH439">
        <f>(Table1[[#This Row],[Average attendance on class]]*0.4)+(Table1[[#This Row],[How many hour do you study daily?]]*10*0.3)+(Table1[[#This Row],[How many hour do you spent daily on your skill development?]]*10*0.3)</f>
        <v>47</v>
      </c>
    </row>
    <row r="440" spans="1:34" x14ac:dyDescent="0.25">
      <c r="A440">
        <v>2021</v>
      </c>
      <c r="B440" t="s">
        <v>34</v>
      </c>
      <c r="C440">
        <v>22</v>
      </c>
      <c r="D440">
        <v>2020</v>
      </c>
      <c r="E440" t="s">
        <v>35</v>
      </c>
      <c r="F440">
        <v>3</v>
      </c>
      <c r="G440" t="s">
        <v>36</v>
      </c>
      <c r="H440" t="s">
        <v>36</v>
      </c>
      <c r="I440">
        <v>3</v>
      </c>
      <c r="J440">
        <v>2</v>
      </c>
      <c r="K440" t="s">
        <v>44</v>
      </c>
      <c r="L440" t="s">
        <v>36</v>
      </c>
      <c r="M440" t="s">
        <v>36</v>
      </c>
      <c r="N440">
        <v>1</v>
      </c>
      <c r="O440" t="s">
        <v>39</v>
      </c>
      <c r="P440">
        <v>75</v>
      </c>
      <c r="Q440" t="s">
        <v>37</v>
      </c>
      <c r="R440" t="s">
        <v>37</v>
      </c>
      <c r="S440" t="s">
        <v>36</v>
      </c>
      <c r="T440" t="s">
        <v>40</v>
      </c>
      <c r="U440">
        <v>2</v>
      </c>
      <c r="V440" t="s">
        <v>40</v>
      </c>
      <c r="W440" t="s">
        <v>42</v>
      </c>
      <c r="X440" t="s">
        <v>36</v>
      </c>
      <c r="Y440" t="s">
        <v>43</v>
      </c>
      <c r="Z440" t="s">
        <v>37</v>
      </c>
      <c r="AA440">
        <v>3.79</v>
      </c>
      <c r="AB440" t="s">
        <v>37</v>
      </c>
      <c r="AC440">
        <v>3.69</v>
      </c>
      <c r="AD440">
        <v>25</v>
      </c>
      <c r="AE440">
        <v>100000</v>
      </c>
      <c r="AF440" t="str">
        <f>IF(Table1[[#This Row],[What is your current CGPA?]]&gt;=3.5,"High",IF(Table1[[#This Row],[What is your current CGPA?]]&gt;=2.5,"Medium","Low"))</f>
        <v>High</v>
      </c>
      <c r="AG440" t="str">
        <f>IF(AND(Table1[[#This Row],[Average attendance on class]]&lt;75,Table1[[#This Row],[How many hour do you study daily?]]&lt;1),"At Risk","Normal")</f>
        <v>Normal</v>
      </c>
      <c r="AH440">
        <f>(Table1[[#This Row],[Average attendance on class]]*0.4)+(Table1[[#This Row],[How many hour do you study daily?]]*10*0.3)+(Table1[[#This Row],[How many hour do you spent daily on your skill development?]]*10*0.3)</f>
        <v>45</v>
      </c>
    </row>
    <row r="441" spans="1:34" x14ac:dyDescent="0.25">
      <c r="A441">
        <v>2019</v>
      </c>
      <c r="B441" t="s">
        <v>34</v>
      </c>
      <c r="C441">
        <v>22</v>
      </c>
      <c r="D441">
        <v>2018</v>
      </c>
      <c r="E441" t="s">
        <v>35</v>
      </c>
      <c r="F441">
        <v>11</v>
      </c>
      <c r="G441" t="s">
        <v>37</v>
      </c>
      <c r="H441" t="s">
        <v>37</v>
      </c>
      <c r="I441">
        <v>6</v>
      </c>
      <c r="J441">
        <v>2</v>
      </c>
      <c r="K441" t="s">
        <v>38</v>
      </c>
      <c r="L441" t="s">
        <v>36</v>
      </c>
      <c r="M441" t="s">
        <v>36</v>
      </c>
      <c r="N441">
        <v>2</v>
      </c>
      <c r="O441" t="s">
        <v>39</v>
      </c>
      <c r="P441">
        <v>90</v>
      </c>
      <c r="Q441" t="s">
        <v>36</v>
      </c>
      <c r="R441" t="s">
        <v>37</v>
      </c>
      <c r="S441" t="s">
        <v>36</v>
      </c>
      <c r="T441" t="s">
        <v>40</v>
      </c>
      <c r="U441">
        <v>2</v>
      </c>
      <c r="V441" t="s">
        <v>40</v>
      </c>
      <c r="W441" t="s">
        <v>50</v>
      </c>
      <c r="X441" t="s">
        <v>37</v>
      </c>
      <c r="Y441" t="s">
        <v>43</v>
      </c>
      <c r="Z441" t="s">
        <v>37</v>
      </c>
      <c r="AA441">
        <v>2.96</v>
      </c>
      <c r="AB441" t="s">
        <v>37</v>
      </c>
      <c r="AC441">
        <v>2.89</v>
      </c>
      <c r="AD441">
        <v>111</v>
      </c>
      <c r="AE441">
        <v>50000</v>
      </c>
      <c r="AF441" t="str">
        <f>IF(Table1[[#This Row],[What is your current CGPA?]]&gt;=3.5,"High",IF(Table1[[#This Row],[What is your current CGPA?]]&gt;=2.5,"Medium","Low"))</f>
        <v>Medium</v>
      </c>
      <c r="AG441" t="str">
        <f>IF(AND(Table1[[#This Row],[Average attendance on class]]&lt;75,Table1[[#This Row],[How many hour do you study daily?]]&lt;1),"At Risk","Normal")</f>
        <v>Normal</v>
      </c>
      <c r="AH441">
        <f>(Table1[[#This Row],[Average attendance on class]]*0.4)+(Table1[[#This Row],[How many hour do you study daily?]]*10*0.3)+(Table1[[#This Row],[How many hour do you spent daily on your skill development?]]*10*0.3)</f>
        <v>60</v>
      </c>
    </row>
    <row r="442" spans="1:34" x14ac:dyDescent="0.25">
      <c r="A442">
        <v>2021</v>
      </c>
      <c r="B442" t="s">
        <v>34</v>
      </c>
      <c r="C442">
        <v>21</v>
      </c>
      <c r="D442">
        <v>2020</v>
      </c>
      <c r="E442" t="s">
        <v>35</v>
      </c>
      <c r="F442">
        <v>5</v>
      </c>
      <c r="G442" t="s">
        <v>36</v>
      </c>
      <c r="H442" t="s">
        <v>37</v>
      </c>
      <c r="I442">
        <v>5</v>
      </c>
      <c r="J442">
        <v>1</v>
      </c>
      <c r="K442" t="s">
        <v>38</v>
      </c>
      <c r="L442" t="s">
        <v>37</v>
      </c>
      <c r="M442" t="s">
        <v>36</v>
      </c>
      <c r="N442">
        <v>3</v>
      </c>
      <c r="O442" t="s">
        <v>39</v>
      </c>
      <c r="P442">
        <v>88</v>
      </c>
      <c r="Q442" t="s">
        <v>37</v>
      </c>
      <c r="R442" t="s">
        <v>37</v>
      </c>
      <c r="S442" t="s">
        <v>36</v>
      </c>
      <c r="T442" t="s">
        <v>40</v>
      </c>
      <c r="U442">
        <v>3</v>
      </c>
      <c r="V442" t="s">
        <v>40</v>
      </c>
      <c r="W442" t="s">
        <v>42</v>
      </c>
      <c r="X442" t="s">
        <v>36</v>
      </c>
      <c r="Y442" t="s">
        <v>43</v>
      </c>
      <c r="Z442" t="s">
        <v>36</v>
      </c>
      <c r="AA442">
        <v>3.77</v>
      </c>
      <c r="AB442" t="s">
        <v>37</v>
      </c>
      <c r="AC442">
        <v>3.86</v>
      </c>
      <c r="AD442">
        <v>49</v>
      </c>
      <c r="AE442">
        <v>30000</v>
      </c>
      <c r="AF442" t="str">
        <f>IF(Table1[[#This Row],[What is your current CGPA?]]&gt;=3.5,"High",IF(Table1[[#This Row],[What is your current CGPA?]]&gt;=2.5,"Medium","Low"))</f>
        <v>High</v>
      </c>
      <c r="AG442" t="str">
        <f>IF(AND(Table1[[#This Row],[Average attendance on class]]&lt;75,Table1[[#This Row],[How many hour do you study daily?]]&lt;1),"At Risk","Normal")</f>
        <v>Normal</v>
      </c>
      <c r="AH442">
        <f>(Table1[[#This Row],[Average attendance on class]]*0.4)+(Table1[[#This Row],[How many hour do you study daily?]]*10*0.3)+(Table1[[#This Row],[How many hour do you spent daily on your skill development?]]*10*0.3)</f>
        <v>59.2</v>
      </c>
    </row>
    <row r="443" spans="1:34" x14ac:dyDescent="0.25">
      <c r="A443">
        <v>2019</v>
      </c>
      <c r="B443" t="s">
        <v>34</v>
      </c>
      <c r="C443">
        <v>25</v>
      </c>
      <c r="D443">
        <v>2017</v>
      </c>
      <c r="E443" t="s">
        <v>35</v>
      </c>
      <c r="F443">
        <v>11</v>
      </c>
      <c r="G443" t="s">
        <v>37</v>
      </c>
      <c r="H443" t="s">
        <v>37</v>
      </c>
      <c r="I443">
        <v>1</v>
      </c>
      <c r="J443">
        <v>1</v>
      </c>
      <c r="K443" t="s">
        <v>38</v>
      </c>
      <c r="L443" t="s">
        <v>36</v>
      </c>
      <c r="M443" t="s">
        <v>36</v>
      </c>
      <c r="N443">
        <v>1</v>
      </c>
      <c r="O443" t="s">
        <v>39</v>
      </c>
      <c r="P443">
        <v>90</v>
      </c>
      <c r="Q443" t="s">
        <v>37</v>
      </c>
      <c r="R443" t="s">
        <v>37</v>
      </c>
      <c r="S443" t="s">
        <v>37</v>
      </c>
      <c r="T443" t="s">
        <v>40</v>
      </c>
      <c r="U443">
        <v>4</v>
      </c>
      <c r="V443" t="s">
        <v>40</v>
      </c>
      <c r="W443" t="s">
        <v>42</v>
      </c>
      <c r="X443" t="s">
        <v>37</v>
      </c>
      <c r="Y443" t="s">
        <v>47</v>
      </c>
      <c r="Z443" t="s">
        <v>37</v>
      </c>
      <c r="AA443">
        <v>3.44</v>
      </c>
      <c r="AB443" t="s">
        <v>37</v>
      </c>
      <c r="AC443">
        <v>3.48</v>
      </c>
      <c r="AD443">
        <v>124</v>
      </c>
      <c r="AE443">
        <v>50000</v>
      </c>
      <c r="AF443" t="str">
        <f>IF(Table1[[#This Row],[What is your current CGPA?]]&gt;=3.5,"High",IF(Table1[[#This Row],[What is your current CGPA?]]&gt;=2.5,"Medium","Low"))</f>
        <v>Medium</v>
      </c>
      <c r="AG443" t="str">
        <f>IF(AND(Table1[[#This Row],[Average attendance on class]]&lt;75,Table1[[#This Row],[How many hour do you study daily?]]&lt;1),"At Risk","Normal")</f>
        <v>Normal</v>
      </c>
      <c r="AH443">
        <f>(Table1[[#This Row],[Average attendance on class]]*0.4)+(Table1[[#This Row],[How many hour do you study daily?]]*10*0.3)+(Table1[[#This Row],[How many hour do you spent daily on your skill development?]]*10*0.3)</f>
        <v>51</v>
      </c>
    </row>
    <row r="444" spans="1:34" x14ac:dyDescent="0.25">
      <c r="A444">
        <v>2022</v>
      </c>
      <c r="B444" t="s">
        <v>34</v>
      </c>
      <c r="C444">
        <v>19</v>
      </c>
      <c r="D444">
        <v>2021</v>
      </c>
      <c r="E444" t="s">
        <v>35</v>
      </c>
      <c r="F444">
        <v>1</v>
      </c>
      <c r="G444" t="s">
        <v>36</v>
      </c>
      <c r="H444" t="s">
        <v>37</v>
      </c>
      <c r="I444">
        <v>4</v>
      </c>
      <c r="J444">
        <v>3</v>
      </c>
      <c r="K444" t="s">
        <v>38</v>
      </c>
      <c r="L444" t="s">
        <v>36</v>
      </c>
      <c r="M444" t="s">
        <v>36</v>
      </c>
      <c r="N444">
        <v>3</v>
      </c>
      <c r="O444" t="s">
        <v>53</v>
      </c>
      <c r="P444">
        <v>100</v>
      </c>
      <c r="Q444" t="s">
        <v>37</v>
      </c>
      <c r="R444" t="s">
        <v>37</v>
      </c>
      <c r="S444" t="s">
        <v>36</v>
      </c>
      <c r="T444" t="s">
        <v>40</v>
      </c>
      <c r="U444">
        <v>1</v>
      </c>
      <c r="V444" t="s">
        <v>40</v>
      </c>
      <c r="W444" t="s">
        <v>42</v>
      </c>
      <c r="X444" t="s">
        <v>37</v>
      </c>
      <c r="Y444" t="s">
        <v>43</v>
      </c>
      <c r="Z444" t="s">
        <v>36</v>
      </c>
      <c r="AA444">
        <v>0</v>
      </c>
      <c r="AB444" t="s">
        <v>37</v>
      </c>
      <c r="AC444">
        <v>0</v>
      </c>
      <c r="AD444">
        <v>0</v>
      </c>
      <c r="AE444">
        <v>40000</v>
      </c>
      <c r="AF444" t="str">
        <f>IF(Table1[[#This Row],[What is your current CGPA?]]&gt;=3.5,"High",IF(Table1[[#This Row],[What is your current CGPA?]]&gt;=2.5,"Medium","Low"))</f>
        <v>Low</v>
      </c>
      <c r="AG444" t="str">
        <f>IF(AND(Table1[[#This Row],[Average attendance on class]]&lt;75,Table1[[#This Row],[How many hour do you study daily?]]&lt;1),"At Risk","Normal")</f>
        <v>Normal</v>
      </c>
      <c r="AH444">
        <f>(Table1[[#This Row],[Average attendance on class]]*0.4)+(Table1[[#This Row],[How many hour do you study daily?]]*10*0.3)+(Table1[[#This Row],[How many hour do you spent daily on your skill development?]]*10*0.3)</f>
        <v>55</v>
      </c>
    </row>
    <row r="445" spans="1:34" x14ac:dyDescent="0.25">
      <c r="A445">
        <v>2021</v>
      </c>
      <c r="B445" t="s">
        <v>48</v>
      </c>
      <c r="C445">
        <v>21</v>
      </c>
      <c r="D445">
        <v>2019</v>
      </c>
      <c r="E445" t="s">
        <v>35</v>
      </c>
      <c r="F445">
        <v>3</v>
      </c>
      <c r="G445" t="s">
        <v>36</v>
      </c>
      <c r="H445" t="s">
        <v>36</v>
      </c>
      <c r="I445">
        <v>2</v>
      </c>
      <c r="J445">
        <v>2</v>
      </c>
      <c r="K445" t="s">
        <v>44</v>
      </c>
      <c r="L445" t="s">
        <v>36</v>
      </c>
      <c r="M445" t="s">
        <v>36</v>
      </c>
      <c r="N445">
        <v>2</v>
      </c>
      <c r="O445" t="s">
        <v>39</v>
      </c>
      <c r="P445">
        <v>85</v>
      </c>
      <c r="Q445" t="s">
        <v>37</v>
      </c>
      <c r="R445" t="s">
        <v>37</v>
      </c>
      <c r="S445" t="s">
        <v>36</v>
      </c>
      <c r="T445" t="s">
        <v>40</v>
      </c>
      <c r="U445">
        <v>1</v>
      </c>
      <c r="V445" t="s">
        <v>40</v>
      </c>
      <c r="W445" t="s">
        <v>42</v>
      </c>
      <c r="X445" t="s">
        <v>37</v>
      </c>
      <c r="Y445" t="s">
        <v>47</v>
      </c>
      <c r="Z445" t="s">
        <v>37</v>
      </c>
      <c r="AA445">
        <v>3.56</v>
      </c>
      <c r="AB445" t="s">
        <v>37</v>
      </c>
      <c r="AC445">
        <v>3.66</v>
      </c>
      <c r="AD445">
        <v>23</v>
      </c>
      <c r="AE445">
        <v>25000</v>
      </c>
      <c r="AF445" t="str">
        <f>IF(Table1[[#This Row],[What is your current CGPA?]]&gt;=3.5,"High",IF(Table1[[#This Row],[What is your current CGPA?]]&gt;=2.5,"Medium","Low"))</f>
        <v>High</v>
      </c>
      <c r="AG445" t="str">
        <f>IF(AND(Table1[[#This Row],[Average attendance on class]]&lt;75,Table1[[#This Row],[How many hour do you study daily?]]&lt;1),"At Risk","Normal")</f>
        <v>Normal</v>
      </c>
      <c r="AH445">
        <f>(Table1[[#This Row],[Average attendance on class]]*0.4)+(Table1[[#This Row],[How many hour do you study daily?]]*10*0.3)+(Table1[[#This Row],[How many hour do you spent daily on your skill development?]]*10*0.3)</f>
        <v>43</v>
      </c>
    </row>
    <row r="446" spans="1:34" x14ac:dyDescent="0.25">
      <c r="A446">
        <v>2020</v>
      </c>
      <c r="B446" t="s">
        <v>34</v>
      </c>
      <c r="C446">
        <v>19</v>
      </c>
      <c r="D446">
        <v>2019</v>
      </c>
      <c r="E446" t="s">
        <v>35</v>
      </c>
      <c r="F446">
        <v>2</v>
      </c>
      <c r="G446" t="s">
        <v>36</v>
      </c>
      <c r="H446" t="s">
        <v>36</v>
      </c>
      <c r="I446">
        <v>3</v>
      </c>
      <c r="J446">
        <v>2</v>
      </c>
      <c r="K446" t="s">
        <v>38</v>
      </c>
      <c r="L446" t="s">
        <v>36</v>
      </c>
      <c r="M446" t="s">
        <v>36</v>
      </c>
      <c r="N446">
        <v>1</v>
      </c>
      <c r="O446" t="s">
        <v>45</v>
      </c>
      <c r="P446">
        <v>100</v>
      </c>
      <c r="Q446" t="s">
        <v>37</v>
      </c>
      <c r="R446" t="s">
        <v>37</v>
      </c>
      <c r="S446" t="s">
        <v>36</v>
      </c>
      <c r="T446" t="s">
        <v>40</v>
      </c>
      <c r="U446">
        <v>1</v>
      </c>
      <c r="V446" t="s">
        <v>40</v>
      </c>
      <c r="W446" t="s">
        <v>42</v>
      </c>
      <c r="X446" t="s">
        <v>37</v>
      </c>
      <c r="Y446" t="s">
        <v>47</v>
      </c>
      <c r="Z446" t="s">
        <v>37</v>
      </c>
      <c r="AA446">
        <v>3.56</v>
      </c>
      <c r="AB446" t="s">
        <v>37</v>
      </c>
      <c r="AC446">
        <v>3.56</v>
      </c>
      <c r="AD446">
        <v>12</v>
      </c>
      <c r="AE446">
        <v>40000</v>
      </c>
      <c r="AF446" t="str">
        <f>IF(Table1[[#This Row],[What is your current CGPA?]]&gt;=3.5,"High",IF(Table1[[#This Row],[What is your current CGPA?]]&gt;=2.5,"Medium","Low"))</f>
        <v>High</v>
      </c>
      <c r="AG446" t="str">
        <f>IF(AND(Table1[[#This Row],[Average attendance on class]]&lt;75,Table1[[#This Row],[How many hour do you study daily?]]&lt;1),"At Risk","Normal")</f>
        <v>Normal</v>
      </c>
      <c r="AH446">
        <f>(Table1[[#This Row],[Average attendance on class]]*0.4)+(Table1[[#This Row],[How many hour do you study daily?]]*10*0.3)+(Table1[[#This Row],[How many hour do you spent daily on your skill development?]]*10*0.3)</f>
        <v>52</v>
      </c>
    </row>
    <row r="447" spans="1:34" x14ac:dyDescent="0.25">
      <c r="A447">
        <v>2021</v>
      </c>
      <c r="B447" t="s">
        <v>48</v>
      </c>
      <c r="C447">
        <v>22</v>
      </c>
      <c r="D447">
        <v>2020</v>
      </c>
      <c r="E447" t="s">
        <v>35</v>
      </c>
      <c r="F447">
        <v>4</v>
      </c>
      <c r="G447" t="s">
        <v>36</v>
      </c>
      <c r="H447" t="s">
        <v>36</v>
      </c>
      <c r="I447">
        <v>5</v>
      </c>
      <c r="J447">
        <v>2</v>
      </c>
      <c r="K447" t="s">
        <v>38</v>
      </c>
      <c r="L447" t="s">
        <v>36</v>
      </c>
      <c r="M447" t="s">
        <v>36</v>
      </c>
      <c r="N447">
        <v>2</v>
      </c>
      <c r="O447" t="s">
        <v>39</v>
      </c>
      <c r="P447">
        <v>88</v>
      </c>
      <c r="Q447" t="s">
        <v>37</v>
      </c>
      <c r="R447" t="s">
        <v>37</v>
      </c>
      <c r="S447" t="s">
        <v>36</v>
      </c>
      <c r="T447" t="s">
        <v>40</v>
      </c>
      <c r="U447">
        <v>3</v>
      </c>
      <c r="V447" t="s">
        <v>40</v>
      </c>
      <c r="W447" t="s">
        <v>42</v>
      </c>
      <c r="X447" t="s">
        <v>36</v>
      </c>
      <c r="Y447" t="s">
        <v>47</v>
      </c>
      <c r="Z447" t="s">
        <v>37</v>
      </c>
      <c r="AA447">
        <v>2.48</v>
      </c>
      <c r="AB447" t="s">
        <v>37</v>
      </c>
      <c r="AC447">
        <v>2.74</v>
      </c>
      <c r="AD447">
        <v>23</v>
      </c>
      <c r="AE447">
        <v>35000</v>
      </c>
      <c r="AF447" t="str">
        <f>IF(Table1[[#This Row],[What is your current CGPA?]]&gt;=3.5,"High",IF(Table1[[#This Row],[What is your current CGPA?]]&gt;=2.5,"Medium","Low"))</f>
        <v>Medium</v>
      </c>
      <c r="AG447" t="str">
        <f>IF(AND(Table1[[#This Row],[Average attendance on class]]&lt;75,Table1[[#This Row],[How many hour do you study daily?]]&lt;1),"At Risk","Normal")</f>
        <v>Normal</v>
      </c>
      <c r="AH447">
        <f>(Table1[[#This Row],[Average attendance on class]]*0.4)+(Table1[[#This Row],[How many hour do you study daily?]]*10*0.3)+(Table1[[#This Row],[How many hour do you spent daily on your skill development?]]*10*0.3)</f>
        <v>59.2</v>
      </c>
    </row>
    <row r="448" spans="1:34" x14ac:dyDescent="0.25">
      <c r="A448">
        <v>2022</v>
      </c>
      <c r="B448" t="s">
        <v>48</v>
      </c>
      <c r="C448">
        <v>20</v>
      </c>
      <c r="D448">
        <v>2020</v>
      </c>
      <c r="E448" t="s">
        <v>35</v>
      </c>
      <c r="F448">
        <v>1</v>
      </c>
      <c r="G448" t="s">
        <v>36</v>
      </c>
      <c r="H448" t="s">
        <v>36</v>
      </c>
      <c r="I448">
        <v>0</v>
      </c>
      <c r="J448">
        <v>2</v>
      </c>
      <c r="K448" t="s">
        <v>44</v>
      </c>
      <c r="L448" t="s">
        <v>36</v>
      </c>
      <c r="M448" t="s">
        <v>36</v>
      </c>
      <c r="N448">
        <v>3</v>
      </c>
      <c r="O448" t="s">
        <v>45</v>
      </c>
      <c r="P448">
        <v>97</v>
      </c>
      <c r="Q448" t="s">
        <v>37</v>
      </c>
      <c r="R448" t="s">
        <v>37</v>
      </c>
      <c r="S448" t="s">
        <v>37</v>
      </c>
      <c r="T448" t="s">
        <v>85</v>
      </c>
      <c r="U448">
        <v>1</v>
      </c>
      <c r="V448" t="s">
        <v>40</v>
      </c>
      <c r="W448" t="s">
        <v>42</v>
      </c>
      <c r="X448" t="s">
        <v>37</v>
      </c>
      <c r="Y448" t="s">
        <v>47</v>
      </c>
      <c r="Z448" t="s">
        <v>36</v>
      </c>
      <c r="AA448">
        <v>0</v>
      </c>
      <c r="AB448" t="s">
        <v>36</v>
      </c>
      <c r="AC448">
        <v>0</v>
      </c>
      <c r="AD448">
        <v>0</v>
      </c>
      <c r="AE448">
        <v>35000</v>
      </c>
      <c r="AF448" t="str">
        <f>IF(Table1[[#This Row],[What is your current CGPA?]]&gt;=3.5,"High",IF(Table1[[#This Row],[What is your current CGPA?]]&gt;=2.5,"Medium","Low"))</f>
        <v>Low</v>
      </c>
      <c r="AG448" t="str">
        <f>IF(AND(Table1[[#This Row],[Average attendance on class]]&lt;75,Table1[[#This Row],[How many hour do you study daily?]]&lt;1),"At Risk","Normal")</f>
        <v>Normal</v>
      </c>
      <c r="AH448">
        <f>(Table1[[#This Row],[Average attendance on class]]*0.4)+(Table1[[#This Row],[How many hour do you study daily?]]*10*0.3)+(Table1[[#This Row],[How many hour do you spent daily on your skill development?]]*10*0.3)</f>
        <v>41.800000000000004</v>
      </c>
    </row>
    <row r="449" spans="1:34" x14ac:dyDescent="0.25">
      <c r="A449">
        <v>2022</v>
      </c>
      <c r="B449" t="s">
        <v>34</v>
      </c>
      <c r="C449">
        <v>20</v>
      </c>
      <c r="D449">
        <v>2020</v>
      </c>
      <c r="E449" t="s">
        <v>35</v>
      </c>
      <c r="F449">
        <v>2</v>
      </c>
      <c r="G449" t="s">
        <v>36</v>
      </c>
      <c r="H449" t="s">
        <v>36</v>
      </c>
      <c r="I449">
        <v>1</v>
      </c>
      <c r="J449">
        <v>1</v>
      </c>
      <c r="K449" t="s">
        <v>44</v>
      </c>
      <c r="L449" t="s">
        <v>36</v>
      </c>
      <c r="M449" t="s">
        <v>36</v>
      </c>
      <c r="N449">
        <v>5</v>
      </c>
      <c r="O449" t="s">
        <v>45</v>
      </c>
      <c r="P449">
        <v>80</v>
      </c>
      <c r="Q449" t="s">
        <v>36</v>
      </c>
      <c r="R449" t="s">
        <v>37</v>
      </c>
      <c r="S449" t="s">
        <v>37</v>
      </c>
      <c r="T449" t="s">
        <v>90</v>
      </c>
      <c r="U449">
        <v>0</v>
      </c>
      <c r="V449" t="s">
        <v>40</v>
      </c>
      <c r="W449" t="s">
        <v>42</v>
      </c>
      <c r="X449" t="s">
        <v>37</v>
      </c>
      <c r="Y449" t="s">
        <v>47</v>
      </c>
      <c r="Z449" t="s">
        <v>37</v>
      </c>
      <c r="AA449">
        <v>3.25</v>
      </c>
      <c r="AB449" t="s">
        <v>37</v>
      </c>
      <c r="AC449">
        <v>3.2</v>
      </c>
      <c r="AD449">
        <v>11</v>
      </c>
      <c r="AE449">
        <v>40000</v>
      </c>
      <c r="AF449" t="str">
        <f>IF(Table1[[#This Row],[What is your current CGPA?]]&gt;=3.5,"High",IF(Table1[[#This Row],[What is your current CGPA?]]&gt;=2.5,"Medium","Low"))</f>
        <v>Medium</v>
      </c>
      <c r="AG449" t="str">
        <f>IF(AND(Table1[[#This Row],[Average attendance on class]]&lt;75,Table1[[#This Row],[How many hour do you study daily?]]&lt;1),"At Risk","Normal")</f>
        <v>Normal</v>
      </c>
      <c r="AH449">
        <f>(Table1[[#This Row],[Average attendance on class]]*0.4)+(Table1[[#This Row],[How many hour do you study daily?]]*10*0.3)+(Table1[[#This Row],[How many hour do you spent daily on your skill development?]]*10*0.3)</f>
        <v>35</v>
      </c>
    </row>
    <row r="450" spans="1:34" x14ac:dyDescent="0.25">
      <c r="A450">
        <v>2022</v>
      </c>
      <c r="B450" t="s">
        <v>34</v>
      </c>
      <c r="C450">
        <v>19</v>
      </c>
      <c r="D450">
        <v>2021</v>
      </c>
      <c r="E450" t="s">
        <v>35</v>
      </c>
      <c r="F450">
        <v>1</v>
      </c>
      <c r="G450" t="s">
        <v>36</v>
      </c>
      <c r="H450" t="s">
        <v>37</v>
      </c>
      <c r="I450">
        <v>4</v>
      </c>
      <c r="J450">
        <v>2</v>
      </c>
      <c r="K450" t="s">
        <v>38</v>
      </c>
      <c r="L450" t="s">
        <v>36</v>
      </c>
      <c r="M450" t="s">
        <v>36</v>
      </c>
      <c r="N450">
        <v>5</v>
      </c>
      <c r="O450" t="s">
        <v>45</v>
      </c>
      <c r="P450">
        <v>85</v>
      </c>
      <c r="Q450" t="s">
        <v>37</v>
      </c>
      <c r="R450" t="s">
        <v>37</v>
      </c>
      <c r="S450" t="s">
        <v>36</v>
      </c>
      <c r="T450" t="s">
        <v>90</v>
      </c>
      <c r="U450">
        <v>0</v>
      </c>
      <c r="V450" t="s">
        <v>40</v>
      </c>
      <c r="W450" t="s">
        <v>42</v>
      </c>
      <c r="X450" t="s">
        <v>36</v>
      </c>
      <c r="Y450" t="s">
        <v>43</v>
      </c>
      <c r="Z450" t="s">
        <v>37</v>
      </c>
      <c r="AA450">
        <v>0</v>
      </c>
      <c r="AB450" t="s">
        <v>37</v>
      </c>
      <c r="AC450">
        <v>0</v>
      </c>
      <c r="AD450">
        <v>0</v>
      </c>
      <c r="AE450">
        <v>50000</v>
      </c>
      <c r="AF450" t="str">
        <f>IF(Table1[[#This Row],[What is your current CGPA?]]&gt;=3.5,"High",IF(Table1[[#This Row],[What is your current CGPA?]]&gt;=2.5,"Medium","Low"))</f>
        <v>Low</v>
      </c>
      <c r="AG450" t="str">
        <f>IF(AND(Table1[[#This Row],[Average attendance on class]]&lt;75,Table1[[#This Row],[How many hour do you study daily?]]&lt;1),"At Risk","Normal")</f>
        <v>Normal</v>
      </c>
      <c r="AH450">
        <f>(Table1[[#This Row],[Average attendance on class]]*0.4)+(Table1[[#This Row],[How many hour do you study daily?]]*10*0.3)+(Table1[[#This Row],[How many hour do you spent daily on your skill development?]]*10*0.3)</f>
        <v>46</v>
      </c>
    </row>
    <row r="451" spans="1:34" x14ac:dyDescent="0.25">
      <c r="A451">
        <v>2021</v>
      </c>
      <c r="B451" t="s">
        <v>34</v>
      </c>
      <c r="C451">
        <v>22</v>
      </c>
      <c r="D451">
        <v>2019</v>
      </c>
      <c r="E451" t="s">
        <v>35</v>
      </c>
      <c r="F451">
        <v>4</v>
      </c>
      <c r="G451" t="s">
        <v>36</v>
      </c>
      <c r="H451" t="s">
        <v>37</v>
      </c>
      <c r="I451">
        <v>2</v>
      </c>
      <c r="J451">
        <v>1</v>
      </c>
      <c r="K451" t="s">
        <v>38</v>
      </c>
      <c r="L451" t="s">
        <v>36</v>
      </c>
      <c r="M451" t="s">
        <v>36</v>
      </c>
      <c r="N451">
        <v>3</v>
      </c>
      <c r="O451" t="s">
        <v>39</v>
      </c>
      <c r="P451">
        <v>80</v>
      </c>
      <c r="Q451" t="s">
        <v>37</v>
      </c>
      <c r="R451" t="s">
        <v>37</v>
      </c>
      <c r="S451" t="s">
        <v>36</v>
      </c>
      <c r="T451" t="s">
        <v>40</v>
      </c>
      <c r="U451">
        <v>2</v>
      </c>
      <c r="V451" t="s">
        <v>41</v>
      </c>
      <c r="W451" t="s">
        <v>42</v>
      </c>
      <c r="X451" t="s">
        <v>36</v>
      </c>
      <c r="Y451" t="s">
        <v>47</v>
      </c>
      <c r="Z451" t="s">
        <v>37</v>
      </c>
      <c r="AA451">
        <v>3.7</v>
      </c>
      <c r="AB451" t="s">
        <v>37</v>
      </c>
      <c r="AC451">
        <v>3.4</v>
      </c>
      <c r="AD451">
        <v>39</v>
      </c>
      <c r="AE451">
        <v>50000</v>
      </c>
      <c r="AF451" t="str">
        <f>IF(Table1[[#This Row],[What is your current CGPA?]]&gt;=3.5,"High",IF(Table1[[#This Row],[What is your current CGPA?]]&gt;=2.5,"Medium","Low"))</f>
        <v>Medium</v>
      </c>
      <c r="AG451" t="str">
        <f>IF(AND(Table1[[#This Row],[Average attendance on class]]&lt;75,Table1[[#This Row],[How many hour do you study daily?]]&lt;1),"At Risk","Normal")</f>
        <v>Normal</v>
      </c>
      <c r="AH451">
        <f>(Table1[[#This Row],[Average attendance on class]]*0.4)+(Table1[[#This Row],[How many hour do you study daily?]]*10*0.3)+(Table1[[#This Row],[How many hour do you spent daily on your skill development?]]*10*0.3)</f>
        <v>44</v>
      </c>
    </row>
    <row r="452" spans="1:34" x14ac:dyDescent="0.25">
      <c r="A452">
        <v>2021</v>
      </c>
      <c r="B452" t="s">
        <v>48</v>
      </c>
      <c r="C452">
        <v>20</v>
      </c>
      <c r="D452">
        <v>2020</v>
      </c>
      <c r="E452" t="s">
        <v>35</v>
      </c>
      <c r="F452">
        <v>4</v>
      </c>
      <c r="G452" t="s">
        <v>36</v>
      </c>
      <c r="H452" t="s">
        <v>37</v>
      </c>
      <c r="I452">
        <v>1</v>
      </c>
      <c r="J452">
        <v>1</v>
      </c>
      <c r="K452" t="s">
        <v>38</v>
      </c>
      <c r="L452" t="s">
        <v>36</v>
      </c>
      <c r="M452" t="s">
        <v>37</v>
      </c>
      <c r="N452">
        <v>2</v>
      </c>
      <c r="O452" t="s">
        <v>39</v>
      </c>
      <c r="P452">
        <v>100</v>
      </c>
      <c r="Q452" t="s">
        <v>37</v>
      </c>
      <c r="R452" t="s">
        <v>37</v>
      </c>
      <c r="S452" t="s">
        <v>37</v>
      </c>
      <c r="T452" t="s">
        <v>40</v>
      </c>
      <c r="U452">
        <v>0</v>
      </c>
      <c r="V452" t="s">
        <v>41</v>
      </c>
      <c r="W452" t="s">
        <v>42</v>
      </c>
      <c r="X452" t="s">
        <v>37</v>
      </c>
      <c r="Y452" t="s">
        <v>47</v>
      </c>
      <c r="Z452" t="s">
        <v>37</v>
      </c>
      <c r="AA452">
        <v>3.38</v>
      </c>
      <c r="AB452" t="s">
        <v>37</v>
      </c>
      <c r="AC452">
        <v>3.58</v>
      </c>
      <c r="AD452">
        <v>25</v>
      </c>
      <c r="AE452">
        <v>80000</v>
      </c>
      <c r="AF452" t="str">
        <f>IF(Table1[[#This Row],[What is your current CGPA?]]&gt;=3.5,"High",IF(Table1[[#This Row],[What is your current CGPA?]]&gt;=2.5,"Medium","Low"))</f>
        <v>High</v>
      </c>
      <c r="AG452" t="str">
        <f>IF(AND(Table1[[#This Row],[Average attendance on class]]&lt;75,Table1[[#This Row],[How many hour do you study daily?]]&lt;1),"At Risk","Normal")</f>
        <v>Normal</v>
      </c>
      <c r="AH452">
        <f>(Table1[[#This Row],[Average attendance on class]]*0.4)+(Table1[[#This Row],[How many hour do you study daily?]]*10*0.3)+(Table1[[#This Row],[How many hour do you spent daily on your skill development?]]*10*0.3)</f>
        <v>43</v>
      </c>
    </row>
    <row r="453" spans="1:34" x14ac:dyDescent="0.25">
      <c r="A453">
        <v>2021</v>
      </c>
      <c r="B453" t="s">
        <v>34</v>
      </c>
      <c r="C453">
        <v>21</v>
      </c>
      <c r="D453">
        <v>2019</v>
      </c>
      <c r="E453" t="s">
        <v>35</v>
      </c>
      <c r="F453">
        <v>4</v>
      </c>
      <c r="G453" t="s">
        <v>36</v>
      </c>
      <c r="H453" t="s">
        <v>37</v>
      </c>
      <c r="I453">
        <v>1</v>
      </c>
      <c r="J453">
        <v>2</v>
      </c>
      <c r="K453" t="s">
        <v>44</v>
      </c>
      <c r="L453" t="s">
        <v>36</v>
      </c>
      <c r="M453" t="s">
        <v>36</v>
      </c>
      <c r="N453">
        <v>2</v>
      </c>
      <c r="O453" t="s">
        <v>39</v>
      </c>
      <c r="P453">
        <v>80</v>
      </c>
      <c r="Q453" t="s">
        <v>37</v>
      </c>
      <c r="R453" t="s">
        <v>37</v>
      </c>
      <c r="S453" t="s">
        <v>36</v>
      </c>
      <c r="T453" t="s">
        <v>40</v>
      </c>
      <c r="U453">
        <v>4</v>
      </c>
      <c r="V453" t="s">
        <v>40</v>
      </c>
      <c r="W453" t="s">
        <v>42</v>
      </c>
      <c r="X453" t="s">
        <v>36</v>
      </c>
      <c r="Y453" t="s">
        <v>43</v>
      </c>
      <c r="Z453" t="s">
        <v>37</v>
      </c>
      <c r="AA453">
        <v>3.78</v>
      </c>
      <c r="AB453" t="s">
        <v>37</v>
      </c>
      <c r="AC453">
        <v>3.9</v>
      </c>
      <c r="AD453">
        <v>49</v>
      </c>
      <c r="AE453">
        <v>40000</v>
      </c>
      <c r="AF453" t="str">
        <f>IF(Table1[[#This Row],[What is your current CGPA?]]&gt;=3.5,"High",IF(Table1[[#This Row],[What is your current CGPA?]]&gt;=2.5,"Medium","Low"))</f>
        <v>High</v>
      </c>
      <c r="AG453" t="str">
        <f>IF(AND(Table1[[#This Row],[Average attendance on class]]&lt;75,Table1[[#This Row],[How many hour do you study daily?]]&lt;1),"At Risk","Normal")</f>
        <v>Normal</v>
      </c>
      <c r="AH453">
        <f>(Table1[[#This Row],[Average attendance on class]]*0.4)+(Table1[[#This Row],[How many hour do you study daily?]]*10*0.3)+(Table1[[#This Row],[How many hour do you spent daily on your skill development?]]*10*0.3)</f>
        <v>47</v>
      </c>
    </row>
    <row r="454" spans="1:34" x14ac:dyDescent="0.25">
      <c r="A454">
        <v>2019</v>
      </c>
      <c r="B454" t="s">
        <v>48</v>
      </c>
      <c r="C454">
        <v>24</v>
      </c>
      <c r="D454">
        <v>2016</v>
      </c>
      <c r="E454" t="s">
        <v>35</v>
      </c>
      <c r="F454">
        <v>10</v>
      </c>
      <c r="G454" t="s">
        <v>37</v>
      </c>
      <c r="H454" t="s">
        <v>37</v>
      </c>
      <c r="I454">
        <v>4</v>
      </c>
      <c r="J454">
        <v>2</v>
      </c>
      <c r="K454" t="s">
        <v>38</v>
      </c>
      <c r="L454" t="s">
        <v>36</v>
      </c>
      <c r="M454" t="s">
        <v>36</v>
      </c>
      <c r="N454">
        <v>3</v>
      </c>
      <c r="O454" t="s">
        <v>39</v>
      </c>
      <c r="P454">
        <v>95</v>
      </c>
      <c r="Q454" t="s">
        <v>37</v>
      </c>
      <c r="R454" t="s">
        <v>37</v>
      </c>
      <c r="S454" t="s">
        <v>36</v>
      </c>
      <c r="T454" t="s">
        <v>40</v>
      </c>
      <c r="U454">
        <v>2</v>
      </c>
      <c r="V454" t="s">
        <v>52</v>
      </c>
      <c r="W454" t="s">
        <v>42</v>
      </c>
      <c r="X454" t="s">
        <v>37</v>
      </c>
      <c r="Y454" t="s">
        <v>43</v>
      </c>
      <c r="Z454" t="s">
        <v>37</v>
      </c>
      <c r="AA454">
        <v>3.4</v>
      </c>
      <c r="AB454" t="s">
        <v>37</v>
      </c>
      <c r="AC454">
        <v>3.5</v>
      </c>
      <c r="AD454">
        <v>106</v>
      </c>
      <c r="AE454">
        <v>20000</v>
      </c>
      <c r="AF454" t="str">
        <f>IF(Table1[[#This Row],[What is your current CGPA?]]&gt;=3.5,"High",IF(Table1[[#This Row],[What is your current CGPA?]]&gt;=2.5,"Medium","Low"))</f>
        <v>High</v>
      </c>
      <c r="AG454" t="str">
        <f>IF(AND(Table1[[#This Row],[Average attendance on class]]&lt;75,Table1[[#This Row],[How many hour do you study daily?]]&lt;1),"At Risk","Normal")</f>
        <v>Normal</v>
      </c>
      <c r="AH454">
        <f>(Table1[[#This Row],[Average attendance on class]]*0.4)+(Table1[[#This Row],[How many hour do you study daily?]]*10*0.3)+(Table1[[#This Row],[How many hour do you spent daily on your skill development?]]*10*0.3)</f>
        <v>56</v>
      </c>
    </row>
    <row r="455" spans="1:34" x14ac:dyDescent="0.25">
      <c r="A455">
        <v>2019</v>
      </c>
      <c r="B455" t="s">
        <v>34</v>
      </c>
      <c r="C455">
        <v>24</v>
      </c>
      <c r="D455">
        <v>2017</v>
      </c>
      <c r="E455" t="s">
        <v>35</v>
      </c>
      <c r="F455">
        <v>10</v>
      </c>
      <c r="G455" t="s">
        <v>37</v>
      </c>
      <c r="H455" t="s">
        <v>37</v>
      </c>
      <c r="I455">
        <v>2</v>
      </c>
      <c r="J455">
        <v>1</v>
      </c>
      <c r="K455" t="s">
        <v>38</v>
      </c>
      <c r="L455" t="s">
        <v>36</v>
      </c>
      <c r="M455" t="s">
        <v>36</v>
      </c>
      <c r="N455">
        <v>3</v>
      </c>
      <c r="O455" t="s">
        <v>39</v>
      </c>
      <c r="P455">
        <v>80</v>
      </c>
      <c r="Q455" t="s">
        <v>37</v>
      </c>
      <c r="R455" t="s">
        <v>37</v>
      </c>
      <c r="S455" t="s">
        <v>36</v>
      </c>
      <c r="T455" t="s">
        <v>40</v>
      </c>
      <c r="U455">
        <v>5</v>
      </c>
      <c r="V455" t="s">
        <v>40</v>
      </c>
      <c r="W455" t="s">
        <v>42</v>
      </c>
      <c r="X455" t="s">
        <v>36</v>
      </c>
      <c r="Y455" t="s">
        <v>47</v>
      </c>
      <c r="Z455" t="s">
        <v>37</v>
      </c>
      <c r="AA455">
        <v>2.58</v>
      </c>
      <c r="AB455" t="s">
        <v>37</v>
      </c>
      <c r="AC455">
        <v>2.93</v>
      </c>
      <c r="AD455">
        <v>106</v>
      </c>
      <c r="AE455">
        <v>65000</v>
      </c>
      <c r="AF455" t="str">
        <f>IF(Table1[[#This Row],[What is your current CGPA?]]&gt;=3.5,"High",IF(Table1[[#This Row],[What is your current CGPA?]]&gt;=2.5,"Medium","Low"))</f>
        <v>Medium</v>
      </c>
      <c r="AG455" t="str">
        <f>IF(AND(Table1[[#This Row],[Average attendance on class]]&lt;75,Table1[[#This Row],[How many hour do you study daily?]]&lt;1),"At Risk","Normal")</f>
        <v>Normal</v>
      </c>
      <c r="AH455">
        <f>(Table1[[#This Row],[Average attendance on class]]*0.4)+(Table1[[#This Row],[How many hour do you study daily?]]*10*0.3)+(Table1[[#This Row],[How many hour do you spent daily on your skill development?]]*10*0.3)</f>
        <v>53</v>
      </c>
    </row>
    <row r="456" spans="1:34" x14ac:dyDescent="0.25">
      <c r="A456">
        <v>2020</v>
      </c>
      <c r="B456" t="s">
        <v>34</v>
      </c>
      <c r="C456">
        <v>21</v>
      </c>
      <c r="D456">
        <v>2019</v>
      </c>
      <c r="E456" t="s">
        <v>35</v>
      </c>
      <c r="F456">
        <v>8</v>
      </c>
      <c r="G456" t="s">
        <v>37</v>
      </c>
      <c r="H456" t="s">
        <v>37</v>
      </c>
      <c r="I456">
        <v>1</v>
      </c>
      <c r="J456">
        <v>1</v>
      </c>
      <c r="K456" t="s">
        <v>44</v>
      </c>
      <c r="L456" t="s">
        <v>36</v>
      </c>
      <c r="M456" t="s">
        <v>36</v>
      </c>
      <c r="N456">
        <v>1</v>
      </c>
      <c r="O456" t="s">
        <v>53</v>
      </c>
      <c r="P456">
        <v>85</v>
      </c>
      <c r="Q456" t="s">
        <v>37</v>
      </c>
      <c r="R456" t="s">
        <v>37</v>
      </c>
      <c r="S456" t="s">
        <v>36</v>
      </c>
      <c r="T456" t="s">
        <v>40</v>
      </c>
      <c r="U456">
        <v>1</v>
      </c>
      <c r="V456" t="s">
        <v>51</v>
      </c>
      <c r="W456" t="s">
        <v>50</v>
      </c>
      <c r="X456" t="s">
        <v>37</v>
      </c>
      <c r="Y456" t="s">
        <v>43</v>
      </c>
      <c r="Z456" t="s">
        <v>36</v>
      </c>
      <c r="AA456">
        <v>3.96</v>
      </c>
      <c r="AB456" t="s">
        <v>37</v>
      </c>
      <c r="AC456">
        <v>3.7</v>
      </c>
      <c r="AD456">
        <v>85</v>
      </c>
      <c r="AE456">
        <v>25000</v>
      </c>
      <c r="AF456" t="str">
        <f>IF(Table1[[#This Row],[What is your current CGPA?]]&gt;=3.5,"High",IF(Table1[[#This Row],[What is your current CGPA?]]&gt;=2.5,"Medium","Low"))</f>
        <v>High</v>
      </c>
      <c r="AG456" t="str">
        <f>IF(AND(Table1[[#This Row],[Average attendance on class]]&lt;75,Table1[[#This Row],[How many hour do you study daily?]]&lt;1),"At Risk","Normal")</f>
        <v>Normal</v>
      </c>
      <c r="AH456">
        <f>(Table1[[#This Row],[Average attendance on class]]*0.4)+(Table1[[#This Row],[How many hour do you study daily?]]*10*0.3)+(Table1[[#This Row],[How many hour do you spent daily on your skill development?]]*10*0.3)</f>
        <v>40</v>
      </c>
    </row>
    <row r="457" spans="1:34" x14ac:dyDescent="0.25">
      <c r="A457">
        <v>2021</v>
      </c>
      <c r="B457" t="s">
        <v>48</v>
      </c>
      <c r="C457">
        <v>21</v>
      </c>
      <c r="D457">
        <v>2020</v>
      </c>
      <c r="E457" t="s">
        <v>35</v>
      </c>
      <c r="F457">
        <v>3</v>
      </c>
      <c r="G457" t="s">
        <v>36</v>
      </c>
      <c r="H457" t="s">
        <v>36</v>
      </c>
      <c r="I457">
        <v>3</v>
      </c>
      <c r="J457">
        <v>2</v>
      </c>
      <c r="K457" t="s">
        <v>38</v>
      </c>
      <c r="L457" t="s">
        <v>36</v>
      </c>
      <c r="M457" t="s">
        <v>36</v>
      </c>
      <c r="N457">
        <v>2</v>
      </c>
      <c r="O457" t="s">
        <v>39</v>
      </c>
      <c r="P457">
        <v>88</v>
      </c>
      <c r="Q457" t="s">
        <v>37</v>
      </c>
      <c r="R457" t="s">
        <v>37</v>
      </c>
      <c r="S457" t="s">
        <v>37</v>
      </c>
      <c r="T457" t="s">
        <v>40</v>
      </c>
      <c r="U457">
        <v>2</v>
      </c>
      <c r="V457" t="s">
        <v>40</v>
      </c>
      <c r="W457" t="s">
        <v>42</v>
      </c>
      <c r="X457" t="s">
        <v>37</v>
      </c>
      <c r="Y457" t="s">
        <v>47</v>
      </c>
      <c r="Z457" t="s">
        <v>37</v>
      </c>
      <c r="AA457">
        <v>3.58</v>
      </c>
      <c r="AB457" t="s">
        <v>37</v>
      </c>
      <c r="AC457">
        <v>3.76</v>
      </c>
      <c r="AD457">
        <v>25</v>
      </c>
      <c r="AE457">
        <v>40000</v>
      </c>
      <c r="AF457" t="str">
        <f>IF(Table1[[#This Row],[What is your current CGPA?]]&gt;=3.5,"High",IF(Table1[[#This Row],[What is your current CGPA?]]&gt;=2.5,"Medium","Low"))</f>
        <v>High</v>
      </c>
      <c r="AG457" t="str">
        <f>IF(AND(Table1[[#This Row],[Average attendance on class]]&lt;75,Table1[[#This Row],[How many hour do you study daily?]]&lt;1),"At Risk","Normal")</f>
        <v>Normal</v>
      </c>
      <c r="AH457">
        <f>(Table1[[#This Row],[Average attendance on class]]*0.4)+(Table1[[#This Row],[How many hour do you study daily?]]*10*0.3)+(Table1[[#This Row],[How many hour do you spent daily on your skill development?]]*10*0.3)</f>
        <v>50.2</v>
      </c>
    </row>
    <row r="458" spans="1:34" x14ac:dyDescent="0.25">
      <c r="A458">
        <v>2021</v>
      </c>
      <c r="B458" t="s">
        <v>34</v>
      </c>
      <c r="C458">
        <v>20</v>
      </c>
      <c r="D458">
        <v>2020</v>
      </c>
      <c r="E458" t="s">
        <v>35</v>
      </c>
      <c r="F458">
        <v>3</v>
      </c>
      <c r="G458" t="s">
        <v>36</v>
      </c>
      <c r="H458" t="s">
        <v>37</v>
      </c>
      <c r="I458">
        <v>2</v>
      </c>
      <c r="J458">
        <v>2</v>
      </c>
      <c r="K458" t="s">
        <v>44</v>
      </c>
      <c r="L458" t="s">
        <v>36</v>
      </c>
      <c r="M458" t="s">
        <v>36</v>
      </c>
      <c r="N458">
        <v>4</v>
      </c>
      <c r="O458" t="s">
        <v>39</v>
      </c>
      <c r="P458">
        <v>99</v>
      </c>
      <c r="Q458" t="s">
        <v>37</v>
      </c>
      <c r="R458" t="s">
        <v>37</v>
      </c>
      <c r="S458" t="s">
        <v>36</v>
      </c>
      <c r="T458" t="s">
        <v>40</v>
      </c>
      <c r="U458">
        <v>2</v>
      </c>
      <c r="V458" t="s">
        <v>40</v>
      </c>
      <c r="W458" t="s">
        <v>50</v>
      </c>
      <c r="X458" t="s">
        <v>36</v>
      </c>
      <c r="Y458" t="s">
        <v>43</v>
      </c>
      <c r="Z458" t="s">
        <v>37</v>
      </c>
      <c r="AA458">
        <v>3.79</v>
      </c>
      <c r="AB458" t="s">
        <v>37</v>
      </c>
      <c r="AC458">
        <v>3.91</v>
      </c>
      <c r="AD458">
        <v>23</v>
      </c>
      <c r="AE458">
        <v>50000</v>
      </c>
      <c r="AF458" t="str">
        <f>IF(Table1[[#This Row],[What is your current CGPA?]]&gt;=3.5,"High",IF(Table1[[#This Row],[What is your current CGPA?]]&gt;=2.5,"Medium","Low"))</f>
        <v>High</v>
      </c>
      <c r="AG458" t="str">
        <f>IF(AND(Table1[[#This Row],[Average attendance on class]]&lt;75,Table1[[#This Row],[How many hour do you study daily?]]&lt;1),"At Risk","Normal")</f>
        <v>Normal</v>
      </c>
      <c r="AH458">
        <f>(Table1[[#This Row],[Average attendance on class]]*0.4)+(Table1[[#This Row],[How many hour do you study daily?]]*10*0.3)+(Table1[[#This Row],[How many hour do you spent daily on your skill development?]]*10*0.3)</f>
        <v>51.6</v>
      </c>
    </row>
    <row r="459" spans="1:34" x14ac:dyDescent="0.25">
      <c r="A459">
        <v>2021</v>
      </c>
      <c r="B459" t="s">
        <v>34</v>
      </c>
      <c r="C459">
        <v>21</v>
      </c>
      <c r="D459">
        <v>2019</v>
      </c>
      <c r="E459" t="s">
        <v>35</v>
      </c>
      <c r="F459">
        <v>5</v>
      </c>
      <c r="G459" t="s">
        <v>37</v>
      </c>
      <c r="H459" t="s">
        <v>37</v>
      </c>
      <c r="I459">
        <v>1</v>
      </c>
      <c r="J459">
        <v>2</v>
      </c>
      <c r="K459" t="s">
        <v>38</v>
      </c>
      <c r="L459" t="s">
        <v>36</v>
      </c>
      <c r="M459" t="s">
        <v>36</v>
      </c>
      <c r="N459">
        <v>1</v>
      </c>
      <c r="O459" t="s">
        <v>39</v>
      </c>
      <c r="P459" t="s">
        <v>91</v>
      </c>
      <c r="Q459" t="s">
        <v>37</v>
      </c>
      <c r="R459" t="s">
        <v>36</v>
      </c>
      <c r="S459" t="s">
        <v>36</v>
      </c>
      <c r="T459" t="s">
        <v>40</v>
      </c>
      <c r="U459">
        <v>1</v>
      </c>
      <c r="V459" t="s">
        <v>59</v>
      </c>
      <c r="W459" t="s">
        <v>42</v>
      </c>
      <c r="X459" t="s">
        <v>36</v>
      </c>
      <c r="Y459" t="s">
        <v>43</v>
      </c>
      <c r="Z459" t="s">
        <v>37</v>
      </c>
      <c r="AA459">
        <v>2.17</v>
      </c>
      <c r="AB459" t="s">
        <v>37</v>
      </c>
      <c r="AC459">
        <v>3.06</v>
      </c>
      <c r="AD459">
        <v>44</v>
      </c>
      <c r="AE459">
        <v>15000</v>
      </c>
      <c r="AF459" t="str">
        <f>IF(Table1[[#This Row],[What is your current CGPA?]]&gt;=3.5,"High",IF(Table1[[#This Row],[What is your current CGPA?]]&gt;=2.5,"Medium","Low"))</f>
        <v>Medium</v>
      </c>
      <c r="AG459" t="str">
        <f>IF(AND(Table1[[#This Row],[Average attendance on class]]&lt;75,Table1[[#This Row],[How many hour do you study daily?]]&lt;1),"At Risk","Normal")</f>
        <v>Normal</v>
      </c>
      <c r="AH459" t="e">
        <f>(Table1[[#This Row],[Average attendance on class]]*0.4)+(Table1[[#This Row],[How many hour do you study daily?]]*10*0.3)+(Table1[[#This Row],[How many hour do you spent daily on your skill development?]]*10*0.3)</f>
        <v>#VALUE!</v>
      </c>
    </row>
    <row r="460" spans="1:34" x14ac:dyDescent="0.25">
      <c r="A460">
        <v>2021</v>
      </c>
      <c r="B460" t="s">
        <v>34</v>
      </c>
      <c r="C460">
        <v>22</v>
      </c>
      <c r="D460">
        <v>2020</v>
      </c>
      <c r="E460" t="s">
        <v>35</v>
      </c>
      <c r="F460">
        <v>4</v>
      </c>
      <c r="G460" t="s">
        <v>36</v>
      </c>
      <c r="H460" t="s">
        <v>37</v>
      </c>
      <c r="I460">
        <v>3</v>
      </c>
      <c r="J460">
        <v>2</v>
      </c>
      <c r="K460" t="s">
        <v>38</v>
      </c>
      <c r="L460" t="s">
        <v>36</v>
      </c>
      <c r="M460" t="s">
        <v>36</v>
      </c>
      <c r="N460">
        <v>2</v>
      </c>
      <c r="O460" t="s">
        <v>39</v>
      </c>
      <c r="P460">
        <v>90</v>
      </c>
      <c r="Q460" t="s">
        <v>36</v>
      </c>
      <c r="R460" t="s">
        <v>37</v>
      </c>
      <c r="S460" t="s">
        <v>36</v>
      </c>
      <c r="T460" t="s">
        <v>40</v>
      </c>
      <c r="U460">
        <v>4</v>
      </c>
      <c r="V460" t="s">
        <v>40</v>
      </c>
      <c r="W460" t="s">
        <v>42</v>
      </c>
      <c r="X460" t="s">
        <v>37</v>
      </c>
      <c r="Y460" t="s">
        <v>43</v>
      </c>
      <c r="Z460" t="s">
        <v>37</v>
      </c>
      <c r="AA460">
        <v>1.1200000000000001</v>
      </c>
      <c r="AB460" t="s">
        <v>37</v>
      </c>
      <c r="AC460">
        <v>1.88</v>
      </c>
      <c r="AD460">
        <v>32</v>
      </c>
      <c r="AE460">
        <v>60000</v>
      </c>
      <c r="AF460" t="str">
        <f>IF(Table1[[#This Row],[What is your current CGPA?]]&gt;=3.5,"High",IF(Table1[[#This Row],[What is your current CGPA?]]&gt;=2.5,"Medium","Low"))</f>
        <v>Low</v>
      </c>
      <c r="AG460" t="str">
        <f>IF(AND(Table1[[#This Row],[Average attendance on class]]&lt;75,Table1[[#This Row],[How many hour do you study daily?]]&lt;1),"At Risk","Normal")</f>
        <v>Normal</v>
      </c>
      <c r="AH460">
        <f>(Table1[[#This Row],[Average attendance on class]]*0.4)+(Table1[[#This Row],[How many hour do you study daily?]]*10*0.3)+(Table1[[#This Row],[How many hour do you spent daily on your skill development?]]*10*0.3)</f>
        <v>57</v>
      </c>
    </row>
    <row r="461" spans="1:34" x14ac:dyDescent="0.25">
      <c r="A461">
        <v>2021</v>
      </c>
      <c r="B461" t="s">
        <v>48</v>
      </c>
      <c r="C461">
        <v>21</v>
      </c>
      <c r="D461">
        <v>2019</v>
      </c>
      <c r="E461" t="s">
        <v>35</v>
      </c>
      <c r="F461">
        <v>3</v>
      </c>
      <c r="G461" t="s">
        <v>36</v>
      </c>
      <c r="H461" t="s">
        <v>36</v>
      </c>
      <c r="I461">
        <v>4</v>
      </c>
      <c r="J461">
        <v>3</v>
      </c>
      <c r="K461" t="s">
        <v>44</v>
      </c>
      <c r="L461" t="s">
        <v>36</v>
      </c>
      <c r="M461" t="s">
        <v>36</v>
      </c>
      <c r="N461">
        <v>1</v>
      </c>
      <c r="O461" t="s">
        <v>39</v>
      </c>
      <c r="P461">
        <v>99</v>
      </c>
      <c r="Q461" t="s">
        <v>37</v>
      </c>
      <c r="R461" t="s">
        <v>37</v>
      </c>
      <c r="S461" t="s">
        <v>37</v>
      </c>
      <c r="T461" t="s">
        <v>40</v>
      </c>
      <c r="U461">
        <v>2</v>
      </c>
      <c r="V461" t="s">
        <v>40</v>
      </c>
      <c r="W461" t="s">
        <v>42</v>
      </c>
      <c r="X461" t="s">
        <v>37</v>
      </c>
      <c r="Y461" t="s">
        <v>47</v>
      </c>
      <c r="Z461" t="s">
        <v>37</v>
      </c>
      <c r="AA461">
        <v>3.72</v>
      </c>
      <c r="AB461" t="s">
        <v>37</v>
      </c>
      <c r="AC461">
        <v>3.67</v>
      </c>
      <c r="AD461">
        <v>25</v>
      </c>
      <c r="AE461">
        <v>35000</v>
      </c>
      <c r="AF461" t="str">
        <f>IF(Table1[[#This Row],[What is your current CGPA?]]&gt;=3.5,"High",IF(Table1[[#This Row],[What is your current CGPA?]]&gt;=2.5,"Medium","Low"))</f>
        <v>High</v>
      </c>
      <c r="AG461" t="str">
        <f>IF(AND(Table1[[#This Row],[Average attendance on class]]&lt;75,Table1[[#This Row],[How many hour do you study daily?]]&lt;1),"At Risk","Normal")</f>
        <v>Normal</v>
      </c>
      <c r="AH461">
        <f>(Table1[[#This Row],[Average attendance on class]]*0.4)+(Table1[[#This Row],[How many hour do you study daily?]]*10*0.3)+(Table1[[#This Row],[How many hour do you spent daily on your skill development?]]*10*0.3)</f>
        <v>57.6</v>
      </c>
    </row>
    <row r="462" spans="1:34" x14ac:dyDescent="0.25">
      <c r="A462">
        <v>2022</v>
      </c>
      <c r="B462" t="s">
        <v>34</v>
      </c>
      <c r="C462">
        <v>20</v>
      </c>
      <c r="D462">
        <v>2020</v>
      </c>
      <c r="E462" t="s">
        <v>35</v>
      </c>
      <c r="F462">
        <v>2</v>
      </c>
      <c r="G462" t="s">
        <v>37</v>
      </c>
      <c r="H462" t="s">
        <v>37</v>
      </c>
      <c r="I462">
        <v>5</v>
      </c>
      <c r="J462">
        <v>3</v>
      </c>
      <c r="K462" t="s">
        <v>38</v>
      </c>
      <c r="L462" t="s">
        <v>36</v>
      </c>
      <c r="M462" t="s">
        <v>37</v>
      </c>
      <c r="N462">
        <v>1</v>
      </c>
      <c r="O462" t="s">
        <v>45</v>
      </c>
      <c r="P462">
        <v>88</v>
      </c>
      <c r="Q462" t="s">
        <v>37</v>
      </c>
      <c r="R462" t="s">
        <v>37</v>
      </c>
      <c r="S462" t="s">
        <v>36</v>
      </c>
      <c r="T462" t="s">
        <v>40</v>
      </c>
      <c r="U462">
        <v>2</v>
      </c>
      <c r="V462" t="s">
        <v>40</v>
      </c>
      <c r="W462" t="s">
        <v>42</v>
      </c>
      <c r="X462" t="s">
        <v>36</v>
      </c>
      <c r="Y462" t="s">
        <v>47</v>
      </c>
      <c r="Z462" t="s">
        <v>37</v>
      </c>
      <c r="AA462">
        <v>3.55</v>
      </c>
      <c r="AB462" t="s">
        <v>37</v>
      </c>
      <c r="AC462">
        <v>3.55</v>
      </c>
      <c r="AD462">
        <v>11</v>
      </c>
      <c r="AE462">
        <v>35000</v>
      </c>
      <c r="AF462" t="str">
        <f>IF(Table1[[#This Row],[What is your current CGPA?]]&gt;=3.5,"High",IF(Table1[[#This Row],[What is your current CGPA?]]&gt;=2.5,"Medium","Low"))</f>
        <v>High</v>
      </c>
      <c r="AG462" t="str">
        <f>IF(AND(Table1[[#This Row],[Average attendance on class]]&lt;75,Table1[[#This Row],[How many hour do you study daily?]]&lt;1),"At Risk","Normal")</f>
        <v>Normal</v>
      </c>
      <c r="AH462">
        <f>(Table1[[#This Row],[Average attendance on class]]*0.4)+(Table1[[#This Row],[How many hour do you study daily?]]*10*0.3)+(Table1[[#This Row],[How many hour do you spent daily on your skill development?]]*10*0.3)</f>
        <v>56.2</v>
      </c>
    </row>
    <row r="463" spans="1:34" x14ac:dyDescent="0.25">
      <c r="A463">
        <v>2020</v>
      </c>
      <c r="B463" t="s">
        <v>48</v>
      </c>
      <c r="C463">
        <v>22</v>
      </c>
      <c r="D463">
        <v>2018</v>
      </c>
      <c r="E463" t="s">
        <v>35</v>
      </c>
      <c r="F463">
        <v>8</v>
      </c>
      <c r="G463" t="s">
        <v>37</v>
      </c>
      <c r="H463" t="s">
        <v>37</v>
      </c>
      <c r="I463">
        <v>4</v>
      </c>
      <c r="J463">
        <v>2</v>
      </c>
      <c r="K463" t="s">
        <v>38</v>
      </c>
      <c r="L463" t="s">
        <v>36</v>
      </c>
      <c r="M463" t="s">
        <v>36</v>
      </c>
      <c r="N463">
        <v>2</v>
      </c>
      <c r="O463" t="s">
        <v>39</v>
      </c>
      <c r="P463">
        <v>98</v>
      </c>
      <c r="Q463" t="s">
        <v>37</v>
      </c>
      <c r="R463" t="s">
        <v>37</v>
      </c>
      <c r="S463" t="s">
        <v>37</v>
      </c>
      <c r="T463" t="s">
        <v>40</v>
      </c>
      <c r="U463">
        <v>2</v>
      </c>
      <c r="V463" t="s">
        <v>40</v>
      </c>
      <c r="W463" t="s">
        <v>42</v>
      </c>
      <c r="X463" t="s">
        <v>37</v>
      </c>
      <c r="Y463" t="s">
        <v>47</v>
      </c>
      <c r="Z463" t="s">
        <v>37</v>
      </c>
      <c r="AA463">
        <v>2.83</v>
      </c>
      <c r="AB463" t="s">
        <v>37</v>
      </c>
      <c r="AC463">
        <v>2.82</v>
      </c>
      <c r="AD463">
        <v>65</v>
      </c>
      <c r="AE463">
        <v>25000</v>
      </c>
      <c r="AF463" t="str">
        <f>IF(Table1[[#This Row],[What is your current CGPA?]]&gt;=3.5,"High",IF(Table1[[#This Row],[What is your current CGPA?]]&gt;=2.5,"Medium","Low"))</f>
        <v>Medium</v>
      </c>
      <c r="AG463" t="str">
        <f>IF(AND(Table1[[#This Row],[Average attendance on class]]&lt;75,Table1[[#This Row],[How many hour do you study daily?]]&lt;1),"At Risk","Normal")</f>
        <v>Normal</v>
      </c>
      <c r="AH463">
        <f>(Table1[[#This Row],[Average attendance on class]]*0.4)+(Table1[[#This Row],[How many hour do you study daily?]]*10*0.3)+(Table1[[#This Row],[How many hour do you spent daily on your skill development?]]*10*0.3)</f>
        <v>57.2</v>
      </c>
    </row>
    <row r="464" spans="1:34" x14ac:dyDescent="0.25">
      <c r="A464">
        <v>2022</v>
      </c>
      <c r="B464" t="s">
        <v>48</v>
      </c>
      <c r="C464">
        <v>20</v>
      </c>
      <c r="D464">
        <v>2020</v>
      </c>
      <c r="E464" t="s">
        <v>35</v>
      </c>
      <c r="F464">
        <v>2</v>
      </c>
      <c r="G464" t="s">
        <v>36</v>
      </c>
      <c r="H464" t="s">
        <v>36</v>
      </c>
      <c r="I464">
        <v>2</v>
      </c>
      <c r="J464">
        <v>1</v>
      </c>
      <c r="K464" t="s">
        <v>38</v>
      </c>
      <c r="L464" t="s">
        <v>36</v>
      </c>
      <c r="M464" t="s">
        <v>36</v>
      </c>
      <c r="N464">
        <v>2</v>
      </c>
      <c r="O464" t="s">
        <v>45</v>
      </c>
      <c r="P464">
        <v>95</v>
      </c>
      <c r="Q464" t="s">
        <v>37</v>
      </c>
      <c r="R464" t="s">
        <v>37</v>
      </c>
      <c r="S464" t="s">
        <v>36</v>
      </c>
      <c r="T464" t="s">
        <v>51</v>
      </c>
      <c r="U464">
        <v>1</v>
      </c>
      <c r="V464" t="s">
        <v>40</v>
      </c>
      <c r="W464" t="s">
        <v>42</v>
      </c>
      <c r="X464" t="s">
        <v>37</v>
      </c>
      <c r="Y464" t="s">
        <v>47</v>
      </c>
      <c r="Z464" t="s">
        <v>36</v>
      </c>
      <c r="AA464">
        <v>3.88</v>
      </c>
      <c r="AB464" t="s">
        <v>37</v>
      </c>
      <c r="AC464">
        <v>3.88</v>
      </c>
      <c r="AD464">
        <v>11</v>
      </c>
      <c r="AE464">
        <v>35000</v>
      </c>
      <c r="AF464" t="str">
        <f>IF(Table1[[#This Row],[What is your current CGPA?]]&gt;=3.5,"High",IF(Table1[[#This Row],[What is your current CGPA?]]&gt;=2.5,"Medium","Low"))</f>
        <v>High</v>
      </c>
      <c r="AG464" t="str">
        <f>IF(AND(Table1[[#This Row],[Average attendance on class]]&lt;75,Table1[[#This Row],[How many hour do you study daily?]]&lt;1),"At Risk","Normal")</f>
        <v>Normal</v>
      </c>
      <c r="AH464">
        <f>(Table1[[#This Row],[Average attendance on class]]*0.4)+(Table1[[#This Row],[How many hour do you study daily?]]*10*0.3)+(Table1[[#This Row],[How many hour do you spent daily on your skill development?]]*10*0.3)</f>
        <v>47</v>
      </c>
    </row>
    <row r="465" spans="1:34" x14ac:dyDescent="0.25">
      <c r="A465">
        <v>2022</v>
      </c>
      <c r="B465" t="s">
        <v>34</v>
      </c>
      <c r="C465">
        <v>21</v>
      </c>
      <c r="D465">
        <v>2020</v>
      </c>
      <c r="E465" t="s">
        <v>35</v>
      </c>
      <c r="F465">
        <v>2</v>
      </c>
      <c r="G465" t="s">
        <v>36</v>
      </c>
      <c r="H465" t="s">
        <v>37</v>
      </c>
      <c r="I465">
        <v>1</v>
      </c>
      <c r="J465">
        <v>1</v>
      </c>
      <c r="K465" t="s">
        <v>38</v>
      </c>
      <c r="L465" t="s">
        <v>36</v>
      </c>
      <c r="M465" t="s">
        <v>36</v>
      </c>
      <c r="N465">
        <v>4</v>
      </c>
      <c r="O465" t="s">
        <v>39</v>
      </c>
      <c r="P465">
        <v>90</v>
      </c>
      <c r="Q465" t="s">
        <v>37</v>
      </c>
      <c r="R465" t="s">
        <v>37</v>
      </c>
      <c r="S465" t="s">
        <v>37</v>
      </c>
      <c r="T465" t="s">
        <v>51</v>
      </c>
      <c r="U465">
        <v>2</v>
      </c>
      <c r="V465" t="s">
        <v>52</v>
      </c>
      <c r="W465" t="s">
        <v>42</v>
      </c>
      <c r="X465" t="s">
        <v>36</v>
      </c>
      <c r="Y465" t="s">
        <v>43</v>
      </c>
      <c r="Z465" t="s">
        <v>36</v>
      </c>
      <c r="AA465">
        <v>4</v>
      </c>
      <c r="AB465" t="s">
        <v>37</v>
      </c>
      <c r="AC465">
        <v>4</v>
      </c>
      <c r="AD465">
        <v>12</v>
      </c>
      <c r="AE465">
        <v>25000</v>
      </c>
      <c r="AF465" t="str">
        <f>IF(Table1[[#This Row],[What is your current CGPA?]]&gt;=3.5,"High",IF(Table1[[#This Row],[What is your current CGPA?]]&gt;=2.5,"Medium","Low"))</f>
        <v>High</v>
      </c>
      <c r="AG465" t="str">
        <f>IF(AND(Table1[[#This Row],[Average attendance on class]]&lt;75,Table1[[#This Row],[How many hour do you study daily?]]&lt;1),"At Risk","Normal")</f>
        <v>Normal</v>
      </c>
      <c r="AH465">
        <f>(Table1[[#This Row],[Average attendance on class]]*0.4)+(Table1[[#This Row],[How many hour do you study daily?]]*10*0.3)+(Table1[[#This Row],[How many hour do you spent daily on your skill development?]]*10*0.3)</f>
        <v>45</v>
      </c>
    </row>
    <row r="466" spans="1:34" x14ac:dyDescent="0.25">
      <c r="A466">
        <v>2020</v>
      </c>
      <c r="B466" t="s">
        <v>48</v>
      </c>
      <c r="C466">
        <v>21</v>
      </c>
      <c r="D466">
        <v>2019</v>
      </c>
      <c r="E466" t="s">
        <v>35</v>
      </c>
      <c r="F466">
        <v>8</v>
      </c>
      <c r="G466" t="s">
        <v>37</v>
      </c>
      <c r="H466" t="s">
        <v>36</v>
      </c>
      <c r="I466">
        <v>3</v>
      </c>
      <c r="J466">
        <v>1</v>
      </c>
      <c r="K466" t="s">
        <v>38</v>
      </c>
      <c r="L466" t="s">
        <v>36</v>
      </c>
      <c r="M466" t="s">
        <v>36</v>
      </c>
      <c r="N466">
        <v>3</v>
      </c>
      <c r="O466" t="s">
        <v>39</v>
      </c>
      <c r="P466">
        <v>97</v>
      </c>
      <c r="Q466" t="s">
        <v>37</v>
      </c>
      <c r="R466" t="s">
        <v>37</v>
      </c>
      <c r="S466" t="s">
        <v>37</v>
      </c>
      <c r="T466" t="s">
        <v>40</v>
      </c>
      <c r="U466">
        <v>1</v>
      </c>
      <c r="V466" t="s">
        <v>41</v>
      </c>
      <c r="W466" t="s">
        <v>42</v>
      </c>
      <c r="X466" t="s">
        <v>36</v>
      </c>
      <c r="Y466" t="s">
        <v>47</v>
      </c>
      <c r="Z466" t="s">
        <v>37</v>
      </c>
      <c r="AA466">
        <v>3</v>
      </c>
      <c r="AB466" t="s">
        <v>37</v>
      </c>
      <c r="AC466">
        <v>3.66</v>
      </c>
      <c r="AD466">
        <v>87</v>
      </c>
      <c r="AE466">
        <v>150000</v>
      </c>
      <c r="AF466" t="str">
        <f>IF(Table1[[#This Row],[What is your current CGPA?]]&gt;=3.5,"High",IF(Table1[[#This Row],[What is your current CGPA?]]&gt;=2.5,"Medium","Low"))</f>
        <v>High</v>
      </c>
      <c r="AG466" t="str">
        <f>IF(AND(Table1[[#This Row],[Average attendance on class]]&lt;75,Table1[[#This Row],[How many hour do you study daily?]]&lt;1),"At Risk","Normal")</f>
        <v>Normal</v>
      </c>
      <c r="AH466">
        <f>(Table1[[#This Row],[Average attendance on class]]*0.4)+(Table1[[#This Row],[How many hour do you study daily?]]*10*0.3)+(Table1[[#This Row],[How many hour do you spent daily on your skill development?]]*10*0.3)</f>
        <v>50.800000000000004</v>
      </c>
    </row>
    <row r="467" spans="1:34" x14ac:dyDescent="0.25">
      <c r="A467">
        <v>2018</v>
      </c>
      <c r="B467" t="s">
        <v>34</v>
      </c>
      <c r="C467">
        <v>26</v>
      </c>
      <c r="D467">
        <v>2018</v>
      </c>
      <c r="E467" t="s">
        <v>35</v>
      </c>
      <c r="F467">
        <v>12</v>
      </c>
      <c r="G467" t="s">
        <v>37</v>
      </c>
      <c r="H467" t="s">
        <v>36</v>
      </c>
      <c r="I467">
        <v>8</v>
      </c>
      <c r="J467">
        <v>2</v>
      </c>
      <c r="K467" t="s">
        <v>44</v>
      </c>
      <c r="L467" t="s">
        <v>36</v>
      </c>
      <c r="M467" t="s">
        <v>36</v>
      </c>
      <c r="N467">
        <v>2</v>
      </c>
      <c r="O467" t="s">
        <v>39</v>
      </c>
      <c r="P467">
        <v>90</v>
      </c>
      <c r="Q467" t="s">
        <v>36</v>
      </c>
      <c r="R467" t="s">
        <v>36</v>
      </c>
      <c r="S467" t="s">
        <v>36</v>
      </c>
      <c r="T467" t="s">
        <v>40</v>
      </c>
      <c r="U467">
        <v>5</v>
      </c>
      <c r="V467" t="s">
        <v>40</v>
      </c>
      <c r="W467" t="s">
        <v>42</v>
      </c>
      <c r="X467" t="s">
        <v>36</v>
      </c>
      <c r="Y467" t="s">
        <v>43</v>
      </c>
      <c r="Z467" t="s">
        <v>37</v>
      </c>
      <c r="AA467">
        <v>2.44</v>
      </c>
      <c r="AB467" t="s">
        <v>37</v>
      </c>
      <c r="AC467">
        <v>2.44</v>
      </c>
      <c r="AD467">
        <v>90</v>
      </c>
      <c r="AE467">
        <v>20000</v>
      </c>
      <c r="AF467" t="str">
        <f>IF(Table1[[#This Row],[What is your current CGPA?]]&gt;=3.5,"High",IF(Table1[[#This Row],[What is your current CGPA?]]&gt;=2.5,"Medium","Low"))</f>
        <v>Low</v>
      </c>
      <c r="AG467" t="str">
        <f>IF(AND(Table1[[#This Row],[Average attendance on class]]&lt;75,Table1[[#This Row],[How many hour do you study daily?]]&lt;1),"At Risk","Normal")</f>
        <v>Normal</v>
      </c>
      <c r="AH467">
        <f>(Table1[[#This Row],[Average attendance on class]]*0.4)+(Table1[[#This Row],[How many hour do you study daily?]]*10*0.3)+(Table1[[#This Row],[How many hour do you spent daily on your skill development?]]*10*0.3)</f>
        <v>75</v>
      </c>
    </row>
    <row r="468" spans="1:34" x14ac:dyDescent="0.25">
      <c r="A468">
        <v>2021</v>
      </c>
      <c r="B468" t="s">
        <v>34</v>
      </c>
      <c r="C468">
        <v>21</v>
      </c>
      <c r="D468">
        <v>2020</v>
      </c>
      <c r="E468" t="s">
        <v>35</v>
      </c>
      <c r="F468">
        <v>3</v>
      </c>
      <c r="G468" t="s">
        <v>36</v>
      </c>
      <c r="H468" t="s">
        <v>37</v>
      </c>
      <c r="I468">
        <v>4</v>
      </c>
      <c r="J468">
        <v>2</v>
      </c>
      <c r="K468" t="s">
        <v>38</v>
      </c>
      <c r="L468" t="s">
        <v>36</v>
      </c>
      <c r="M468" t="s">
        <v>36</v>
      </c>
      <c r="N468">
        <v>1</v>
      </c>
      <c r="O468" t="s">
        <v>39</v>
      </c>
      <c r="P468">
        <v>98</v>
      </c>
      <c r="Q468" t="s">
        <v>37</v>
      </c>
      <c r="R468" t="s">
        <v>37</v>
      </c>
      <c r="S468" t="s">
        <v>36</v>
      </c>
      <c r="T468" t="s">
        <v>40</v>
      </c>
      <c r="U468">
        <v>1</v>
      </c>
      <c r="V468" t="s">
        <v>40</v>
      </c>
      <c r="W468" t="s">
        <v>42</v>
      </c>
      <c r="X468" t="s">
        <v>37</v>
      </c>
      <c r="Y468" t="s">
        <v>47</v>
      </c>
      <c r="Z468" t="s">
        <v>37</v>
      </c>
      <c r="AA468">
        <v>2.82</v>
      </c>
      <c r="AB468" t="s">
        <v>37</v>
      </c>
      <c r="AC468">
        <v>3</v>
      </c>
      <c r="AD468">
        <v>23</v>
      </c>
      <c r="AE468">
        <v>25000</v>
      </c>
      <c r="AF468" t="str">
        <f>IF(Table1[[#This Row],[What is your current CGPA?]]&gt;=3.5,"High",IF(Table1[[#This Row],[What is your current CGPA?]]&gt;=2.5,"Medium","Low"))</f>
        <v>Medium</v>
      </c>
      <c r="AG468" t="str">
        <f>IF(AND(Table1[[#This Row],[Average attendance on class]]&lt;75,Table1[[#This Row],[How many hour do you study daily?]]&lt;1),"At Risk","Normal")</f>
        <v>Normal</v>
      </c>
      <c r="AH468">
        <f>(Table1[[#This Row],[Average attendance on class]]*0.4)+(Table1[[#This Row],[How many hour do you study daily?]]*10*0.3)+(Table1[[#This Row],[How many hour do you spent daily on your skill development?]]*10*0.3)</f>
        <v>54.2</v>
      </c>
    </row>
    <row r="469" spans="1:34" x14ac:dyDescent="0.25">
      <c r="A469">
        <v>2022</v>
      </c>
      <c r="B469" t="s">
        <v>48</v>
      </c>
      <c r="C469">
        <v>21</v>
      </c>
      <c r="D469">
        <v>2019</v>
      </c>
      <c r="E469" t="s">
        <v>35</v>
      </c>
      <c r="F469">
        <v>2</v>
      </c>
      <c r="G469" t="s">
        <v>36</v>
      </c>
      <c r="H469" t="s">
        <v>36</v>
      </c>
      <c r="I469">
        <v>2</v>
      </c>
      <c r="J469">
        <v>2</v>
      </c>
      <c r="K469" t="s">
        <v>38</v>
      </c>
      <c r="L469" t="s">
        <v>36</v>
      </c>
      <c r="M469" t="s">
        <v>36</v>
      </c>
      <c r="N469">
        <v>1</v>
      </c>
      <c r="O469" t="s">
        <v>39</v>
      </c>
      <c r="P469">
        <v>100</v>
      </c>
      <c r="Q469" t="s">
        <v>37</v>
      </c>
      <c r="R469" t="s">
        <v>37</v>
      </c>
      <c r="S469" t="s">
        <v>37</v>
      </c>
      <c r="T469" t="s">
        <v>40</v>
      </c>
      <c r="U469">
        <v>2</v>
      </c>
      <c r="V469" t="s">
        <v>40</v>
      </c>
      <c r="W469" t="s">
        <v>42</v>
      </c>
      <c r="X469" t="s">
        <v>37</v>
      </c>
      <c r="Y469" t="s">
        <v>47</v>
      </c>
      <c r="Z469" t="s">
        <v>37</v>
      </c>
      <c r="AA469">
        <v>3.9</v>
      </c>
      <c r="AB469" t="s">
        <v>37</v>
      </c>
      <c r="AC469">
        <v>3.9</v>
      </c>
      <c r="AD469">
        <v>11</v>
      </c>
      <c r="AE469">
        <v>50000</v>
      </c>
      <c r="AF469" t="str">
        <f>IF(Table1[[#This Row],[What is your current CGPA?]]&gt;=3.5,"High",IF(Table1[[#This Row],[What is your current CGPA?]]&gt;=2.5,"Medium","Low"))</f>
        <v>High</v>
      </c>
      <c r="AG469" t="str">
        <f>IF(AND(Table1[[#This Row],[Average attendance on class]]&lt;75,Table1[[#This Row],[How many hour do you study daily?]]&lt;1),"At Risk","Normal")</f>
        <v>Normal</v>
      </c>
      <c r="AH469">
        <f>(Table1[[#This Row],[Average attendance on class]]*0.4)+(Table1[[#This Row],[How many hour do you study daily?]]*10*0.3)+(Table1[[#This Row],[How many hour do you spent daily on your skill development?]]*10*0.3)</f>
        <v>52</v>
      </c>
    </row>
    <row r="470" spans="1:34" x14ac:dyDescent="0.25">
      <c r="A470">
        <v>2022</v>
      </c>
      <c r="B470" t="s">
        <v>34</v>
      </c>
      <c r="C470">
        <v>21</v>
      </c>
      <c r="D470">
        <v>2020</v>
      </c>
      <c r="E470" t="s">
        <v>35</v>
      </c>
      <c r="F470">
        <v>2</v>
      </c>
      <c r="G470" t="s">
        <v>36</v>
      </c>
      <c r="H470" t="s">
        <v>37</v>
      </c>
      <c r="I470">
        <v>5</v>
      </c>
      <c r="J470">
        <v>1</v>
      </c>
      <c r="K470" t="s">
        <v>44</v>
      </c>
      <c r="L470" t="s">
        <v>36</v>
      </c>
      <c r="M470" t="s">
        <v>36</v>
      </c>
      <c r="N470">
        <v>12</v>
      </c>
      <c r="O470" t="s">
        <v>45</v>
      </c>
      <c r="P470">
        <v>98</v>
      </c>
      <c r="Q470" t="s">
        <v>37</v>
      </c>
      <c r="R470" t="s">
        <v>37</v>
      </c>
      <c r="S470" t="s">
        <v>36</v>
      </c>
      <c r="T470" t="s">
        <v>40</v>
      </c>
      <c r="U470">
        <v>2</v>
      </c>
      <c r="V470" t="s">
        <v>40</v>
      </c>
      <c r="W470" t="s">
        <v>42</v>
      </c>
      <c r="X470" t="s">
        <v>36</v>
      </c>
      <c r="Y470" t="s">
        <v>43</v>
      </c>
      <c r="Z470" t="s">
        <v>36</v>
      </c>
      <c r="AA470">
        <v>3.33</v>
      </c>
      <c r="AB470" t="s">
        <v>37</v>
      </c>
      <c r="AC470">
        <v>3.33</v>
      </c>
      <c r="AD470">
        <v>12</v>
      </c>
      <c r="AE470">
        <v>62488</v>
      </c>
      <c r="AF470" t="str">
        <f>IF(Table1[[#This Row],[What is your current CGPA?]]&gt;=3.5,"High",IF(Table1[[#This Row],[What is your current CGPA?]]&gt;=2.5,"Medium","Low"))</f>
        <v>Medium</v>
      </c>
      <c r="AG470" t="str">
        <f>IF(AND(Table1[[#This Row],[Average attendance on class]]&lt;75,Table1[[#This Row],[How many hour do you study daily?]]&lt;1),"At Risk","Normal")</f>
        <v>Normal</v>
      </c>
      <c r="AH470">
        <f>(Table1[[#This Row],[Average attendance on class]]*0.4)+(Table1[[#This Row],[How many hour do you study daily?]]*10*0.3)+(Table1[[#This Row],[How many hour do you spent daily on your skill development?]]*10*0.3)</f>
        <v>60.2</v>
      </c>
    </row>
    <row r="471" spans="1:34" x14ac:dyDescent="0.25">
      <c r="A471">
        <v>2022</v>
      </c>
      <c r="B471" t="s">
        <v>48</v>
      </c>
      <c r="C471">
        <v>20</v>
      </c>
      <c r="D471">
        <v>2020</v>
      </c>
      <c r="E471" t="s">
        <v>35</v>
      </c>
      <c r="F471">
        <v>2</v>
      </c>
      <c r="G471" t="s">
        <v>37</v>
      </c>
      <c r="H471" t="s">
        <v>37</v>
      </c>
      <c r="I471">
        <v>3</v>
      </c>
      <c r="J471">
        <v>3</v>
      </c>
      <c r="K471" t="s">
        <v>38</v>
      </c>
      <c r="L471" t="s">
        <v>36</v>
      </c>
      <c r="M471" t="s">
        <v>36</v>
      </c>
      <c r="N471">
        <v>2</v>
      </c>
      <c r="O471" t="s">
        <v>45</v>
      </c>
      <c r="P471">
        <v>97</v>
      </c>
      <c r="Q471" t="s">
        <v>37</v>
      </c>
      <c r="R471" t="s">
        <v>37</v>
      </c>
      <c r="S471" t="s">
        <v>36</v>
      </c>
      <c r="T471" t="s">
        <v>40</v>
      </c>
      <c r="U471">
        <v>2</v>
      </c>
      <c r="V471" t="s">
        <v>40</v>
      </c>
      <c r="W471" t="s">
        <v>42</v>
      </c>
      <c r="X471" t="s">
        <v>36</v>
      </c>
      <c r="Y471" t="s">
        <v>43</v>
      </c>
      <c r="Z471" t="s">
        <v>37</v>
      </c>
      <c r="AA471">
        <v>3.7</v>
      </c>
      <c r="AB471" t="s">
        <v>37</v>
      </c>
      <c r="AC471">
        <v>3.7</v>
      </c>
      <c r="AD471">
        <v>11</v>
      </c>
      <c r="AE471">
        <v>35000</v>
      </c>
      <c r="AF471" t="str">
        <f>IF(Table1[[#This Row],[What is your current CGPA?]]&gt;=3.5,"High",IF(Table1[[#This Row],[What is your current CGPA?]]&gt;=2.5,"Medium","Low"))</f>
        <v>High</v>
      </c>
      <c r="AG471" t="str">
        <f>IF(AND(Table1[[#This Row],[Average attendance on class]]&lt;75,Table1[[#This Row],[How many hour do you study daily?]]&lt;1),"At Risk","Normal")</f>
        <v>Normal</v>
      </c>
      <c r="AH471">
        <f>(Table1[[#This Row],[Average attendance on class]]*0.4)+(Table1[[#This Row],[How many hour do you study daily?]]*10*0.3)+(Table1[[#This Row],[How many hour do you spent daily on your skill development?]]*10*0.3)</f>
        <v>53.800000000000004</v>
      </c>
    </row>
    <row r="472" spans="1:34" x14ac:dyDescent="0.25">
      <c r="A472">
        <v>2022</v>
      </c>
      <c r="B472" t="s">
        <v>34</v>
      </c>
      <c r="C472">
        <v>20</v>
      </c>
      <c r="D472">
        <v>2020</v>
      </c>
      <c r="E472" t="s">
        <v>35</v>
      </c>
      <c r="F472">
        <v>2</v>
      </c>
      <c r="G472" t="s">
        <v>36</v>
      </c>
      <c r="H472" t="s">
        <v>36</v>
      </c>
      <c r="I472">
        <v>4</v>
      </c>
      <c r="J472">
        <v>2</v>
      </c>
      <c r="K472" t="s">
        <v>38</v>
      </c>
      <c r="L472" t="s">
        <v>36</v>
      </c>
      <c r="M472" t="s">
        <v>37</v>
      </c>
      <c r="N472">
        <v>3</v>
      </c>
      <c r="O472" t="s">
        <v>39</v>
      </c>
      <c r="P472">
        <v>90</v>
      </c>
      <c r="Q472" t="s">
        <v>37</v>
      </c>
      <c r="R472" t="s">
        <v>37</v>
      </c>
      <c r="S472" t="s">
        <v>36</v>
      </c>
      <c r="T472" t="s">
        <v>40</v>
      </c>
      <c r="U472">
        <v>1</v>
      </c>
      <c r="V472" t="s">
        <v>40</v>
      </c>
      <c r="W472" t="s">
        <v>42</v>
      </c>
      <c r="X472" t="s">
        <v>36</v>
      </c>
      <c r="Y472" t="s">
        <v>47</v>
      </c>
      <c r="Z472" t="s">
        <v>37</v>
      </c>
      <c r="AA472">
        <v>3.98</v>
      </c>
      <c r="AB472" t="s">
        <v>37</v>
      </c>
      <c r="AC472">
        <v>3.98</v>
      </c>
      <c r="AD472">
        <v>11</v>
      </c>
      <c r="AE472">
        <v>25000</v>
      </c>
      <c r="AF472" t="str">
        <f>IF(Table1[[#This Row],[What is your current CGPA?]]&gt;=3.5,"High",IF(Table1[[#This Row],[What is your current CGPA?]]&gt;=2.5,"Medium","Low"))</f>
        <v>High</v>
      </c>
      <c r="AG472" t="str">
        <f>IF(AND(Table1[[#This Row],[Average attendance on class]]&lt;75,Table1[[#This Row],[How many hour do you study daily?]]&lt;1),"At Risk","Normal")</f>
        <v>Normal</v>
      </c>
      <c r="AH472">
        <f>(Table1[[#This Row],[Average attendance on class]]*0.4)+(Table1[[#This Row],[How many hour do you study daily?]]*10*0.3)+(Table1[[#This Row],[How many hour do you spent daily on your skill development?]]*10*0.3)</f>
        <v>51</v>
      </c>
    </row>
    <row r="473" spans="1:34" x14ac:dyDescent="0.25">
      <c r="A473">
        <v>2022</v>
      </c>
      <c r="B473" t="s">
        <v>48</v>
      </c>
      <c r="C473">
        <v>21</v>
      </c>
      <c r="D473">
        <v>2020</v>
      </c>
      <c r="E473" t="s">
        <v>35</v>
      </c>
      <c r="F473">
        <v>1</v>
      </c>
      <c r="G473" t="s">
        <v>36</v>
      </c>
      <c r="H473" t="s">
        <v>37</v>
      </c>
      <c r="I473">
        <v>2</v>
      </c>
      <c r="J473">
        <v>2</v>
      </c>
      <c r="K473" t="s">
        <v>38</v>
      </c>
      <c r="L473" t="s">
        <v>36</v>
      </c>
      <c r="M473" t="s">
        <v>37</v>
      </c>
      <c r="N473">
        <v>1</v>
      </c>
      <c r="O473" t="s">
        <v>45</v>
      </c>
      <c r="P473">
        <v>100</v>
      </c>
      <c r="Q473" t="s">
        <v>37</v>
      </c>
      <c r="R473" t="s">
        <v>37</v>
      </c>
      <c r="S473" t="s">
        <v>37</v>
      </c>
      <c r="T473" t="s">
        <v>40</v>
      </c>
      <c r="U473">
        <v>1</v>
      </c>
      <c r="V473" t="s">
        <v>40</v>
      </c>
      <c r="W473" t="s">
        <v>42</v>
      </c>
      <c r="X473" t="s">
        <v>37</v>
      </c>
      <c r="Y473" t="s">
        <v>43</v>
      </c>
      <c r="Z473" t="s">
        <v>37</v>
      </c>
      <c r="AA473">
        <v>3.4</v>
      </c>
      <c r="AB473" t="s">
        <v>37</v>
      </c>
      <c r="AC473">
        <v>3.8</v>
      </c>
      <c r="AD473">
        <v>11</v>
      </c>
      <c r="AE473">
        <v>60000</v>
      </c>
      <c r="AF473" t="str">
        <f>IF(Table1[[#This Row],[What is your current CGPA?]]&gt;=3.5,"High",IF(Table1[[#This Row],[What is your current CGPA?]]&gt;=2.5,"Medium","Low"))</f>
        <v>High</v>
      </c>
      <c r="AG473" t="str">
        <f>IF(AND(Table1[[#This Row],[Average attendance on class]]&lt;75,Table1[[#This Row],[How many hour do you study daily?]]&lt;1),"At Risk","Normal")</f>
        <v>Normal</v>
      </c>
      <c r="AH473">
        <f>(Table1[[#This Row],[Average attendance on class]]*0.4)+(Table1[[#This Row],[How many hour do you study daily?]]*10*0.3)+(Table1[[#This Row],[How many hour do you spent daily on your skill development?]]*10*0.3)</f>
        <v>49</v>
      </c>
    </row>
    <row r="474" spans="1:34" x14ac:dyDescent="0.25">
      <c r="A474">
        <v>2022</v>
      </c>
      <c r="B474" t="s">
        <v>34</v>
      </c>
      <c r="C474">
        <v>22</v>
      </c>
      <c r="D474">
        <v>2019</v>
      </c>
      <c r="E474" t="s">
        <v>35</v>
      </c>
      <c r="F474">
        <v>2</v>
      </c>
      <c r="G474" t="s">
        <v>36</v>
      </c>
      <c r="H474" t="s">
        <v>36</v>
      </c>
      <c r="I474">
        <v>1</v>
      </c>
      <c r="J474">
        <v>1</v>
      </c>
      <c r="K474" t="s">
        <v>44</v>
      </c>
      <c r="L474" t="s">
        <v>36</v>
      </c>
      <c r="M474" t="s">
        <v>36</v>
      </c>
      <c r="N474">
        <v>2</v>
      </c>
      <c r="O474" t="s">
        <v>39</v>
      </c>
      <c r="P474">
        <v>70</v>
      </c>
      <c r="Q474" t="s">
        <v>37</v>
      </c>
      <c r="R474" t="s">
        <v>37</v>
      </c>
      <c r="S474" t="s">
        <v>36</v>
      </c>
      <c r="T474" t="s">
        <v>40</v>
      </c>
      <c r="U474">
        <v>1</v>
      </c>
      <c r="V474" t="s">
        <v>40</v>
      </c>
      <c r="W474" t="s">
        <v>42</v>
      </c>
      <c r="X474" t="s">
        <v>36</v>
      </c>
      <c r="Y474" t="s">
        <v>47</v>
      </c>
      <c r="Z474" t="s">
        <v>37</v>
      </c>
      <c r="AA474">
        <v>3.81</v>
      </c>
      <c r="AB474" t="s">
        <v>37</v>
      </c>
      <c r="AC474">
        <v>3.81</v>
      </c>
      <c r="AD474">
        <v>11</v>
      </c>
      <c r="AE474">
        <v>400000</v>
      </c>
      <c r="AF474" t="str">
        <f>IF(Table1[[#This Row],[What is your current CGPA?]]&gt;=3.5,"High",IF(Table1[[#This Row],[What is your current CGPA?]]&gt;=2.5,"Medium","Low"))</f>
        <v>High</v>
      </c>
      <c r="AG474" t="str">
        <f>IF(AND(Table1[[#This Row],[Average attendance on class]]&lt;75,Table1[[#This Row],[How many hour do you study daily?]]&lt;1),"At Risk","Normal")</f>
        <v>Normal</v>
      </c>
      <c r="AH474">
        <f>(Table1[[#This Row],[Average attendance on class]]*0.4)+(Table1[[#This Row],[How many hour do you study daily?]]*10*0.3)+(Table1[[#This Row],[How many hour do you spent daily on your skill development?]]*10*0.3)</f>
        <v>34</v>
      </c>
    </row>
    <row r="475" spans="1:34" x14ac:dyDescent="0.25">
      <c r="A475">
        <v>2022</v>
      </c>
      <c r="B475" t="s">
        <v>48</v>
      </c>
      <c r="C475">
        <v>23</v>
      </c>
      <c r="D475">
        <v>2021</v>
      </c>
      <c r="E475" t="s">
        <v>35</v>
      </c>
      <c r="F475">
        <v>2</v>
      </c>
      <c r="G475" t="s">
        <v>36</v>
      </c>
      <c r="H475" t="s">
        <v>36</v>
      </c>
      <c r="I475">
        <v>1</v>
      </c>
      <c r="J475">
        <v>2</v>
      </c>
      <c r="K475" t="s">
        <v>38</v>
      </c>
      <c r="L475" t="s">
        <v>36</v>
      </c>
      <c r="M475" t="s">
        <v>37</v>
      </c>
      <c r="N475">
        <v>3</v>
      </c>
      <c r="O475" t="s">
        <v>39</v>
      </c>
      <c r="P475">
        <v>90</v>
      </c>
      <c r="Q475" t="s">
        <v>37</v>
      </c>
      <c r="R475" t="s">
        <v>37</v>
      </c>
      <c r="S475" t="s">
        <v>37</v>
      </c>
      <c r="T475" t="s">
        <v>40</v>
      </c>
      <c r="U475">
        <v>0</v>
      </c>
      <c r="V475" t="s">
        <v>40</v>
      </c>
      <c r="W475" t="s">
        <v>57</v>
      </c>
      <c r="X475" t="s">
        <v>36</v>
      </c>
      <c r="Y475" t="s">
        <v>47</v>
      </c>
      <c r="Z475" t="s">
        <v>36</v>
      </c>
      <c r="AA475">
        <v>3.97</v>
      </c>
      <c r="AB475" t="s">
        <v>37</v>
      </c>
      <c r="AC475">
        <v>3.97</v>
      </c>
      <c r="AD475">
        <v>11</v>
      </c>
      <c r="AE475">
        <v>25000</v>
      </c>
      <c r="AF475" t="str">
        <f>IF(Table1[[#This Row],[What is your current CGPA?]]&gt;=3.5,"High",IF(Table1[[#This Row],[What is your current CGPA?]]&gt;=2.5,"Medium","Low"))</f>
        <v>High</v>
      </c>
      <c r="AG475" t="str">
        <f>IF(AND(Table1[[#This Row],[Average attendance on class]]&lt;75,Table1[[#This Row],[How many hour do you study daily?]]&lt;1),"At Risk","Normal")</f>
        <v>Normal</v>
      </c>
      <c r="AH475">
        <f>(Table1[[#This Row],[Average attendance on class]]*0.4)+(Table1[[#This Row],[How many hour do you study daily?]]*10*0.3)+(Table1[[#This Row],[How many hour do you spent daily on your skill development?]]*10*0.3)</f>
        <v>39</v>
      </c>
    </row>
    <row r="476" spans="1:34" x14ac:dyDescent="0.25">
      <c r="A476">
        <v>2022</v>
      </c>
      <c r="B476" t="s">
        <v>34</v>
      </c>
      <c r="C476">
        <v>20</v>
      </c>
      <c r="D476">
        <v>2020</v>
      </c>
      <c r="E476" t="s">
        <v>35</v>
      </c>
      <c r="F476">
        <v>2</v>
      </c>
      <c r="G476" t="s">
        <v>36</v>
      </c>
      <c r="H476" t="s">
        <v>36</v>
      </c>
      <c r="I476">
        <v>8</v>
      </c>
      <c r="J476">
        <v>2</v>
      </c>
      <c r="K476" t="s">
        <v>38</v>
      </c>
      <c r="L476" t="s">
        <v>36</v>
      </c>
      <c r="M476" t="s">
        <v>36</v>
      </c>
      <c r="N476">
        <v>8</v>
      </c>
      <c r="O476" t="s">
        <v>45</v>
      </c>
      <c r="P476">
        <v>90</v>
      </c>
      <c r="Q476" t="s">
        <v>37</v>
      </c>
      <c r="R476" t="s">
        <v>37</v>
      </c>
      <c r="S476" t="s">
        <v>37</v>
      </c>
      <c r="T476" t="s">
        <v>40</v>
      </c>
      <c r="U476">
        <v>2</v>
      </c>
      <c r="V476" t="s">
        <v>40</v>
      </c>
      <c r="W476" t="s">
        <v>42</v>
      </c>
      <c r="X476" t="s">
        <v>36</v>
      </c>
      <c r="Y476" t="s">
        <v>43</v>
      </c>
      <c r="Z476" t="s">
        <v>37</v>
      </c>
      <c r="AA476">
        <v>3.33</v>
      </c>
      <c r="AB476" t="s">
        <v>37</v>
      </c>
      <c r="AC476">
        <v>3.33</v>
      </c>
      <c r="AD476">
        <v>12</v>
      </c>
      <c r="AE476">
        <v>30000</v>
      </c>
      <c r="AF476" t="str">
        <f>IF(Table1[[#This Row],[What is your current CGPA?]]&gt;=3.5,"High",IF(Table1[[#This Row],[What is your current CGPA?]]&gt;=2.5,"Medium","Low"))</f>
        <v>Medium</v>
      </c>
      <c r="AG476" t="str">
        <f>IF(AND(Table1[[#This Row],[Average attendance on class]]&lt;75,Table1[[#This Row],[How many hour do you study daily?]]&lt;1),"At Risk","Normal")</f>
        <v>Normal</v>
      </c>
      <c r="AH476">
        <f>(Table1[[#This Row],[Average attendance on class]]*0.4)+(Table1[[#This Row],[How many hour do you study daily?]]*10*0.3)+(Table1[[#This Row],[How many hour do you spent daily on your skill development?]]*10*0.3)</f>
        <v>66</v>
      </c>
    </row>
    <row r="477" spans="1:34" x14ac:dyDescent="0.25">
      <c r="A477">
        <v>2021</v>
      </c>
      <c r="B477" t="s">
        <v>48</v>
      </c>
      <c r="C477">
        <v>21</v>
      </c>
      <c r="D477">
        <v>2020</v>
      </c>
      <c r="E477" t="s">
        <v>35</v>
      </c>
      <c r="F477">
        <v>3</v>
      </c>
      <c r="G477" t="s">
        <v>36</v>
      </c>
      <c r="H477" t="s">
        <v>37</v>
      </c>
      <c r="I477">
        <v>3</v>
      </c>
      <c r="J477">
        <v>1</v>
      </c>
      <c r="K477" t="s">
        <v>38</v>
      </c>
      <c r="L477" t="s">
        <v>36</v>
      </c>
      <c r="M477" t="s">
        <v>37</v>
      </c>
      <c r="N477">
        <v>3</v>
      </c>
      <c r="O477" t="s">
        <v>39</v>
      </c>
      <c r="P477">
        <v>70</v>
      </c>
      <c r="Q477" t="s">
        <v>37</v>
      </c>
      <c r="R477" t="s">
        <v>37</v>
      </c>
      <c r="S477" t="s">
        <v>36</v>
      </c>
      <c r="T477" t="s">
        <v>40</v>
      </c>
      <c r="U477">
        <v>5</v>
      </c>
      <c r="V477" t="s">
        <v>40</v>
      </c>
      <c r="W477" t="s">
        <v>42</v>
      </c>
      <c r="X477" t="s">
        <v>37</v>
      </c>
      <c r="Y477" t="s">
        <v>47</v>
      </c>
      <c r="Z477" t="s">
        <v>36</v>
      </c>
      <c r="AA477">
        <v>2.68</v>
      </c>
      <c r="AB477" t="s">
        <v>37</v>
      </c>
      <c r="AC477">
        <v>2.89</v>
      </c>
      <c r="AD477">
        <v>23</v>
      </c>
      <c r="AE477">
        <v>15000</v>
      </c>
      <c r="AF477" t="str">
        <f>IF(Table1[[#This Row],[What is your current CGPA?]]&gt;=3.5,"High",IF(Table1[[#This Row],[What is your current CGPA?]]&gt;=2.5,"Medium","Low"))</f>
        <v>Medium</v>
      </c>
      <c r="AG477" t="str">
        <f>IF(AND(Table1[[#This Row],[Average attendance on class]]&lt;75,Table1[[#This Row],[How many hour do you study daily?]]&lt;1),"At Risk","Normal")</f>
        <v>Normal</v>
      </c>
      <c r="AH477">
        <f>(Table1[[#This Row],[Average attendance on class]]*0.4)+(Table1[[#This Row],[How many hour do you study daily?]]*10*0.3)+(Table1[[#This Row],[How many hour do you spent daily on your skill development?]]*10*0.3)</f>
        <v>52</v>
      </c>
    </row>
    <row r="478" spans="1:34" x14ac:dyDescent="0.25">
      <c r="A478">
        <v>2021</v>
      </c>
      <c r="B478" t="s">
        <v>48</v>
      </c>
      <c r="C478">
        <v>20</v>
      </c>
      <c r="D478">
        <v>2019</v>
      </c>
      <c r="E478" t="s">
        <v>35</v>
      </c>
      <c r="F478">
        <v>2</v>
      </c>
      <c r="G478" t="s">
        <v>37</v>
      </c>
      <c r="H478" t="s">
        <v>37</v>
      </c>
      <c r="I478">
        <v>3</v>
      </c>
      <c r="J478">
        <v>2</v>
      </c>
      <c r="K478" t="s">
        <v>44</v>
      </c>
      <c r="L478" t="s">
        <v>36</v>
      </c>
      <c r="M478" t="s">
        <v>37</v>
      </c>
      <c r="N478">
        <v>2</v>
      </c>
      <c r="O478" t="s">
        <v>39</v>
      </c>
      <c r="P478">
        <v>95</v>
      </c>
      <c r="Q478" t="s">
        <v>37</v>
      </c>
      <c r="R478" t="s">
        <v>37</v>
      </c>
      <c r="S478" t="s">
        <v>36</v>
      </c>
      <c r="T478" t="s">
        <v>40</v>
      </c>
      <c r="U478">
        <v>1</v>
      </c>
      <c r="V478" t="s">
        <v>40</v>
      </c>
      <c r="W478" t="s">
        <v>42</v>
      </c>
      <c r="X478" t="s">
        <v>37</v>
      </c>
      <c r="Y478" t="s">
        <v>43</v>
      </c>
      <c r="Z478" t="s">
        <v>36</v>
      </c>
      <c r="AA478">
        <v>3.84</v>
      </c>
      <c r="AB478" t="s">
        <v>37</v>
      </c>
      <c r="AC478">
        <v>3.84</v>
      </c>
      <c r="AD478">
        <v>11</v>
      </c>
      <c r="AE478">
        <v>30000</v>
      </c>
      <c r="AF478" t="str">
        <f>IF(Table1[[#This Row],[What is your current CGPA?]]&gt;=3.5,"High",IF(Table1[[#This Row],[What is your current CGPA?]]&gt;=2.5,"Medium","Low"))</f>
        <v>High</v>
      </c>
      <c r="AG478" t="str">
        <f>IF(AND(Table1[[#This Row],[Average attendance on class]]&lt;75,Table1[[#This Row],[How many hour do you study daily?]]&lt;1),"At Risk","Normal")</f>
        <v>Normal</v>
      </c>
      <c r="AH478">
        <f>(Table1[[#This Row],[Average attendance on class]]*0.4)+(Table1[[#This Row],[How many hour do you study daily?]]*10*0.3)+(Table1[[#This Row],[How many hour do you spent daily on your skill development?]]*10*0.3)</f>
        <v>50</v>
      </c>
    </row>
    <row r="479" spans="1:34" x14ac:dyDescent="0.25">
      <c r="A479">
        <v>2021</v>
      </c>
      <c r="B479" t="s">
        <v>48</v>
      </c>
      <c r="C479">
        <v>20</v>
      </c>
      <c r="D479">
        <v>2016</v>
      </c>
      <c r="E479" t="s">
        <v>35</v>
      </c>
      <c r="F479">
        <v>3</v>
      </c>
      <c r="G479" t="s">
        <v>36</v>
      </c>
      <c r="H479" t="s">
        <v>37</v>
      </c>
      <c r="I479">
        <v>2</v>
      </c>
      <c r="J479">
        <v>1</v>
      </c>
      <c r="K479" t="s">
        <v>38</v>
      </c>
      <c r="L479" t="s">
        <v>36</v>
      </c>
      <c r="M479" t="s">
        <v>37</v>
      </c>
      <c r="N479">
        <v>1</v>
      </c>
      <c r="O479" t="s">
        <v>53</v>
      </c>
      <c r="P479">
        <v>75</v>
      </c>
      <c r="Q479" t="s">
        <v>37</v>
      </c>
      <c r="R479" t="s">
        <v>37</v>
      </c>
      <c r="S479" t="s">
        <v>36</v>
      </c>
      <c r="T479" t="s">
        <v>40</v>
      </c>
      <c r="U479">
        <v>1</v>
      </c>
      <c r="V479" t="s">
        <v>51</v>
      </c>
      <c r="W479" t="s">
        <v>42</v>
      </c>
      <c r="X479" t="s">
        <v>36</v>
      </c>
      <c r="Y479" t="s">
        <v>47</v>
      </c>
      <c r="Z479" t="s">
        <v>37</v>
      </c>
      <c r="AA479">
        <v>3.54</v>
      </c>
      <c r="AB479" t="s">
        <v>37</v>
      </c>
      <c r="AC479">
        <v>3.69</v>
      </c>
      <c r="AD479">
        <v>25</v>
      </c>
      <c r="AE479">
        <v>20000</v>
      </c>
      <c r="AF479" t="str">
        <f>IF(Table1[[#This Row],[What is your current CGPA?]]&gt;=3.5,"High",IF(Table1[[#This Row],[What is your current CGPA?]]&gt;=2.5,"Medium","Low"))</f>
        <v>High</v>
      </c>
      <c r="AG479" t="str">
        <f>IF(AND(Table1[[#This Row],[Average attendance on class]]&lt;75,Table1[[#This Row],[How many hour do you study daily?]]&lt;1),"At Risk","Normal")</f>
        <v>Normal</v>
      </c>
      <c r="AH479">
        <f>(Table1[[#This Row],[Average attendance on class]]*0.4)+(Table1[[#This Row],[How many hour do you study daily?]]*10*0.3)+(Table1[[#This Row],[How many hour do you spent daily on your skill development?]]*10*0.3)</f>
        <v>39</v>
      </c>
    </row>
    <row r="480" spans="1:34" x14ac:dyDescent="0.25">
      <c r="A480">
        <v>2021</v>
      </c>
      <c r="B480" t="s">
        <v>34</v>
      </c>
      <c r="C480">
        <v>21</v>
      </c>
      <c r="D480">
        <v>2020</v>
      </c>
      <c r="E480" t="s">
        <v>35</v>
      </c>
      <c r="F480">
        <v>3</v>
      </c>
      <c r="G480" t="s">
        <v>37</v>
      </c>
      <c r="H480" t="s">
        <v>37</v>
      </c>
      <c r="I480">
        <v>2</v>
      </c>
      <c r="J480">
        <v>2</v>
      </c>
      <c r="K480" t="s">
        <v>38</v>
      </c>
      <c r="L480" t="s">
        <v>36</v>
      </c>
      <c r="M480" t="s">
        <v>36</v>
      </c>
      <c r="N480">
        <v>3</v>
      </c>
      <c r="O480" t="s">
        <v>39</v>
      </c>
      <c r="P480">
        <v>88</v>
      </c>
      <c r="Q480" t="s">
        <v>37</v>
      </c>
      <c r="R480" t="s">
        <v>37</v>
      </c>
      <c r="S480" t="s">
        <v>36</v>
      </c>
      <c r="T480" t="s">
        <v>40</v>
      </c>
      <c r="U480">
        <v>2</v>
      </c>
      <c r="V480" t="s">
        <v>40</v>
      </c>
      <c r="W480" t="s">
        <v>42</v>
      </c>
      <c r="X480" t="s">
        <v>37</v>
      </c>
      <c r="Y480" t="s">
        <v>43</v>
      </c>
      <c r="Z480" t="s">
        <v>37</v>
      </c>
      <c r="AA480">
        <v>1.78</v>
      </c>
      <c r="AB480" t="s">
        <v>37</v>
      </c>
      <c r="AC480">
        <v>3.15</v>
      </c>
      <c r="AD480">
        <v>20</v>
      </c>
      <c r="AE480">
        <v>25000</v>
      </c>
      <c r="AF480" t="str">
        <f>IF(Table1[[#This Row],[What is your current CGPA?]]&gt;=3.5,"High",IF(Table1[[#This Row],[What is your current CGPA?]]&gt;=2.5,"Medium","Low"))</f>
        <v>Medium</v>
      </c>
      <c r="AG480" t="str">
        <f>IF(AND(Table1[[#This Row],[Average attendance on class]]&lt;75,Table1[[#This Row],[How many hour do you study daily?]]&lt;1),"At Risk","Normal")</f>
        <v>Normal</v>
      </c>
      <c r="AH480">
        <f>(Table1[[#This Row],[Average attendance on class]]*0.4)+(Table1[[#This Row],[How many hour do you study daily?]]*10*0.3)+(Table1[[#This Row],[How many hour do you spent daily on your skill development?]]*10*0.3)</f>
        <v>47.2</v>
      </c>
    </row>
    <row r="481" spans="1:34" x14ac:dyDescent="0.25">
      <c r="A481">
        <v>2021</v>
      </c>
      <c r="B481" t="s">
        <v>34</v>
      </c>
      <c r="C481">
        <v>19</v>
      </c>
      <c r="D481">
        <v>2020</v>
      </c>
      <c r="E481" t="s">
        <v>35</v>
      </c>
      <c r="F481">
        <v>3</v>
      </c>
      <c r="G481" t="s">
        <v>36</v>
      </c>
      <c r="H481" t="s">
        <v>36</v>
      </c>
      <c r="I481">
        <v>2</v>
      </c>
      <c r="J481">
        <v>1</v>
      </c>
      <c r="K481" t="s">
        <v>38</v>
      </c>
      <c r="L481" t="s">
        <v>36</v>
      </c>
      <c r="M481" t="s">
        <v>36</v>
      </c>
      <c r="N481">
        <v>3</v>
      </c>
      <c r="O481" t="s">
        <v>39</v>
      </c>
      <c r="P481">
        <v>90</v>
      </c>
      <c r="Q481" t="s">
        <v>37</v>
      </c>
      <c r="R481" t="s">
        <v>37</v>
      </c>
      <c r="S481" t="s">
        <v>37</v>
      </c>
      <c r="T481" t="s">
        <v>40</v>
      </c>
      <c r="U481">
        <v>1</v>
      </c>
      <c r="V481" t="s">
        <v>51</v>
      </c>
      <c r="W481" t="s">
        <v>42</v>
      </c>
      <c r="X481" t="s">
        <v>36</v>
      </c>
      <c r="Y481" t="s">
        <v>47</v>
      </c>
      <c r="Z481" t="s">
        <v>36</v>
      </c>
      <c r="AA481">
        <v>2.3199999999999998</v>
      </c>
      <c r="AB481" t="s">
        <v>37</v>
      </c>
      <c r="AC481">
        <v>2.8</v>
      </c>
      <c r="AD481">
        <v>24</v>
      </c>
      <c r="AE481">
        <v>35000</v>
      </c>
      <c r="AF481" t="str">
        <f>IF(Table1[[#This Row],[What is your current CGPA?]]&gt;=3.5,"High",IF(Table1[[#This Row],[What is your current CGPA?]]&gt;=2.5,"Medium","Low"))</f>
        <v>Medium</v>
      </c>
      <c r="AG481" t="str">
        <f>IF(AND(Table1[[#This Row],[Average attendance on class]]&lt;75,Table1[[#This Row],[How many hour do you study daily?]]&lt;1),"At Risk","Normal")</f>
        <v>Normal</v>
      </c>
      <c r="AH481">
        <f>(Table1[[#This Row],[Average attendance on class]]*0.4)+(Table1[[#This Row],[How many hour do you study daily?]]*10*0.3)+(Table1[[#This Row],[How many hour do you spent daily on your skill development?]]*10*0.3)</f>
        <v>45</v>
      </c>
    </row>
    <row r="482" spans="1:34" x14ac:dyDescent="0.25">
      <c r="A482">
        <v>2022</v>
      </c>
      <c r="B482" t="s">
        <v>34</v>
      </c>
      <c r="C482">
        <v>20</v>
      </c>
      <c r="D482">
        <v>2020</v>
      </c>
      <c r="E482" t="s">
        <v>35</v>
      </c>
      <c r="F482">
        <v>2</v>
      </c>
      <c r="G482" t="s">
        <v>36</v>
      </c>
      <c r="H482" t="s">
        <v>37</v>
      </c>
      <c r="I482">
        <v>3</v>
      </c>
      <c r="J482">
        <v>1</v>
      </c>
      <c r="K482" t="s">
        <v>38</v>
      </c>
      <c r="L482" t="s">
        <v>36</v>
      </c>
      <c r="M482" t="s">
        <v>36</v>
      </c>
      <c r="N482">
        <v>3</v>
      </c>
      <c r="O482" t="s">
        <v>45</v>
      </c>
      <c r="P482">
        <v>90</v>
      </c>
      <c r="Q482" t="s">
        <v>37</v>
      </c>
      <c r="R482" t="s">
        <v>37</v>
      </c>
      <c r="S482" t="s">
        <v>37</v>
      </c>
      <c r="T482" t="s">
        <v>40</v>
      </c>
      <c r="U482">
        <v>2</v>
      </c>
      <c r="V482" t="s">
        <v>40</v>
      </c>
      <c r="W482" t="s">
        <v>42</v>
      </c>
      <c r="X482" t="s">
        <v>37</v>
      </c>
      <c r="Y482" t="s">
        <v>43</v>
      </c>
      <c r="Z482" t="s">
        <v>37</v>
      </c>
      <c r="AA482">
        <v>4</v>
      </c>
      <c r="AB482" t="s">
        <v>37</v>
      </c>
      <c r="AC482">
        <v>4</v>
      </c>
      <c r="AD482">
        <v>11</v>
      </c>
      <c r="AE482">
        <v>50000</v>
      </c>
      <c r="AF482" t="str">
        <f>IF(Table1[[#This Row],[What is your current CGPA?]]&gt;=3.5,"High",IF(Table1[[#This Row],[What is your current CGPA?]]&gt;=2.5,"Medium","Low"))</f>
        <v>High</v>
      </c>
      <c r="AG482" t="str">
        <f>IF(AND(Table1[[#This Row],[Average attendance on class]]&lt;75,Table1[[#This Row],[How many hour do you study daily?]]&lt;1),"At Risk","Normal")</f>
        <v>Normal</v>
      </c>
      <c r="AH482">
        <f>(Table1[[#This Row],[Average attendance on class]]*0.4)+(Table1[[#This Row],[How many hour do you study daily?]]*10*0.3)+(Table1[[#This Row],[How many hour do you spent daily on your skill development?]]*10*0.3)</f>
        <v>51</v>
      </c>
    </row>
    <row r="483" spans="1:34" x14ac:dyDescent="0.25">
      <c r="A483">
        <v>2022</v>
      </c>
      <c r="B483" t="s">
        <v>34</v>
      </c>
      <c r="C483">
        <v>22</v>
      </c>
      <c r="D483">
        <v>2019</v>
      </c>
      <c r="E483" t="s">
        <v>35</v>
      </c>
      <c r="F483">
        <v>1</v>
      </c>
      <c r="G483" t="s">
        <v>37</v>
      </c>
      <c r="H483" t="s">
        <v>37</v>
      </c>
      <c r="I483">
        <v>2</v>
      </c>
      <c r="J483">
        <v>2</v>
      </c>
      <c r="K483" t="s">
        <v>44</v>
      </c>
      <c r="L483" t="s">
        <v>36</v>
      </c>
      <c r="M483" t="s">
        <v>36</v>
      </c>
      <c r="N483">
        <v>2</v>
      </c>
      <c r="O483" t="s">
        <v>39</v>
      </c>
      <c r="P483">
        <v>95</v>
      </c>
      <c r="Q483" t="s">
        <v>37</v>
      </c>
      <c r="R483" t="s">
        <v>37</v>
      </c>
      <c r="S483" t="s">
        <v>36</v>
      </c>
      <c r="T483" t="s">
        <v>92</v>
      </c>
      <c r="U483">
        <v>2</v>
      </c>
      <c r="V483" t="s">
        <v>40</v>
      </c>
      <c r="W483" t="s">
        <v>42</v>
      </c>
      <c r="X483" t="s">
        <v>36</v>
      </c>
      <c r="Y483" t="s">
        <v>47</v>
      </c>
      <c r="Z483" t="s">
        <v>36</v>
      </c>
      <c r="AA483">
        <v>0</v>
      </c>
      <c r="AB483" t="s">
        <v>37</v>
      </c>
      <c r="AC483">
        <v>0</v>
      </c>
      <c r="AD483">
        <v>0</v>
      </c>
      <c r="AE483">
        <v>62488</v>
      </c>
      <c r="AF483" t="str">
        <f>IF(Table1[[#This Row],[What is your current CGPA?]]&gt;=3.5,"High",IF(Table1[[#This Row],[What is your current CGPA?]]&gt;=2.5,"Medium","Low"))</f>
        <v>Low</v>
      </c>
      <c r="AG483" t="str">
        <f>IF(AND(Table1[[#This Row],[Average attendance on class]]&lt;75,Table1[[#This Row],[How many hour do you study daily?]]&lt;1),"At Risk","Normal")</f>
        <v>Normal</v>
      </c>
      <c r="AH483">
        <f>(Table1[[#This Row],[Average attendance on class]]*0.4)+(Table1[[#This Row],[How many hour do you study daily?]]*10*0.3)+(Table1[[#This Row],[How many hour do you spent daily on your skill development?]]*10*0.3)</f>
        <v>50</v>
      </c>
    </row>
    <row r="484" spans="1:34" x14ac:dyDescent="0.25">
      <c r="A484">
        <v>2022</v>
      </c>
      <c r="B484" t="s">
        <v>34</v>
      </c>
      <c r="C484">
        <v>20</v>
      </c>
      <c r="D484">
        <v>2020</v>
      </c>
      <c r="E484" t="s">
        <v>35</v>
      </c>
      <c r="F484">
        <v>2</v>
      </c>
      <c r="G484" t="s">
        <v>37</v>
      </c>
      <c r="H484" t="s">
        <v>37</v>
      </c>
      <c r="I484">
        <v>5</v>
      </c>
      <c r="J484">
        <v>2</v>
      </c>
      <c r="K484" t="s">
        <v>38</v>
      </c>
      <c r="L484" t="s">
        <v>36</v>
      </c>
      <c r="M484" t="s">
        <v>36</v>
      </c>
      <c r="N484">
        <v>1</v>
      </c>
      <c r="O484" t="s">
        <v>45</v>
      </c>
      <c r="P484">
        <v>90</v>
      </c>
      <c r="Q484" t="s">
        <v>37</v>
      </c>
      <c r="R484" t="s">
        <v>37</v>
      </c>
      <c r="S484" t="s">
        <v>36</v>
      </c>
      <c r="T484" t="s">
        <v>40</v>
      </c>
      <c r="U484">
        <v>2</v>
      </c>
      <c r="V484" t="s">
        <v>40</v>
      </c>
      <c r="W484" t="s">
        <v>42</v>
      </c>
      <c r="X484" t="s">
        <v>37</v>
      </c>
      <c r="Y484" t="s">
        <v>43</v>
      </c>
      <c r="Z484" t="s">
        <v>37</v>
      </c>
      <c r="AA484">
        <v>3.8</v>
      </c>
      <c r="AB484" t="s">
        <v>37</v>
      </c>
      <c r="AC484">
        <v>3.8</v>
      </c>
      <c r="AD484">
        <v>12</v>
      </c>
      <c r="AE484">
        <v>20000</v>
      </c>
      <c r="AF484" t="str">
        <f>IF(Table1[[#This Row],[What is your current CGPA?]]&gt;=3.5,"High",IF(Table1[[#This Row],[What is your current CGPA?]]&gt;=2.5,"Medium","Low"))</f>
        <v>High</v>
      </c>
      <c r="AG484" t="str">
        <f>IF(AND(Table1[[#This Row],[Average attendance on class]]&lt;75,Table1[[#This Row],[How many hour do you study daily?]]&lt;1),"At Risk","Normal")</f>
        <v>Normal</v>
      </c>
      <c r="AH484">
        <f>(Table1[[#This Row],[Average attendance on class]]*0.4)+(Table1[[#This Row],[How many hour do you study daily?]]*10*0.3)+(Table1[[#This Row],[How many hour do you spent daily on your skill development?]]*10*0.3)</f>
        <v>57</v>
      </c>
    </row>
    <row r="485" spans="1:34" x14ac:dyDescent="0.25">
      <c r="A485">
        <v>2021</v>
      </c>
      <c r="B485" t="s">
        <v>34</v>
      </c>
      <c r="C485">
        <v>22</v>
      </c>
      <c r="D485">
        <v>2019</v>
      </c>
      <c r="E485" t="s">
        <v>35</v>
      </c>
      <c r="F485">
        <v>5</v>
      </c>
      <c r="G485" t="s">
        <v>37</v>
      </c>
      <c r="H485" t="s">
        <v>36</v>
      </c>
      <c r="I485">
        <v>0</v>
      </c>
      <c r="J485">
        <v>0</v>
      </c>
      <c r="K485" t="s">
        <v>44</v>
      </c>
      <c r="L485" t="s">
        <v>36</v>
      </c>
      <c r="M485" t="s">
        <v>36</v>
      </c>
      <c r="N485">
        <v>3</v>
      </c>
      <c r="O485" t="s">
        <v>45</v>
      </c>
      <c r="P485">
        <v>100</v>
      </c>
      <c r="Q485" t="s">
        <v>37</v>
      </c>
      <c r="R485" t="s">
        <v>37</v>
      </c>
      <c r="S485" t="s">
        <v>37</v>
      </c>
      <c r="T485" t="s">
        <v>40</v>
      </c>
      <c r="U485">
        <v>6</v>
      </c>
      <c r="V485" t="s">
        <v>40</v>
      </c>
      <c r="W485" t="s">
        <v>42</v>
      </c>
      <c r="X485" t="s">
        <v>37</v>
      </c>
      <c r="Y485" t="s">
        <v>47</v>
      </c>
      <c r="Z485" t="s">
        <v>37</v>
      </c>
      <c r="AA485">
        <v>2.08</v>
      </c>
      <c r="AB485" t="s">
        <v>37</v>
      </c>
      <c r="AC485">
        <v>2.91</v>
      </c>
      <c r="AD485">
        <v>49</v>
      </c>
      <c r="AE485">
        <v>30000</v>
      </c>
      <c r="AF485" t="str">
        <f>IF(Table1[[#This Row],[What is your current CGPA?]]&gt;=3.5,"High",IF(Table1[[#This Row],[What is your current CGPA?]]&gt;=2.5,"Medium","Low"))</f>
        <v>Medium</v>
      </c>
      <c r="AG485" t="str">
        <f>IF(AND(Table1[[#This Row],[Average attendance on class]]&lt;75,Table1[[#This Row],[How many hour do you study daily?]]&lt;1),"At Risk","Normal")</f>
        <v>Normal</v>
      </c>
      <c r="AH485">
        <f>(Table1[[#This Row],[Average attendance on class]]*0.4)+(Table1[[#This Row],[How many hour do you study daily?]]*10*0.3)+(Table1[[#This Row],[How many hour do you spent daily on your skill development?]]*10*0.3)</f>
        <v>58</v>
      </c>
    </row>
    <row r="486" spans="1:34" x14ac:dyDescent="0.25">
      <c r="A486">
        <v>2022</v>
      </c>
      <c r="B486" t="s">
        <v>34</v>
      </c>
      <c r="C486">
        <v>20</v>
      </c>
      <c r="D486">
        <v>2020</v>
      </c>
      <c r="E486" t="s">
        <v>35</v>
      </c>
      <c r="F486">
        <v>2</v>
      </c>
      <c r="G486" t="s">
        <v>37</v>
      </c>
      <c r="H486" t="s">
        <v>37</v>
      </c>
      <c r="I486">
        <v>2</v>
      </c>
      <c r="J486">
        <v>3</v>
      </c>
      <c r="K486" t="s">
        <v>38</v>
      </c>
      <c r="L486" t="s">
        <v>36</v>
      </c>
      <c r="M486" t="s">
        <v>37</v>
      </c>
      <c r="N486">
        <v>1</v>
      </c>
      <c r="O486" t="s">
        <v>45</v>
      </c>
      <c r="P486">
        <v>95</v>
      </c>
      <c r="Q486" t="s">
        <v>37</v>
      </c>
      <c r="R486" t="s">
        <v>37</v>
      </c>
      <c r="S486" t="s">
        <v>36</v>
      </c>
      <c r="T486" t="s">
        <v>40</v>
      </c>
      <c r="U486">
        <v>2</v>
      </c>
      <c r="V486" t="s">
        <v>40</v>
      </c>
      <c r="W486" t="s">
        <v>42</v>
      </c>
      <c r="X486" t="s">
        <v>36</v>
      </c>
      <c r="Y486" t="s">
        <v>43</v>
      </c>
      <c r="Z486" t="s">
        <v>37</v>
      </c>
      <c r="AA486">
        <v>3.05</v>
      </c>
      <c r="AB486" t="s">
        <v>37</v>
      </c>
      <c r="AC486">
        <v>3.05</v>
      </c>
      <c r="AD486">
        <v>12</v>
      </c>
      <c r="AE486">
        <v>25000</v>
      </c>
      <c r="AF486" t="str">
        <f>IF(Table1[[#This Row],[What is your current CGPA?]]&gt;=3.5,"High",IF(Table1[[#This Row],[What is your current CGPA?]]&gt;=2.5,"Medium","Low"))</f>
        <v>Medium</v>
      </c>
      <c r="AG486" t="str">
        <f>IF(AND(Table1[[#This Row],[Average attendance on class]]&lt;75,Table1[[#This Row],[How many hour do you study daily?]]&lt;1),"At Risk","Normal")</f>
        <v>Normal</v>
      </c>
      <c r="AH486">
        <f>(Table1[[#This Row],[Average attendance on class]]*0.4)+(Table1[[#This Row],[How many hour do you study daily?]]*10*0.3)+(Table1[[#This Row],[How many hour do you spent daily on your skill development?]]*10*0.3)</f>
        <v>50</v>
      </c>
    </row>
    <row r="487" spans="1:34" x14ac:dyDescent="0.25">
      <c r="A487">
        <v>2022</v>
      </c>
      <c r="B487" t="s">
        <v>34</v>
      </c>
      <c r="C487">
        <v>21</v>
      </c>
      <c r="D487">
        <v>2020</v>
      </c>
      <c r="E487" t="s">
        <v>35</v>
      </c>
      <c r="F487">
        <v>2</v>
      </c>
      <c r="G487" t="s">
        <v>36</v>
      </c>
      <c r="H487" t="s">
        <v>36</v>
      </c>
      <c r="I487">
        <v>3</v>
      </c>
      <c r="J487">
        <v>2</v>
      </c>
      <c r="K487" t="s">
        <v>44</v>
      </c>
      <c r="L487" t="s">
        <v>36</v>
      </c>
      <c r="M487" t="s">
        <v>36</v>
      </c>
      <c r="N487">
        <v>5</v>
      </c>
      <c r="O487" t="s">
        <v>53</v>
      </c>
      <c r="P487">
        <v>90</v>
      </c>
      <c r="Q487" t="s">
        <v>37</v>
      </c>
      <c r="R487" t="s">
        <v>37</v>
      </c>
      <c r="S487" t="s">
        <v>36</v>
      </c>
      <c r="T487" t="s">
        <v>40</v>
      </c>
      <c r="U487">
        <v>0</v>
      </c>
      <c r="V487" t="s">
        <v>40</v>
      </c>
      <c r="W487" t="s">
        <v>42</v>
      </c>
      <c r="X487" t="s">
        <v>36</v>
      </c>
      <c r="Y487" t="s">
        <v>47</v>
      </c>
      <c r="Z487" t="s">
        <v>37</v>
      </c>
      <c r="AA487">
        <v>3.45</v>
      </c>
      <c r="AB487" t="s">
        <v>37</v>
      </c>
      <c r="AC487">
        <v>3.45</v>
      </c>
      <c r="AD487">
        <v>12</v>
      </c>
      <c r="AE487">
        <v>30000</v>
      </c>
      <c r="AF487" t="str">
        <f>IF(Table1[[#This Row],[What is your current CGPA?]]&gt;=3.5,"High",IF(Table1[[#This Row],[What is your current CGPA?]]&gt;=2.5,"Medium","Low"))</f>
        <v>Medium</v>
      </c>
      <c r="AG487" t="str">
        <f>IF(AND(Table1[[#This Row],[Average attendance on class]]&lt;75,Table1[[#This Row],[How many hour do you study daily?]]&lt;1),"At Risk","Normal")</f>
        <v>Normal</v>
      </c>
      <c r="AH487">
        <f>(Table1[[#This Row],[Average attendance on class]]*0.4)+(Table1[[#This Row],[How many hour do you study daily?]]*10*0.3)+(Table1[[#This Row],[How many hour do you spent daily on your skill development?]]*10*0.3)</f>
        <v>45</v>
      </c>
    </row>
    <row r="488" spans="1:34" x14ac:dyDescent="0.25">
      <c r="A488">
        <v>2022</v>
      </c>
      <c r="B488" t="s">
        <v>48</v>
      </c>
      <c r="C488">
        <v>19</v>
      </c>
      <c r="D488">
        <v>2020</v>
      </c>
      <c r="E488" t="s">
        <v>35</v>
      </c>
      <c r="F488">
        <v>1</v>
      </c>
      <c r="G488" t="s">
        <v>37</v>
      </c>
      <c r="H488" t="s">
        <v>36</v>
      </c>
      <c r="I488">
        <v>1</v>
      </c>
      <c r="J488">
        <v>2</v>
      </c>
      <c r="K488" t="s">
        <v>38</v>
      </c>
      <c r="L488" t="s">
        <v>36</v>
      </c>
      <c r="M488" t="s">
        <v>37</v>
      </c>
      <c r="N488">
        <v>3</v>
      </c>
      <c r="O488" t="s">
        <v>45</v>
      </c>
      <c r="P488">
        <v>98</v>
      </c>
      <c r="Q488" t="s">
        <v>37</v>
      </c>
      <c r="R488" t="s">
        <v>37</v>
      </c>
      <c r="S488" t="s">
        <v>37</v>
      </c>
      <c r="T488" t="s">
        <v>85</v>
      </c>
      <c r="U488">
        <v>2</v>
      </c>
      <c r="V488" t="s">
        <v>40</v>
      </c>
      <c r="W488" t="s">
        <v>42</v>
      </c>
      <c r="X488" t="s">
        <v>37</v>
      </c>
      <c r="Y488" t="s">
        <v>47</v>
      </c>
      <c r="Z488" t="s">
        <v>37</v>
      </c>
      <c r="AA488">
        <v>0</v>
      </c>
      <c r="AB488" t="s">
        <v>37</v>
      </c>
      <c r="AC488">
        <v>0</v>
      </c>
      <c r="AD488">
        <v>0</v>
      </c>
      <c r="AE488">
        <v>20000</v>
      </c>
      <c r="AF488" t="str">
        <f>IF(Table1[[#This Row],[What is your current CGPA?]]&gt;=3.5,"High",IF(Table1[[#This Row],[What is your current CGPA?]]&gt;=2.5,"Medium","Low"))</f>
        <v>Low</v>
      </c>
      <c r="AG488" t="str">
        <f>IF(AND(Table1[[#This Row],[Average attendance on class]]&lt;75,Table1[[#This Row],[How many hour do you study daily?]]&lt;1),"At Risk","Normal")</f>
        <v>Normal</v>
      </c>
      <c r="AH488">
        <f>(Table1[[#This Row],[Average attendance on class]]*0.4)+(Table1[[#This Row],[How many hour do you study daily?]]*10*0.3)+(Table1[[#This Row],[How many hour do you spent daily on your skill development?]]*10*0.3)</f>
        <v>48.2</v>
      </c>
    </row>
    <row r="489" spans="1:34" x14ac:dyDescent="0.25">
      <c r="A489">
        <v>2022</v>
      </c>
      <c r="B489" t="s">
        <v>34</v>
      </c>
      <c r="C489">
        <v>20</v>
      </c>
      <c r="D489">
        <v>2020</v>
      </c>
      <c r="E489" t="s">
        <v>35</v>
      </c>
      <c r="F489">
        <v>1</v>
      </c>
      <c r="G489" t="s">
        <v>36</v>
      </c>
      <c r="H489" t="s">
        <v>36</v>
      </c>
      <c r="I489">
        <v>4</v>
      </c>
      <c r="J489">
        <v>2</v>
      </c>
      <c r="K489" t="s">
        <v>38</v>
      </c>
      <c r="L489" t="s">
        <v>36</v>
      </c>
      <c r="M489" t="s">
        <v>36</v>
      </c>
      <c r="N489">
        <v>3</v>
      </c>
      <c r="O489" t="s">
        <v>45</v>
      </c>
      <c r="P489">
        <v>96</v>
      </c>
      <c r="Q489" t="s">
        <v>36</v>
      </c>
      <c r="R489" t="s">
        <v>36</v>
      </c>
      <c r="S489" t="s">
        <v>36</v>
      </c>
      <c r="T489" t="s">
        <v>40</v>
      </c>
      <c r="U489">
        <v>2</v>
      </c>
      <c r="V489" t="s">
        <v>40</v>
      </c>
      <c r="W489" t="s">
        <v>42</v>
      </c>
      <c r="X489" t="s">
        <v>37</v>
      </c>
      <c r="Y489" t="s">
        <v>43</v>
      </c>
      <c r="Z489" t="s">
        <v>37</v>
      </c>
      <c r="AA489">
        <v>2.73</v>
      </c>
      <c r="AB489" t="s">
        <v>37</v>
      </c>
      <c r="AC489">
        <v>2.73</v>
      </c>
      <c r="AD489">
        <v>12</v>
      </c>
      <c r="AE489">
        <v>20000</v>
      </c>
      <c r="AF489" t="str">
        <f>IF(Table1[[#This Row],[What is your current CGPA?]]&gt;=3.5,"High",IF(Table1[[#This Row],[What is your current CGPA?]]&gt;=2.5,"Medium","Low"))</f>
        <v>Medium</v>
      </c>
      <c r="AG489" t="str">
        <f>IF(AND(Table1[[#This Row],[Average attendance on class]]&lt;75,Table1[[#This Row],[How many hour do you study daily?]]&lt;1),"At Risk","Normal")</f>
        <v>Normal</v>
      </c>
      <c r="AH489">
        <f>(Table1[[#This Row],[Average attendance on class]]*0.4)+(Table1[[#This Row],[How many hour do you study daily?]]*10*0.3)+(Table1[[#This Row],[How many hour do you spent daily on your skill development?]]*10*0.3)</f>
        <v>56.400000000000006</v>
      </c>
    </row>
    <row r="490" spans="1:34" x14ac:dyDescent="0.25">
      <c r="A490">
        <v>2018</v>
      </c>
      <c r="B490" t="s">
        <v>34</v>
      </c>
      <c r="C490">
        <v>22</v>
      </c>
      <c r="D490">
        <v>2018</v>
      </c>
      <c r="E490" t="s">
        <v>35</v>
      </c>
      <c r="F490">
        <v>11</v>
      </c>
      <c r="G490" t="s">
        <v>37</v>
      </c>
      <c r="H490" t="s">
        <v>37</v>
      </c>
      <c r="I490">
        <v>1</v>
      </c>
      <c r="J490">
        <v>1</v>
      </c>
      <c r="K490" t="s">
        <v>38</v>
      </c>
      <c r="L490" t="s">
        <v>36</v>
      </c>
      <c r="M490" t="s">
        <v>36</v>
      </c>
      <c r="N490">
        <v>2</v>
      </c>
      <c r="O490" t="s">
        <v>39</v>
      </c>
      <c r="P490">
        <v>80</v>
      </c>
      <c r="Q490" t="s">
        <v>37</v>
      </c>
      <c r="R490" t="s">
        <v>37</v>
      </c>
      <c r="S490" t="s">
        <v>36</v>
      </c>
      <c r="T490" t="s">
        <v>40</v>
      </c>
      <c r="U490">
        <v>3</v>
      </c>
      <c r="V490" t="s">
        <v>40</v>
      </c>
      <c r="W490" t="s">
        <v>42</v>
      </c>
      <c r="X490" t="s">
        <v>36</v>
      </c>
      <c r="Y490" t="s">
        <v>43</v>
      </c>
      <c r="Z490" t="s">
        <v>37</v>
      </c>
      <c r="AA490">
        <v>3.2</v>
      </c>
      <c r="AB490" t="s">
        <v>37</v>
      </c>
      <c r="AC490">
        <v>3.29</v>
      </c>
      <c r="AD490">
        <v>132</v>
      </c>
      <c r="AE490">
        <v>40000</v>
      </c>
      <c r="AF490" t="str">
        <f>IF(Table1[[#This Row],[What is your current CGPA?]]&gt;=3.5,"High",IF(Table1[[#This Row],[What is your current CGPA?]]&gt;=2.5,"Medium","Low"))</f>
        <v>Medium</v>
      </c>
      <c r="AG490" t="str">
        <f>IF(AND(Table1[[#This Row],[Average attendance on class]]&lt;75,Table1[[#This Row],[How many hour do you study daily?]]&lt;1),"At Risk","Normal")</f>
        <v>Normal</v>
      </c>
      <c r="AH490">
        <f>(Table1[[#This Row],[Average attendance on class]]*0.4)+(Table1[[#This Row],[How many hour do you study daily?]]*10*0.3)+(Table1[[#This Row],[How many hour do you spent daily on your skill development?]]*10*0.3)</f>
        <v>44</v>
      </c>
    </row>
    <row r="491" spans="1:34" x14ac:dyDescent="0.25">
      <c r="A491">
        <v>2019</v>
      </c>
      <c r="B491" t="s">
        <v>48</v>
      </c>
      <c r="C491">
        <v>20</v>
      </c>
      <c r="D491">
        <v>2019</v>
      </c>
      <c r="E491" t="s">
        <v>35</v>
      </c>
      <c r="F491">
        <v>8</v>
      </c>
      <c r="G491" t="s">
        <v>36</v>
      </c>
      <c r="H491" t="s">
        <v>37</v>
      </c>
      <c r="I491">
        <v>6</v>
      </c>
      <c r="J491">
        <v>2</v>
      </c>
      <c r="K491" t="s">
        <v>38</v>
      </c>
      <c r="L491" t="s">
        <v>36</v>
      </c>
      <c r="M491" t="s">
        <v>36</v>
      </c>
      <c r="N491">
        <v>2</v>
      </c>
      <c r="O491" t="s">
        <v>39</v>
      </c>
      <c r="P491">
        <v>100</v>
      </c>
      <c r="Q491" t="s">
        <v>37</v>
      </c>
      <c r="R491" t="s">
        <v>37</v>
      </c>
      <c r="S491" t="s">
        <v>36</v>
      </c>
      <c r="T491" t="s">
        <v>40</v>
      </c>
      <c r="U491">
        <v>2</v>
      </c>
      <c r="V491" t="s">
        <v>40</v>
      </c>
      <c r="W491" t="s">
        <v>42</v>
      </c>
      <c r="X491" t="s">
        <v>36</v>
      </c>
      <c r="Y491" t="s">
        <v>47</v>
      </c>
      <c r="Z491" t="s">
        <v>37</v>
      </c>
      <c r="AA491">
        <v>3.96</v>
      </c>
      <c r="AB491" t="s">
        <v>37</v>
      </c>
      <c r="AC491">
        <v>3.94</v>
      </c>
      <c r="AD491">
        <v>85</v>
      </c>
      <c r="AE491">
        <v>100000</v>
      </c>
      <c r="AF491" t="str">
        <f>IF(Table1[[#This Row],[What is your current CGPA?]]&gt;=3.5,"High",IF(Table1[[#This Row],[What is your current CGPA?]]&gt;=2.5,"Medium","Low"))</f>
        <v>High</v>
      </c>
      <c r="AG491" t="str">
        <f>IF(AND(Table1[[#This Row],[Average attendance on class]]&lt;75,Table1[[#This Row],[How many hour do you study daily?]]&lt;1),"At Risk","Normal")</f>
        <v>Normal</v>
      </c>
      <c r="AH491">
        <f>(Table1[[#This Row],[Average attendance on class]]*0.4)+(Table1[[#This Row],[How many hour do you study daily?]]*10*0.3)+(Table1[[#This Row],[How many hour do you spent daily on your skill development?]]*10*0.3)</f>
        <v>64</v>
      </c>
    </row>
    <row r="492" spans="1:34" x14ac:dyDescent="0.25">
      <c r="A492">
        <v>2020</v>
      </c>
      <c r="B492" t="s">
        <v>34</v>
      </c>
      <c r="C492">
        <v>22</v>
      </c>
      <c r="D492">
        <v>2019</v>
      </c>
      <c r="E492" t="s">
        <v>35</v>
      </c>
      <c r="F492">
        <v>7</v>
      </c>
      <c r="G492" t="s">
        <v>36</v>
      </c>
      <c r="H492" t="s">
        <v>36</v>
      </c>
      <c r="I492">
        <v>0</v>
      </c>
      <c r="J492">
        <v>2</v>
      </c>
      <c r="K492" t="s">
        <v>38</v>
      </c>
      <c r="L492" t="s">
        <v>36</v>
      </c>
      <c r="M492" t="s">
        <v>36</v>
      </c>
      <c r="N492">
        <v>6</v>
      </c>
      <c r="O492" t="s">
        <v>39</v>
      </c>
      <c r="P492">
        <v>60</v>
      </c>
      <c r="Q492" t="s">
        <v>37</v>
      </c>
      <c r="R492" t="s">
        <v>37</v>
      </c>
      <c r="S492" t="s">
        <v>37</v>
      </c>
      <c r="T492" t="s">
        <v>93</v>
      </c>
      <c r="U492">
        <v>0</v>
      </c>
      <c r="V492" t="s">
        <v>40</v>
      </c>
      <c r="W492" t="s">
        <v>42</v>
      </c>
      <c r="X492" t="s">
        <v>37</v>
      </c>
      <c r="Y492" t="s">
        <v>47</v>
      </c>
      <c r="Z492" t="s">
        <v>37</v>
      </c>
      <c r="AA492">
        <v>3.56</v>
      </c>
      <c r="AB492" t="s">
        <v>37</v>
      </c>
      <c r="AC492">
        <v>3.69</v>
      </c>
      <c r="AD492">
        <v>87</v>
      </c>
      <c r="AE492">
        <v>40000</v>
      </c>
      <c r="AF492" t="str">
        <f>IF(Table1[[#This Row],[What is your current CGPA?]]&gt;=3.5,"High",IF(Table1[[#This Row],[What is your current CGPA?]]&gt;=2.5,"Medium","Low"))</f>
        <v>High</v>
      </c>
      <c r="AG492" t="str">
        <f>IF(AND(Table1[[#This Row],[Average attendance on class]]&lt;75,Table1[[#This Row],[How many hour do you study daily?]]&lt;1),"At Risk","Normal")</f>
        <v>At Risk</v>
      </c>
      <c r="AH492">
        <f>(Table1[[#This Row],[Average attendance on class]]*0.4)+(Table1[[#This Row],[How many hour do you study daily?]]*10*0.3)+(Table1[[#This Row],[How many hour do you spent daily on your skill development?]]*10*0.3)</f>
        <v>24</v>
      </c>
    </row>
    <row r="493" spans="1:34" x14ac:dyDescent="0.25">
      <c r="A493">
        <v>2022</v>
      </c>
      <c r="B493" t="s">
        <v>34</v>
      </c>
      <c r="C493">
        <v>23</v>
      </c>
      <c r="D493">
        <v>2019</v>
      </c>
      <c r="E493" t="s">
        <v>35</v>
      </c>
      <c r="F493">
        <v>1</v>
      </c>
      <c r="G493" t="s">
        <v>36</v>
      </c>
      <c r="H493" t="s">
        <v>36</v>
      </c>
      <c r="I493">
        <v>2</v>
      </c>
      <c r="J493">
        <v>1</v>
      </c>
      <c r="K493" t="s">
        <v>38</v>
      </c>
      <c r="L493" t="s">
        <v>36</v>
      </c>
      <c r="M493" t="s">
        <v>36</v>
      </c>
      <c r="N493">
        <v>8</v>
      </c>
      <c r="O493" t="s">
        <v>45</v>
      </c>
      <c r="P493">
        <v>100</v>
      </c>
      <c r="Q493" t="s">
        <v>37</v>
      </c>
      <c r="R493" t="s">
        <v>37</v>
      </c>
      <c r="S493" t="s">
        <v>37</v>
      </c>
      <c r="T493" t="s">
        <v>51</v>
      </c>
      <c r="U493">
        <v>1</v>
      </c>
      <c r="V493" t="s">
        <v>40</v>
      </c>
      <c r="W493" t="s">
        <v>42</v>
      </c>
      <c r="X493" t="s">
        <v>37</v>
      </c>
      <c r="Y493" t="s">
        <v>47</v>
      </c>
      <c r="Z493" t="s">
        <v>37</v>
      </c>
      <c r="AA493">
        <v>0</v>
      </c>
      <c r="AB493" t="s">
        <v>37</v>
      </c>
      <c r="AC493">
        <v>0</v>
      </c>
      <c r="AD493">
        <v>0</v>
      </c>
      <c r="AE493">
        <v>40000</v>
      </c>
      <c r="AF493" t="str">
        <f>IF(Table1[[#This Row],[What is your current CGPA?]]&gt;=3.5,"High",IF(Table1[[#This Row],[What is your current CGPA?]]&gt;=2.5,"Medium","Low"))</f>
        <v>Low</v>
      </c>
      <c r="AG493" t="str">
        <f>IF(AND(Table1[[#This Row],[Average attendance on class]]&lt;75,Table1[[#This Row],[How many hour do you study daily?]]&lt;1),"At Risk","Normal")</f>
        <v>Normal</v>
      </c>
      <c r="AH493">
        <f>(Table1[[#This Row],[Average attendance on class]]*0.4)+(Table1[[#This Row],[How many hour do you study daily?]]*10*0.3)+(Table1[[#This Row],[How many hour do you spent daily on your skill development?]]*10*0.3)</f>
        <v>49</v>
      </c>
    </row>
    <row r="494" spans="1:34" x14ac:dyDescent="0.25">
      <c r="A494">
        <v>2022</v>
      </c>
      <c r="B494" t="s">
        <v>48</v>
      </c>
      <c r="C494">
        <v>19</v>
      </c>
      <c r="D494">
        <v>2020</v>
      </c>
      <c r="E494" t="s">
        <v>35</v>
      </c>
      <c r="F494">
        <v>2</v>
      </c>
      <c r="G494" t="s">
        <v>36</v>
      </c>
      <c r="H494" t="s">
        <v>36</v>
      </c>
      <c r="I494">
        <v>2</v>
      </c>
      <c r="J494">
        <v>1</v>
      </c>
      <c r="K494" t="s">
        <v>38</v>
      </c>
      <c r="L494" t="s">
        <v>36</v>
      </c>
      <c r="M494" t="s">
        <v>36</v>
      </c>
      <c r="N494">
        <v>1</v>
      </c>
      <c r="O494" t="s">
        <v>45</v>
      </c>
      <c r="P494">
        <v>100</v>
      </c>
      <c r="Q494" t="s">
        <v>37</v>
      </c>
      <c r="R494" t="s">
        <v>37</v>
      </c>
      <c r="S494" t="s">
        <v>37</v>
      </c>
      <c r="T494" t="s">
        <v>40</v>
      </c>
      <c r="U494">
        <v>1</v>
      </c>
      <c r="V494" t="s">
        <v>40</v>
      </c>
      <c r="W494" t="s">
        <v>42</v>
      </c>
      <c r="X494" t="s">
        <v>36</v>
      </c>
      <c r="Y494" t="s">
        <v>47</v>
      </c>
      <c r="Z494" t="s">
        <v>37</v>
      </c>
      <c r="AA494">
        <v>3.89</v>
      </c>
      <c r="AB494" t="s">
        <v>37</v>
      </c>
      <c r="AC494">
        <v>3.89</v>
      </c>
      <c r="AD494">
        <v>11</v>
      </c>
      <c r="AE494">
        <v>70000</v>
      </c>
      <c r="AF494" t="str">
        <f>IF(Table1[[#This Row],[What is your current CGPA?]]&gt;=3.5,"High",IF(Table1[[#This Row],[What is your current CGPA?]]&gt;=2.5,"Medium","Low"))</f>
        <v>High</v>
      </c>
      <c r="AG494" t="str">
        <f>IF(AND(Table1[[#This Row],[Average attendance on class]]&lt;75,Table1[[#This Row],[How many hour do you study daily?]]&lt;1),"At Risk","Normal")</f>
        <v>Normal</v>
      </c>
      <c r="AH494">
        <f>(Table1[[#This Row],[Average attendance on class]]*0.4)+(Table1[[#This Row],[How many hour do you study daily?]]*10*0.3)+(Table1[[#This Row],[How many hour do you spent daily on your skill development?]]*10*0.3)</f>
        <v>49</v>
      </c>
    </row>
    <row r="495" spans="1:34" x14ac:dyDescent="0.25">
      <c r="A495">
        <v>2022</v>
      </c>
      <c r="B495" t="s">
        <v>48</v>
      </c>
      <c r="C495">
        <v>20</v>
      </c>
      <c r="D495">
        <v>2020</v>
      </c>
      <c r="E495" t="s">
        <v>35</v>
      </c>
      <c r="F495">
        <v>1</v>
      </c>
      <c r="G495" t="s">
        <v>36</v>
      </c>
      <c r="H495" t="s">
        <v>36</v>
      </c>
      <c r="I495">
        <v>2</v>
      </c>
      <c r="J495">
        <v>1</v>
      </c>
      <c r="K495" t="s">
        <v>38</v>
      </c>
      <c r="L495" t="s">
        <v>36</v>
      </c>
      <c r="M495" t="s">
        <v>37</v>
      </c>
      <c r="N495">
        <v>7</v>
      </c>
      <c r="O495" t="s">
        <v>39</v>
      </c>
      <c r="P495">
        <v>100</v>
      </c>
      <c r="Q495" t="s">
        <v>37</v>
      </c>
      <c r="R495" t="s">
        <v>37</v>
      </c>
      <c r="S495" t="s">
        <v>36</v>
      </c>
      <c r="T495" t="s">
        <v>51</v>
      </c>
      <c r="U495">
        <v>1</v>
      </c>
      <c r="V495" t="s">
        <v>40</v>
      </c>
      <c r="W495" t="s">
        <v>42</v>
      </c>
      <c r="X495" t="s">
        <v>36</v>
      </c>
      <c r="Y495" t="s">
        <v>47</v>
      </c>
      <c r="Z495" t="s">
        <v>37</v>
      </c>
      <c r="AA495">
        <v>0</v>
      </c>
      <c r="AB495" t="s">
        <v>37</v>
      </c>
      <c r="AC495">
        <v>0</v>
      </c>
      <c r="AD495">
        <v>0</v>
      </c>
      <c r="AE495">
        <v>15000</v>
      </c>
      <c r="AF495" t="str">
        <f>IF(Table1[[#This Row],[What is your current CGPA?]]&gt;=3.5,"High",IF(Table1[[#This Row],[What is your current CGPA?]]&gt;=2.5,"Medium","Low"))</f>
        <v>Low</v>
      </c>
      <c r="AG495" t="str">
        <f>IF(AND(Table1[[#This Row],[Average attendance on class]]&lt;75,Table1[[#This Row],[How many hour do you study daily?]]&lt;1),"At Risk","Normal")</f>
        <v>Normal</v>
      </c>
      <c r="AH495">
        <f>(Table1[[#This Row],[Average attendance on class]]*0.4)+(Table1[[#This Row],[How many hour do you study daily?]]*10*0.3)+(Table1[[#This Row],[How many hour do you spent daily on your skill development?]]*10*0.3)</f>
        <v>49</v>
      </c>
    </row>
    <row r="496" spans="1:34" x14ac:dyDescent="0.25">
      <c r="A496">
        <v>2021</v>
      </c>
      <c r="B496" t="s">
        <v>48</v>
      </c>
      <c r="C496">
        <v>26</v>
      </c>
      <c r="D496">
        <v>2014</v>
      </c>
      <c r="E496" t="s">
        <v>35</v>
      </c>
      <c r="F496">
        <v>3</v>
      </c>
      <c r="G496" t="s">
        <v>36</v>
      </c>
      <c r="H496" t="s">
        <v>37</v>
      </c>
      <c r="I496">
        <v>4</v>
      </c>
      <c r="J496">
        <v>3</v>
      </c>
      <c r="K496" t="s">
        <v>38</v>
      </c>
      <c r="L496" t="s">
        <v>36</v>
      </c>
      <c r="M496" t="s">
        <v>36</v>
      </c>
      <c r="N496">
        <v>3</v>
      </c>
      <c r="O496" t="s">
        <v>45</v>
      </c>
      <c r="P496">
        <v>50</v>
      </c>
      <c r="Q496" t="s">
        <v>37</v>
      </c>
      <c r="R496" t="s">
        <v>37</v>
      </c>
      <c r="S496" t="s">
        <v>37</v>
      </c>
      <c r="T496" t="s">
        <v>40</v>
      </c>
      <c r="U496">
        <v>1</v>
      </c>
      <c r="V496" t="s">
        <v>40</v>
      </c>
      <c r="W496" t="s">
        <v>56</v>
      </c>
      <c r="X496" t="s">
        <v>37</v>
      </c>
      <c r="Y496" t="s">
        <v>47</v>
      </c>
      <c r="Z496" t="s">
        <v>37</v>
      </c>
      <c r="AA496">
        <v>3.89</v>
      </c>
      <c r="AB496" t="s">
        <v>37</v>
      </c>
      <c r="AC496">
        <v>3.36</v>
      </c>
      <c r="AD496">
        <v>23</v>
      </c>
      <c r="AE496">
        <v>80000</v>
      </c>
      <c r="AF496" t="str">
        <f>IF(Table1[[#This Row],[What is your current CGPA?]]&gt;=3.5,"High",IF(Table1[[#This Row],[What is your current CGPA?]]&gt;=2.5,"Medium","Low"))</f>
        <v>Medium</v>
      </c>
      <c r="AG496" t="str">
        <f>IF(AND(Table1[[#This Row],[Average attendance on class]]&lt;75,Table1[[#This Row],[How many hour do you study daily?]]&lt;1),"At Risk","Normal")</f>
        <v>Normal</v>
      </c>
      <c r="AH496">
        <f>(Table1[[#This Row],[Average attendance on class]]*0.4)+(Table1[[#This Row],[How many hour do you study daily?]]*10*0.3)+(Table1[[#This Row],[How many hour do you spent daily on your skill development?]]*10*0.3)</f>
        <v>35</v>
      </c>
    </row>
    <row r="497" spans="1:34" x14ac:dyDescent="0.25">
      <c r="A497">
        <v>2022</v>
      </c>
      <c r="B497" t="s">
        <v>34</v>
      </c>
      <c r="C497">
        <v>20</v>
      </c>
      <c r="D497">
        <v>2020</v>
      </c>
      <c r="E497" t="s">
        <v>35</v>
      </c>
      <c r="F497">
        <v>2</v>
      </c>
      <c r="G497" t="s">
        <v>36</v>
      </c>
      <c r="H497" t="s">
        <v>36</v>
      </c>
      <c r="I497">
        <v>3</v>
      </c>
      <c r="J497">
        <v>1</v>
      </c>
      <c r="K497" t="s">
        <v>38</v>
      </c>
      <c r="L497" t="s">
        <v>36</v>
      </c>
      <c r="M497" t="s">
        <v>36</v>
      </c>
      <c r="N497">
        <v>2</v>
      </c>
      <c r="O497" t="s">
        <v>45</v>
      </c>
      <c r="P497">
        <v>10</v>
      </c>
      <c r="Q497" t="s">
        <v>37</v>
      </c>
      <c r="R497" t="s">
        <v>37</v>
      </c>
      <c r="S497" t="s">
        <v>37</v>
      </c>
      <c r="T497" t="s">
        <v>40</v>
      </c>
      <c r="U497">
        <v>1</v>
      </c>
      <c r="V497" t="s">
        <v>78</v>
      </c>
      <c r="W497" t="s">
        <v>42</v>
      </c>
      <c r="X497" t="s">
        <v>37</v>
      </c>
      <c r="Y497" t="s">
        <v>47</v>
      </c>
      <c r="Z497" t="s">
        <v>37</v>
      </c>
      <c r="AA497">
        <v>3.68</v>
      </c>
      <c r="AB497" t="s">
        <v>37</v>
      </c>
      <c r="AC497">
        <v>3.68</v>
      </c>
      <c r="AD497">
        <v>14</v>
      </c>
      <c r="AE497">
        <v>24000</v>
      </c>
      <c r="AF497" t="str">
        <f>IF(Table1[[#This Row],[What is your current CGPA?]]&gt;=3.5,"High",IF(Table1[[#This Row],[What is your current CGPA?]]&gt;=2.5,"Medium","Low"))</f>
        <v>High</v>
      </c>
      <c r="AG497" t="str">
        <f>IF(AND(Table1[[#This Row],[Average attendance on class]]&lt;75,Table1[[#This Row],[How many hour do you study daily?]]&lt;1),"At Risk","Normal")</f>
        <v>Normal</v>
      </c>
      <c r="AH497">
        <f>(Table1[[#This Row],[Average attendance on class]]*0.4)+(Table1[[#This Row],[How many hour do you study daily?]]*10*0.3)+(Table1[[#This Row],[How many hour do you spent daily on your skill development?]]*10*0.3)</f>
        <v>16</v>
      </c>
    </row>
    <row r="498" spans="1:34" x14ac:dyDescent="0.25">
      <c r="A498">
        <v>2022</v>
      </c>
      <c r="B498" t="s">
        <v>34</v>
      </c>
      <c r="C498">
        <v>19</v>
      </c>
      <c r="D498">
        <v>2020</v>
      </c>
      <c r="E498" t="s">
        <v>35</v>
      </c>
      <c r="F498">
        <v>1</v>
      </c>
      <c r="G498" t="s">
        <v>36</v>
      </c>
      <c r="H498" t="s">
        <v>36</v>
      </c>
      <c r="I498">
        <v>1</v>
      </c>
      <c r="J498">
        <v>2</v>
      </c>
      <c r="K498" t="s">
        <v>44</v>
      </c>
      <c r="L498" t="s">
        <v>36</v>
      </c>
      <c r="M498" t="s">
        <v>36</v>
      </c>
      <c r="N498">
        <v>3</v>
      </c>
      <c r="O498" t="s">
        <v>39</v>
      </c>
      <c r="P498">
        <v>100</v>
      </c>
      <c r="Q498" t="s">
        <v>37</v>
      </c>
      <c r="R498" t="s">
        <v>37</v>
      </c>
      <c r="S498" t="s">
        <v>36</v>
      </c>
      <c r="T498" t="s">
        <v>94</v>
      </c>
      <c r="U498">
        <v>2</v>
      </c>
      <c r="V498" t="s">
        <v>40</v>
      </c>
      <c r="W498" t="s">
        <v>42</v>
      </c>
      <c r="X498" t="s">
        <v>37</v>
      </c>
      <c r="Y498" t="s">
        <v>47</v>
      </c>
      <c r="Z498" t="s">
        <v>37</v>
      </c>
      <c r="AA498">
        <v>0</v>
      </c>
      <c r="AB498" t="s">
        <v>37</v>
      </c>
      <c r="AC498">
        <v>0</v>
      </c>
      <c r="AD498">
        <v>0</v>
      </c>
      <c r="AE498">
        <v>20000</v>
      </c>
      <c r="AF498" t="str">
        <f>IF(Table1[[#This Row],[What is your current CGPA?]]&gt;=3.5,"High",IF(Table1[[#This Row],[What is your current CGPA?]]&gt;=2.5,"Medium","Low"))</f>
        <v>Low</v>
      </c>
      <c r="AG498" t="str">
        <f>IF(AND(Table1[[#This Row],[Average attendance on class]]&lt;75,Table1[[#This Row],[How many hour do you study daily?]]&lt;1),"At Risk","Normal")</f>
        <v>Normal</v>
      </c>
      <c r="AH498">
        <f>(Table1[[#This Row],[Average attendance on class]]*0.4)+(Table1[[#This Row],[How many hour do you study daily?]]*10*0.3)+(Table1[[#This Row],[How many hour do you spent daily on your skill development?]]*10*0.3)</f>
        <v>49</v>
      </c>
    </row>
    <row r="499" spans="1:34" x14ac:dyDescent="0.25">
      <c r="A499">
        <v>2022</v>
      </c>
      <c r="B499" t="s">
        <v>34</v>
      </c>
      <c r="C499">
        <v>19</v>
      </c>
      <c r="D499">
        <v>2020</v>
      </c>
      <c r="E499" t="s">
        <v>35</v>
      </c>
      <c r="F499">
        <v>2</v>
      </c>
      <c r="G499" t="s">
        <v>36</v>
      </c>
      <c r="H499" t="s">
        <v>36</v>
      </c>
      <c r="I499">
        <v>5</v>
      </c>
      <c r="J499">
        <v>2</v>
      </c>
      <c r="K499" t="s">
        <v>38</v>
      </c>
      <c r="L499" t="s">
        <v>36</v>
      </c>
      <c r="M499" t="s">
        <v>36</v>
      </c>
      <c r="N499">
        <v>2</v>
      </c>
      <c r="O499" t="s">
        <v>39</v>
      </c>
      <c r="P499">
        <v>98</v>
      </c>
      <c r="Q499" t="s">
        <v>36</v>
      </c>
      <c r="R499" t="s">
        <v>37</v>
      </c>
      <c r="S499" t="s">
        <v>36</v>
      </c>
      <c r="T499" t="s">
        <v>40</v>
      </c>
      <c r="U499">
        <v>2</v>
      </c>
      <c r="V499" t="s">
        <v>40</v>
      </c>
      <c r="W499" t="s">
        <v>42</v>
      </c>
      <c r="X499" t="s">
        <v>36</v>
      </c>
      <c r="Y499" t="s">
        <v>47</v>
      </c>
      <c r="Z499" t="s">
        <v>37</v>
      </c>
      <c r="AA499">
        <v>2.93</v>
      </c>
      <c r="AB499" t="s">
        <v>37</v>
      </c>
      <c r="AC499">
        <v>2.93</v>
      </c>
      <c r="AD499">
        <v>11</v>
      </c>
      <c r="AE499">
        <v>35000</v>
      </c>
      <c r="AF499" t="str">
        <f>IF(Table1[[#This Row],[What is your current CGPA?]]&gt;=3.5,"High",IF(Table1[[#This Row],[What is your current CGPA?]]&gt;=2.5,"Medium","Low"))</f>
        <v>Medium</v>
      </c>
      <c r="AG499" t="str">
        <f>IF(AND(Table1[[#This Row],[Average attendance on class]]&lt;75,Table1[[#This Row],[How many hour do you study daily?]]&lt;1),"At Risk","Normal")</f>
        <v>Normal</v>
      </c>
      <c r="AH499">
        <f>(Table1[[#This Row],[Average attendance on class]]*0.4)+(Table1[[#This Row],[How many hour do you study daily?]]*10*0.3)+(Table1[[#This Row],[How many hour do you spent daily on your skill development?]]*10*0.3)</f>
        <v>60.2</v>
      </c>
    </row>
    <row r="500" spans="1:34" x14ac:dyDescent="0.25">
      <c r="A500">
        <v>2022</v>
      </c>
      <c r="B500" t="s">
        <v>34</v>
      </c>
      <c r="C500">
        <v>20</v>
      </c>
      <c r="D500">
        <v>2020</v>
      </c>
      <c r="E500" t="s">
        <v>35</v>
      </c>
      <c r="F500">
        <v>2</v>
      </c>
      <c r="G500" t="s">
        <v>36</v>
      </c>
      <c r="H500" t="s">
        <v>37</v>
      </c>
      <c r="I500">
        <v>4</v>
      </c>
      <c r="J500">
        <v>3</v>
      </c>
      <c r="K500" t="s">
        <v>44</v>
      </c>
      <c r="L500" t="s">
        <v>36</v>
      </c>
      <c r="M500" t="s">
        <v>36</v>
      </c>
      <c r="N500">
        <v>2</v>
      </c>
      <c r="O500" t="s">
        <v>45</v>
      </c>
      <c r="P500">
        <v>100</v>
      </c>
      <c r="Q500" t="s">
        <v>37</v>
      </c>
      <c r="R500" t="s">
        <v>37</v>
      </c>
      <c r="S500" t="s">
        <v>37</v>
      </c>
      <c r="T500" t="s">
        <v>40</v>
      </c>
      <c r="U500">
        <v>2</v>
      </c>
      <c r="V500" t="s">
        <v>40</v>
      </c>
      <c r="W500" t="s">
        <v>42</v>
      </c>
      <c r="X500" t="s">
        <v>37</v>
      </c>
      <c r="Y500" t="s">
        <v>47</v>
      </c>
      <c r="Z500" t="s">
        <v>37</v>
      </c>
      <c r="AA500">
        <v>3.81</v>
      </c>
      <c r="AB500" t="s">
        <v>37</v>
      </c>
      <c r="AC500">
        <v>3.81</v>
      </c>
      <c r="AD500">
        <v>12</v>
      </c>
      <c r="AE500">
        <v>50000</v>
      </c>
      <c r="AF500" t="str">
        <f>IF(Table1[[#This Row],[What is your current CGPA?]]&gt;=3.5,"High",IF(Table1[[#This Row],[What is your current CGPA?]]&gt;=2.5,"Medium","Low"))</f>
        <v>High</v>
      </c>
      <c r="AG500" t="str">
        <f>IF(AND(Table1[[#This Row],[Average attendance on class]]&lt;75,Table1[[#This Row],[How many hour do you study daily?]]&lt;1),"At Risk","Normal")</f>
        <v>Normal</v>
      </c>
      <c r="AH500">
        <f>(Table1[[#This Row],[Average attendance on class]]*0.4)+(Table1[[#This Row],[How many hour do you study daily?]]*10*0.3)+(Table1[[#This Row],[How many hour do you spent daily on your skill development?]]*10*0.3)</f>
        <v>58</v>
      </c>
    </row>
    <row r="501" spans="1:34" x14ac:dyDescent="0.25">
      <c r="A501">
        <v>2021</v>
      </c>
      <c r="B501" t="s">
        <v>48</v>
      </c>
      <c r="C501">
        <v>19</v>
      </c>
      <c r="D501">
        <v>2020</v>
      </c>
      <c r="E501" t="s">
        <v>35</v>
      </c>
      <c r="F501">
        <v>2</v>
      </c>
      <c r="G501" t="s">
        <v>37</v>
      </c>
      <c r="H501" t="s">
        <v>36</v>
      </c>
      <c r="I501">
        <v>3</v>
      </c>
      <c r="J501">
        <v>2</v>
      </c>
      <c r="K501" t="s">
        <v>38</v>
      </c>
      <c r="L501" t="s">
        <v>36</v>
      </c>
      <c r="M501" t="s">
        <v>37</v>
      </c>
      <c r="N501">
        <v>2</v>
      </c>
      <c r="O501" t="s">
        <v>39</v>
      </c>
      <c r="P501">
        <v>98</v>
      </c>
      <c r="Q501" t="s">
        <v>37</v>
      </c>
      <c r="R501" t="s">
        <v>37</v>
      </c>
      <c r="S501" t="s">
        <v>37</v>
      </c>
      <c r="T501" t="s">
        <v>40</v>
      </c>
      <c r="U501">
        <v>1</v>
      </c>
      <c r="V501" t="s">
        <v>40</v>
      </c>
      <c r="W501" t="s">
        <v>42</v>
      </c>
      <c r="X501" t="s">
        <v>37</v>
      </c>
      <c r="Y501" t="s">
        <v>47</v>
      </c>
      <c r="Z501" t="s">
        <v>36</v>
      </c>
      <c r="AA501">
        <v>3.37</v>
      </c>
      <c r="AB501" t="s">
        <v>36</v>
      </c>
      <c r="AC501">
        <v>3.37</v>
      </c>
      <c r="AD501">
        <v>11</v>
      </c>
      <c r="AE501">
        <v>25000</v>
      </c>
      <c r="AF501" t="str">
        <f>IF(Table1[[#This Row],[What is your current CGPA?]]&gt;=3.5,"High",IF(Table1[[#This Row],[What is your current CGPA?]]&gt;=2.5,"Medium","Low"))</f>
        <v>Medium</v>
      </c>
      <c r="AG501" t="str">
        <f>IF(AND(Table1[[#This Row],[Average attendance on class]]&lt;75,Table1[[#This Row],[How many hour do you study daily?]]&lt;1),"At Risk","Normal")</f>
        <v>Normal</v>
      </c>
      <c r="AH501">
        <f>(Table1[[#This Row],[Average attendance on class]]*0.4)+(Table1[[#This Row],[How many hour do you study daily?]]*10*0.3)+(Table1[[#This Row],[How many hour do you spent daily on your skill development?]]*10*0.3)</f>
        <v>51.2</v>
      </c>
    </row>
    <row r="502" spans="1:34" x14ac:dyDescent="0.25">
      <c r="A502">
        <v>2022</v>
      </c>
      <c r="B502" t="s">
        <v>34</v>
      </c>
      <c r="C502">
        <v>19</v>
      </c>
      <c r="D502">
        <v>2020</v>
      </c>
      <c r="E502" t="s">
        <v>35</v>
      </c>
      <c r="F502">
        <v>2</v>
      </c>
      <c r="G502" t="s">
        <v>36</v>
      </c>
      <c r="H502" t="s">
        <v>37</v>
      </c>
      <c r="I502">
        <v>3</v>
      </c>
      <c r="J502">
        <v>1</v>
      </c>
      <c r="K502" t="s">
        <v>38</v>
      </c>
      <c r="L502" t="s">
        <v>36</v>
      </c>
      <c r="M502" t="s">
        <v>36</v>
      </c>
      <c r="N502">
        <v>3</v>
      </c>
      <c r="O502" t="s">
        <v>39</v>
      </c>
      <c r="P502">
        <v>100</v>
      </c>
      <c r="Q502" t="s">
        <v>36</v>
      </c>
      <c r="R502" t="s">
        <v>37</v>
      </c>
      <c r="S502" t="s">
        <v>36</v>
      </c>
      <c r="T502" t="s">
        <v>40</v>
      </c>
      <c r="U502">
        <v>1</v>
      </c>
      <c r="V502" t="s">
        <v>95</v>
      </c>
      <c r="W502" t="s">
        <v>56</v>
      </c>
      <c r="X502" t="s">
        <v>37</v>
      </c>
      <c r="Y502" t="s">
        <v>47</v>
      </c>
      <c r="Z502" t="s">
        <v>37</v>
      </c>
      <c r="AA502">
        <v>3.25</v>
      </c>
      <c r="AB502" t="s">
        <v>37</v>
      </c>
      <c r="AC502">
        <v>3.25</v>
      </c>
      <c r="AD502">
        <v>10</v>
      </c>
      <c r="AE502">
        <v>62488</v>
      </c>
      <c r="AF502" t="str">
        <f>IF(Table1[[#This Row],[What is your current CGPA?]]&gt;=3.5,"High",IF(Table1[[#This Row],[What is your current CGPA?]]&gt;=2.5,"Medium","Low"))</f>
        <v>Medium</v>
      </c>
      <c r="AG502" t="str">
        <f>IF(AND(Table1[[#This Row],[Average attendance on class]]&lt;75,Table1[[#This Row],[How many hour do you study daily?]]&lt;1),"At Risk","Normal")</f>
        <v>Normal</v>
      </c>
      <c r="AH502">
        <f>(Table1[[#This Row],[Average attendance on class]]*0.4)+(Table1[[#This Row],[How many hour do you study daily?]]*10*0.3)+(Table1[[#This Row],[How many hour do you spent daily on your skill development?]]*10*0.3)</f>
        <v>52</v>
      </c>
    </row>
    <row r="503" spans="1:34" x14ac:dyDescent="0.25">
      <c r="A503">
        <v>2022</v>
      </c>
      <c r="B503" t="s">
        <v>34</v>
      </c>
      <c r="C503">
        <v>20</v>
      </c>
      <c r="D503">
        <v>2020</v>
      </c>
      <c r="E503" t="s">
        <v>35</v>
      </c>
      <c r="F503">
        <v>2</v>
      </c>
      <c r="G503" t="s">
        <v>36</v>
      </c>
      <c r="H503" t="s">
        <v>37</v>
      </c>
      <c r="I503">
        <v>3</v>
      </c>
      <c r="J503">
        <v>2</v>
      </c>
      <c r="K503" t="s">
        <v>44</v>
      </c>
      <c r="L503" t="s">
        <v>36</v>
      </c>
      <c r="M503" t="s">
        <v>36</v>
      </c>
      <c r="N503">
        <v>3</v>
      </c>
      <c r="O503" t="s">
        <v>45</v>
      </c>
      <c r="P503">
        <v>85</v>
      </c>
      <c r="Q503" t="s">
        <v>37</v>
      </c>
      <c r="R503" t="s">
        <v>37</v>
      </c>
      <c r="S503" t="s">
        <v>37</v>
      </c>
      <c r="T503" t="s">
        <v>40</v>
      </c>
      <c r="U503">
        <v>2</v>
      </c>
      <c r="V503" t="s">
        <v>49</v>
      </c>
      <c r="W503" t="s">
        <v>42</v>
      </c>
      <c r="X503" t="s">
        <v>37</v>
      </c>
      <c r="Y503" t="s">
        <v>47</v>
      </c>
      <c r="Z503" t="s">
        <v>37</v>
      </c>
      <c r="AA503">
        <v>2.89</v>
      </c>
      <c r="AB503" t="s">
        <v>37</v>
      </c>
      <c r="AC503">
        <v>2.89</v>
      </c>
      <c r="AD503">
        <v>11</v>
      </c>
      <c r="AE503">
        <v>30000</v>
      </c>
      <c r="AF503" t="str">
        <f>IF(Table1[[#This Row],[What is your current CGPA?]]&gt;=3.5,"High",IF(Table1[[#This Row],[What is your current CGPA?]]&gt;=2.5,"Medium","Low"))</f>
        <v>Medium</v>
      </c>
      <c r="AG503" t="str">
        <f>IF(AND(Table1[[#This Row],[Average attendance on class]]&lt;75,Table1[[#This Row],[How many hour do you study daily?]]&lt;1),"At Risk","Normal")</f>
        <v>Normal</v>
      </c>
      <c r="AH503">
        <f>(Table1[[#This Row],[Average attendance on class]]*0.4)+(Table1[[#This Row],[How many hour do you study daily?]]*10*0.3)+(Table1[[#This Row],[How many hour do you spent daily on your skill development?]]*10*0.3)</f>
        <v>49</v>
      </c>
    </row>
    <row r="504" spans="1:34" x14ac:dyDescent="0.25">
      <c r="A504">
        <v>2022</v>
      </c>
      <c r="B504" t="s">
        <v>34</v>
      </c>
      <c r="C504">
        <v>22</v>
      </c>
      <c r="D504">
        <v>2019</v>
      </c>
      <c r="E504" t="s">
        <v>35</v>
      </c>
      <c r="F504">
        <v>2</v>
      </c>
      <c r="G504" t="s">
        <v>37</v>
      </c>
      <c r="H504" t="s">
        <v>37</v>
      </c>
      <c r="I504">
        <v>2</v>
      </c>
      <c r="J504">
        <v>1</v>
      </c>
      <c r="K504" t="s">
        <v>38</v>
      </c>
      <c r="L504" t="s">
        <v>36</v>
      </c>
      <c r="M504" t="s">
        <v>36</v>
      </c>
      <c r="N504">
        <v>3</v>
      </c>
      <c r="O504" t="s">
        <v>45</v>
      </c>
      <c r="P504">
        <v>95</v>
      </c>
      <c r="Q504" t="s">
        <v>36</v>
      </c>
      <c r="R504" t="s">
        <v>37</v>
      </c>
      <c r="S504" t="s">
        <v>37</v>
      </c>
      <c r="T504" t="s">
        <v>40</v>
      </c>
      <c r="U504">
        <v>1</v>
      </c>
      <c r="V504" t="s">
        <v>40</v>
      </c>
      <c r="W504" t="s">
        <v>57</v>
      </c>
      <c r="X504" t="s">
        <v>36</v>
      </c>
      <c r="Y504" t="s">
        <v>43</v>
      </c>
      <c r="Z504" t="s">
        <v>36</v>
      </c>
      <c r="AA504">
        <v>1.45</v>
      </c>
      <c r="AB504" t="s">
        <v>37</v>
      </c>
      <c r="AC504">
        <v>1.45</v>
      </c>
      <c r="AD504">
        <v>11</v>
      </c>
      <c r="AE504">
        <v>40000</v>
      </c>
      <c r="AF504" t="str">
        <f>IF(Table1[[#This Row],[What is your current CGPA?]]&gt;=3.5,"High",IF(Table1[[#This Row],[What is your current CGPA?]]&gt;=2.5,"Medium","Low"))</f>
        <v>Low</v>
      </c>
      <c r="AG504" t="str">
        <f>IF(AND(Table1[[#This Row],[Average attendance on class]]&lt;75,Table1[[#This Row],[How many hour do you study daily?]]&lt;1),"At Risk","Normal")</f>
        <v>Normal</v>
      </c>
      <c r="AH504">
        <f>(Table1[[#This Row],[Average attendance on class]]*0.4)+(Table1[[#This Row],[How many hour do you study daily?]]*10*0.3)+(Table1[[#This Row],[How many hour do you spent daily on your skill development?]]*10*0.3)</f>
        <v>47</v>
      </c>
    </row>
    <row r="505" spans="1:34" x14ac:dyDescent="0.25">
      <c r="A505">
        <v>2022</v>
      </c>
      <c r="B505" t="s">
        <v>34</v>
      </c>
      <c r="C505">
        <v>20</v>
      </c>
      <c r="D505">
        <v>2020</v>
      </c>
      <c r="E505" t="s">
        <v>35</v>
      </c>
      <c r="F505">
        <v>2</v>
      </c>
      <c r="G505" t="s">
        <v>37</v>
      </c>
      <c r="H505" t="s">
        <v>36</v>
      </c>
      <c r="I505">
        <v>2</v>
      </c>
      <c r="J505">
        <v>2</v>
      </c>
      <c r="K505" t="s">
        <v>38</v>
      </c>
      <c r="L505" t="s">
        <v>36</v>
      </c>
      <c r="M505" t="s">
        <v>37</v>
      </c>
      <c r="N505">
        <v>4</v>
      </c>
      <c r="O505" t="s">
        <v>39</v>
      </c>
      <c r="P505">
        <v>98</v>
      </c>
      <c r="Q505" t="s">
        <v>37</v>
      </c>
      <c r="R505" t="s">
        <v>37</v>
      </c>
      <c r="S505" t="s">
        <v>36</v>
      </c>
      <c r="T505" t="s">
        <v>82</v>
      </c>
      <c r="U505">
        <v>2</v>
      </c>
      <c r="V505" t="s">
        <v>40</v>
      </c>
      <c r="W505" t="s">
        <v>42</v>
      </c>
      <c r="X505" t="s">
        <v>37</v>
      </c>
      <c r="Y505" t="s">
        <v>47</v>
      </c>
      <c r="Z505" t="s">
        <v>37</v>
      </c>
      <c r="AA505">
        <v>3.73</v>
      </c>
      <c r="AB505" t="s">
        <v>37</v>
      </c>
      <c r="AC505">
        <v>3.73</v>
      </c>
      <c r="AD505">
        <v>11</v>
      </c>
      <c r="AE505">
        <v>35000</v>
      </c>
      <c r="AF505" t="str">
        <f>IF(Table1[[#This Row],[What is your current CGPA?]]&gt;=3.5,"High",IF(Table1[[#This Row],[What is your current CGPA?]]&gt;=2.5,"Medium","Low"))</f>
        <v>High</v>
      </c>
      <c r="AG505" t="str">
        <f>IF(AND(Table1[[#This Row],[Average attendance on class]]&lt;75,Table1[[#This Row],[How many hour do you study daily?]]&lt;1),"At Risk","Normal")</f>
        <v>Normal</v>
      </c>
      <c r="AH505">
        <f>(Table1[[#This Row],[Average attendance on class]]*0.4)+(Table1[[#This Row],[How many hour do you study daily?]]*10*0.3)+(Table1[[#This Row],[How many hour do you spent daily on your skill development?]]*10*0.3)</f>
        <v>51.2</v>
      </c>
    </row>
    <row r="506" spans="1:34" x14ac:dyDescent="0.25">
      <c r="A506">
        <v>2022</v>
      </c>
      <c r="B506" t="s">
        <v>34</v>
      </c>
      <c r="C506">
        <v>20</v>
      </c>
      <c r="D506">
        <v>2020</v>
      </c>
      <c r="E506" t="s">
        <v>35</v>
      </c>
      <c r="F506">
        <v>2</v>
      </c>
      <c r="G506" t="s">
        <v>36</v>
      </c>
      <c r="H506" t="s">
        <v>37</v>
      </c>
      <c r="I506">
        <v>2</v>
      </c>
      <c r="J506">
        <v>2</v>
      </c>
      <c r="K506" t="s">
        <v>38</v>
      </c>
      <c r="L506" t="s">
        <v>36</v>
      </c>
      <c r="M506" t="s">
        <v>36</v>
      </c>
      <c r="N506">
        <v>1</v>
      </c>
      <c r="O506" t="s">
        <v>39</v>
      </c>
      <c r="P506">
        <v>92</v>
      </c>
      <c r="Q506" t="s">
        <v>37</v>
      </c>
      <c r="R506" t="s">
        <v>37</v>
      </c>
      <c r="S506" t="s">
        <v>37</v>
      </c>
      <c r="T506" t="s">
        <v>40</v>
      </c>
      <c r="U506">
        <v>4</v>
      </c>
      <c r="V506" t="s">
        <v>40</v>
      </c>
      <c r="W506" t="s">
        <v>42</v>
      </c>
      <c r="X506" t="s">
        <v>37</v>
      </c>
      <c r="Y506" t="s">
        <v>43</v>
      </c>
      <c r="Z506" t="s">
        <v>37</v>
      </c>
      <c r="AA506">
        <v>3.18</v>
      </c>
      <c r="AB506" t="s">
        <v>37</v>
      </c>
      <c r="AC506">
        <v>3.18</v>
      </c>
      <c r="AD506">
        <v>11</v>
      </c>
      <c r="AE506">
        <v>25000</v>
      </c>
      <c r="AF506" t="str">
        <f>IF(Table1[[#This Row],[What is your current CGPA?]]&gt;=3.5,"High",IF(Table1[[#This Row],[What is your current CGPA?]]&gt;=2.5,"Medium","Low"))</f>
        <v>Medium</v>
      </c>
      <c r="AG506" t="str">
        <f>IF(AND(Table1[[#This Row],[Average attendance on class]]&lt;75,Table1[[#This Row],[How many hour do you study daily?]]&lt;1),"At Risk","Normal")</f>
        <v>Normal</v>
      </c>
      <c r="AH506">
        <f>(Table1[[#This Row],[Average attendance on class]]*0.4)+(Table1[[#This Row],[How many hour do you study daily?]]*10*0.3)+(Table1[[#This Row],[How many hour do you spent daily on your skill development?]]*10*0.3)</f>
        <v>54.800000000000004</v>
      </c>
    </row>
    <row r="507" spans="1:34" x14ac:dyDescent="0.25">
      <c r="A507">
        <v>2018</v>
      </c>
      <c r="B507" t="s">
        <v>48</v>
      </c>
      <c r="C507">
        <v>22</v>
      </c>
      <c r="D507">
        <v>2017</v>
      </c>
      <c r="E507" t="s">
        <v>35</v>
      </c>
      <c r="F507">
        <v>12</v>
      </c>
      <c r="G507" t="s">
        <v>37</v>
      </c>
      <c r="H507" t="s">
        <v>36</v>
      </c>
      <c r="I507">
        <v>5</v>
      </c>
      <c r="J507">
        <v>2</v>
      </c>
      <c r="K507" t="s">
        <v>38</v>
      </c>
      <c r="L507" t="s">
        <v>36</v>
      </c>
      <c r="M507" t="s">
        <v>36</v>
      </c>
      <c r="N507">
        <v>4</v>
      </c>
      <c r="O507" t="s">
        <v>39</v>
      </c>
      <c r="P507">
        <v>99</v>
      </c>
      <c r="Q507" t="s">
        <v>37</v>
      </c>
      <c r="R507" t="s">
        <v>37</v>
      </c>
      <c r="S507" t="s">
        <v>37</v>
      </c>
      <c r="T507" t="s">
        <v>40</v>
      </c>
      <c r="U507">
        <v>1</v>
      </c>
      <c r="V507" t="s">
        <v>40</v>
      </c>
      <c r="W507" t="s">
        <v>42</v>
      </c>
      <c r="X507" t="s">
        <v>36</v>
      </c>
      <c r="Y507" t="s">
        <v>47</v>
      </c>
      <c r="Z507" t="s">
        <v>37</v>
      </c>
      <c r="AA507">
        <v>3.5</v>
      </c>
      <c r="AB507" t="s">
        <v>37</v>
      </c>
      <c r="AC507">
        <v>3.7</v>
      </c>
      <c r="AD507">
        <v>100</v>
      </c>
      <c r="AE507">
        <v>30000</v>
      </c>
      <c r="AF507" t="str">
        <f>IF(Table1[[#This Row],[What is your current CGPA?]]&gt;=3.5,"High",IF(Table1[[#This Row],[What is your current CGPA?]]&gt;=2.5,"Medium","Low"))</f>
        <v>High</v>
      </c>
      <c r="AG507" t="str">
        <f>IF(AND(Table1[[#This Row],[Average attendance on class]]&lt;75,Table1[[#This Row],[How many hour do you study daily?]]&lt;1),"At Risk","Normal")</f>
        <v>Normal</v>
      </c>
      <c r="AH507">
        <f>(Table1[[#This Row],[Average attendance on class]]*0.4)+(Table1[[#This Row],[How many hour do you study daily?]]*10*0.3)+(Table1[[#This Row],[How many hour do you spent daily on your skill development?]]*10*0.3)</f>
        <v>57.6</v>
      </c>
    </row>
    <row r="508" spans="1:34" x14ac:dyDescent="0.25">
      <c r="A508">
        <v>2022</v>
      </c>
      <c r="B508" t="s">
        <v>34</v>
      </c>
      <c r="C508">
        <v>19</v>
      </c>
      <c r="D508">
        <v>2020</v>
      </c>
      <c r="E508" t="s">
        <v>35</v>
      </c>
      <c r="F508">
        <v>2</v>
      </c>
      <c r="G508" t="s">
        <v>36</v>
      </c>
      <c r="H508" t="s">
        <v>37</v>
      </c>
      <c r="I508">
        <v>1</v>
      </c>
      <c r="J508">
        <v>1</v>
      </c>
      <c r="K508" t="s">
        <v>44</v>
      </c>
      <c r="L508" t="s">
        <v>36</v>
      </c>
      <c r="M508" t="s">
        <v>36</v>
      </c>
      <c r="N508">
        <v>2</v>
      </c>
      <c r="O508" t="s">
        <v>45</v>
      </c>
      <c r="P508">
        <v>90</v>
      </c>
      <c r="Q508" t="s">
        <v>36</v>
      </c>
      <c r="R508" t="s">
        <v>37</v>
      </c>
      <c r="S508" t="s">
        <v>37</v>
      </c>
      <c r="T508" t="s">
        <v>40</v>
      </c>
      <c r="U508">
        <v>1</v>
      </c>
      <c r="V508" t="s">
        <v>40</v>
      </c>
      <c r="W508" t="s">
        <v>42</v>
      </c>
      <c r="X508" t="s">
        <v>37</v>
      </c>
      <c r="Y508" t="s">
        <v>43</v>
      </c>
      <c r="Z508" t="s">
        <v>36</v>
      </c>
      <c r="AA508">
        <v>2.9</v>
      </c>
      <c r="AB508" t="s">
        <v>37</v>
      </c>
      <c r="AC508">
        <v>2.9</v>
      </c>
      <c r="AD508">
        <v>11</v>
      </c>
      <c r="AE508">
        <v>60000</v>
      </c>
      <c r="AF508" t="str">
        <f>IF(Table1[[#This Row],[What is your current CGPA?]]&gt;=3.5,"High",IF(Table1[[#This Row],[What is your current CGPA?]]&gt;=2.5,"Medium","Low"))</f>
        <v>Medium</v>
      </c>
      <c r="AG508" t="str">
        <f>IF(AND(Table1[[#This Row],[Average attendance on class]]&lt;75,Table1[[#This Row],[How many hour do you study daily?]]&lt;1),"At Risk","Normal")</f>
        <v>Normal</v>
      </c>
      <c r="AH508">
        <f>(Table1[[#This Row],[Average attendance on class]]*0.4)+(Table1[[#This Row],[How many hour do you study daily?]]*10*0.3)+(Table1[[#This Row],[How many hour do you spent daily on your skill development?]]*10*0.3)</f>
        <v>42</v>
      </c>
    </row>
    <row r="509" spans="1:34" x14ac:dyDescent="0.25">
      <c r="A509">
        <v>2022</v>
      </c>
      <c r="B509" t="s">
        <v>34</v>
      </c>
      <c r="C509">
        <v>18</v>
      </c>
      <c r="D509">
        <v>2020</v>
      </c>
      <c r="E509" t="s">
        <v>35</v>
      </c>
      <c r="F509">
        <v>2</v>
      </c>
      <c r="G509" t="s">
        <v>36</v>
      </c>
      <c r="H509" t="s">
        <v>37</v>
      </c>
      <c r="I509">
        <v>6</v>
      </c>
      <c r="J509">
        <v>3</v>
      </c>
      <c r="K509" t="s">
        <v>38</v>
      </c>
      <c r="L509" t="s">
        <v>36</v>
      </c>
      <c r="M509" t="s">
        <v>36</v>
      </c>
      <c r="N509">
        <v>2</v>
      </c>
      <c r="O509" t="s">
        <v>45</v>
      </c>
      <c r="P509">
        <v>95</v>
      </c>
      <c r="Q509" t="s">
        <v>37</v>
      </c>
      <c r="R509" t="s">
        <v>37</v>
      </c>
      <c r="S509" t="s">
        <v>36</v>
      </c>
      <c r="T509" t="s">
        <v>40</v>
      </c>
      <c r="U509">
        <v>2</v>
      </c>
      <c r="V509" t="s">
        <v>40</v>
      </c>
      <c r="W509" t="s">
        <v>42</v>
      </c>
      <c r="X509" t="s">
        <v>37</v>
      </c>
      <c r="Y509" t="s">
        <v>47</v>
      </c>
      <c r="Z509" t="s">
        <v>37</v>
      </c>
      <c r="AA509">
        <v>3.48</v>
      </c>
      <c r="AB509" t="s">
        <v>37</v>
      </c>
      <c r="AC509">
        <v>3.48</v>
      </c>
      <c r="AD509">
        <v>12</v>
      </c>
      <c r="AE509">
        <v>25000</v>
      </c>
      <c r="AF509" t="str">
        <f>IF(Table1[[#This Row],[What is your current CGPA?]]&gt;=3.5,"High",IF(Table1[[#This Row],[What is your current CGPA?]]&gt;=2.5,"Medium","Low"))</f>
        <v>Medium</v>
      </c>
      <c r="AG509" t="str">
        <f>IF(AND(Table1[[#This Row],[Average attendance on class]]&lt;75,Table1[[#This Row],[How many hour do you study daily?]]&lt;1),"At Risk","Normal")</f>
        <v>Normal</v>
      </c>
      <c r="AH509">
        <f>(Table1[[#This Row],[Average attendance on class]]*0.4)+(Table1[[#This Row],[How many hour do you study daily?]]*10*0.3)+(Table1[[#This Row],[How many hour do you spent daily on your skill development?]]*10*0.3)</f>
        <v>62</v>
      </c>
    </row>
    <row r="510" spans="1:34" x14ac:dyDescent="0.25">
      <c r="A510">
        <v>2022</v>
      </c>
      <c r="B510" t="s">
        <v>34</v>
      </c>
      <c r="C510">
        <v>20</v>
      </c>
      <c r="D510">
        <v>2020</v>
      </c>
      <c r="E510" t="s">
        <v>35</v>
      </c>
      <c r="F510">
        <v>2</v>
      </c>
      <c r="G510" t="s">
        <v>36</v>
      </c>
      <c r="H510" t="s">
        <v>37</v>
      </c>
      <c r="I510">
        <v>3</v>
      </c>
      <c r="J510">
        <v>2</v>
      </c>
      <c r="K510" t="s">
        <v>38</v>
      </c>
      <c r="L510" t="s">
        <v>36</v>
      </c>
      <c r="M510" t="s">
        <v>36</v>
      </c>
      <c r="N510">
        <v>4</v>
      </c>
      <c r="O510" t="s">
        <v>45</v>
      </c>
      <c r="P510">
        <v>95</v>
      </c>
      <c r="Q510" t="s">
        <v>36</v>
      </c>
      <c r="R510" t="s">
        <v>37</v>
      </c>
      <c r="S510" t="s">
        <v>37</v>
      </c>
      <c r="T510" t="s">
        <v>40</v>
      </c>
      <c r="U510">
        <v>3</v>
      </c>
      <c r="V510" t="s">
        <v>62</v>
      </c>
      <c r="W510" t="s">
        <v>42</v>
      </c>
      <c r="X510" t="s">
        <v>37</v>
      </c>
      <c r="Y510" t="s">
        <v>47</v>
      </c>
      <c r="Z510" t="s">
        <v>37</v>
      </c>
      <c r="AA510">
        <v>3.6</v>
      </c>
      <c r="AB510" t="s">
        <v>37</v>
      </c>
      <c r="AC510">
        <v>3.6</v>
      </c>
      <c r="AD510">
        <v>11</v>
      </c>
      <c r="AE510">
        <v>25000</v>
      </c>
      <c r="AF510" t="str">
        <f>IF(Table1[[#This Row],[What is your current CGPA?]]&gt;=3.5,"High",IF(Table1[[#This Row],[What is your current CGPA?]]&gt;=2.5,"Medium","Low"))</f>
        <v>High</v>
      </c>
      <c r="AG510" t="str">
        <f>IF(AND(Table1[[#This Row],[Average attendance on class]]&lt;75,Table1[[#This Row],[How many hour do you study daily?]]&lt;1),"At Risk","Normal")</f>
        <v>Normal</v>
      </c>
      <c r="AH510">
        <f>(Table1[[#This Row],[Average attendance on class]]*0.4)+(Table1[[#This Row],[How many hour do you study daily?]]*10*0.3)+(Table1[[#This Row],[How many hour do you spent daily on your skill development?]]*10*0.3)</f>
        <v>56</v>
      </c>
    </row>
    <row r="511" spans="1:34" x14ac:dyDescent="0.25">
      <c r="A511">
        <v>2021</v>
      </c>
      <c r="B511" t="s">
        <v>34</v>
      </c>
      <c r="C511">
        <v>21</v>
      </c>
      <c r="D511">
        <v>2019</v>
      </c>
      <c r="E511" t="s">
        <v>35</v>
      </c>
      <c r="F511">
        <v>2</v>
      </c>
      <c r="G511" t="s">
        <v>37</v>
      </c>
      <c r="H511" t="s">
        <v>37</v>
      </c>
      <c r="I511">
        <v>2</v>
      </c>
      <c r="J511">
        <v>3</v>
      </c>
      <c r="K511" t="s">
        <v>44</v>
      </c>
      <c r="L511" t="s">
        <v>36</v>
      </c>
      <c r="M511" t="s">
        <v>36</v>
      </c>
      <c r="N511">
        <v>2</v>
      </c>
      <c r="O511" t="s">
        <v>45</v>
      </c>
      <c r="P511">
        <v>90</v>
      </c>
      <c r="Q511" t="s">
        <v>37</v>
      </c>
      <c r="R511" t="s">
        <v>37</v>
      </c>
      <c r="S511" t="s">
        <v>36</v>
      </c>
      <c r="T511" t="s">
        <v>40</v>
      </c>
      <c r="U511">
        <v>4</v>
      </c>
      <c r="V511" t="s">
        <v>40</v>
      </c>
      <c r="W511" t="s">
        <v>42</v>
      </c>
      <c r="X511" t="s">
        <v>37</v>
      </c>
      <c r="Y511" t="s">
        <v>43</v>
      </c>
      <c r="Z511" t="s">
        <v>37</v>
      </c>
      <c r="AA511">
        <v>3.13</v>
      </c>
      <c r="AB511" t="s">
        <v>37</v>
      </c>
      <c r="AC511">
        <v>3.17</v>
      </c>
      <c r="AD511">
        <v>11</v>
      </c>
      <c r="AE511">
        <v>40000</v>
      </c>
      <c r="AF511" t="str">
        <f>IF(Table1[[#This Row],[What is your current CGPA?]]&gt;=3.5,"High",IF(Table1[[#This Row],[What is your current CGPA?]]&gt;=2.5,"Medium","Low"))</f>
        <v>Medium</v>
      </c>
      <c r="AG511" t="str">
        <f>IF(AND(Table1[[#This Row],[Average attendance on class]]&lt;75,Table1[[#This Row],[How many hour do you study daily?]]&lt;1),"At Risk","Normal")</f>
        <v>Normal</v>
      </c>
      <c r="AH511">
        <f>(Table1[[#This Row],[Average attendance on class]]*0.4)+(Table1[[#This Row],[How many hour do you study daily?]]*10*0.3)+(Table1[[#This Row],[How many hour do you spent daily on your skill development?]]*10*0.3)</f>
        <v>54</v>
      </c>
    </row>
    <row r="512" spans="1:34" x14ac:dyDescent="0.25">
      <c r="A512">
        <v>2021</v>
      </c>
      <c r="B512" t="s">
        <v>34</v>
      </c>
      <c r="C512">
        <v>21</v>
      </c>
      <c r="D512">
        <v>2019</v>
      </c>
      <c r="E512" t="s">
        <v>35</v>
      </c>
      <c r="F512">
        <v>2</v>
      </c>
      <c r="G512" t="s">
        <v>36</v>
      </c>
      <c r="H512" t="s">
        <v>37</v>
      </c>
      <c r="I512">
        <v>3</v>
      </c>
      <c r="J512">
        <v>2</v>
      </c>
      <c r="K512" t="s">
        <v>44</v>
      </c>
      <c r="L512" t="s">
        <v>36</v>
      </c>
      <c r="M512" t="s">
        <v>36</v>
      </c>
      <c r="N512">
        <v>2</v>
      </c>
      <c r="O512" t="s">
        <v>45</v>
      </c>
      <c r="P512">
        <v>90</v>
      </c>
      <c r="Q512" t="s">
        <v>36</v>
      </c>
      <c r="R512" t="s">
        <v>37</v>
      </c>
      <c r="S512" t="s">
        <v>36</v>
      </c>
      <c r="T512" t="s">
        <v>40</v>
      </c>
      <c r="U512">
        <v>2</v>
      </c>
      <c r="V512" t="s">
        <v>40</v>
      </c>
      <c r="W512" t="s">
        <v>42</v>
      </c>
      <c r="X512" t="s">
        <v>37</v>
      </c>
      <c r="Y512" t="s">
        <v>43</v>
      </c>
      <c r="Z512" t="s">
        <v>37</v>
      </c>
      <c r="AA512">
        <v>1.42</v>
      </c>
      <c r="AB512" t="s">
        <v>37</v>
      </c>
      <c r="AC512">
        <v>1.42</v>
      </c>
      <c r="AD512">
        <v>5</v>
      </c>
      <c r="AE512">
        <v>50000</v>
      </c>
      <c r="AF512" t="str">
        <f>IF(Table1[[#This Row],[What is your current CGPA?]]&gt;=3.5,"High",IF(Table1[[#This Row],[What is your current CGPA?]]&gt;=2.5,"Medium","Low"))</f>
        <v>Low</v>
      </c>
      <c r="AG512" t="str">
        <f>IF(AND(Table1[[#This Row],[Average attendance on class]]&lt;75,Table1[[#This Row],[How many hour do you study daily?]]&lt;1),"At Risk","Normal")</f>
        <v>Normal</v>
      </c>
      <c r="AH512">
        <f>(Table1[[#This Row],[Average attendance on class]]*0.4)+(Table1[[#This Row],[How many hour do you study daily?]]*10*0.3)+(Table1[[#This Row],[How many hour do you spent daily on your skill development?]]*10*0.3)</f>
        <v>51</v>
      </c>
    </row>
    <row r="513" spans="1:34" x14ac:dyDescent="0.25">
      <c r="A513">
        <v>2022</v>
      </c>
      <c r="B513" t="s">
        <v>34</v>
      </c>
      <c r="C513">
        <v>19</v>
      </c>
      <c r="D513">
        <v>2020</v>
      </c>
      <c r="E513" t="s">
        <v>35</v>
      </c>
      <c r="F513">
        <v>2</v>
      </c>
      <c r="G513" t="s">
        <v>36</v>
      </c>
      <c r="H513" t="s">
        <v>36</v>
      </c>
      <c r="I513">
        <v>2</v>
      </c>
      <c r="J513">
        <v>1</v>
      </c>
      <c r="K513" t="s">
        <v>38</v>
      </c>
      <c r="L513" t="s">
        <v>36</v>
      </c>
      <c r="M513" t="s">
        <v>36</v>
      </c>
      <c r="N513">
        <v>1</v>
      </c>
      <c r="O513" t="s">
        <v>39</v>
      </c>
      <c r="P513">
        <v>88</v>
      </c>
      <c r="Q513" t="s">
        <v>37</v>
      </c>
      <c r="R513" t="s">
        <v>37</v>
      </c>
      <c r="S513" t="s">
        <v>36</v>
      </c>
      <c r="T513" t="s">
        <v>40</v>
      </c>
      <c r="U513">
        <v>2</v>
      </c>
      <c r="V513" t="s">
        <v>40</v>
      </c>
      <c r="W513" t="s">
        <v>42</v>
      </c>
      <c r="X513" t="s">
        <v>37</v>
      </c>
      <c r="Y513" t="s">
        <v>47</v>
      </c>
      <c r="Z513" t="s">
        <v>37</v>
      </c>
      <c r="AA513">
        <v>3.13</v>
      </c>
      <c r="AB513" t="s">
        <v>37</v>
      </c>
      <c r="AC513">
        <v>3.13</v>
      </c>
      <c r="AD513">
        <v>11</v>
      </c>
      <c r="AE513">
        <v>40000</v>
      </c>
      <c r="AF513" t="str">
        <f>IF(Table1[[#This Row],[What is your current CGPA?]]&gt;=3.5,"High",IF(Table1[[#This Row],[What is your current CGPA?]]&gt;=2.5,"Medium","Low"))</f>
        <v>Medium</v>
      </c>
      <c r="AG513" t="str">
        <f>IF(AND(Table1[[#This Row],[Average attendance on class]]&lt;75,Table1[[#This Row],[How many hour do you study daily?]]&lt;1),"At Risk","Normal")</f>
        <v>Normal</v>
      </c>
      <c r="AH513">
        <f>(Table1[[#This Row],[Average attendance on class]]*0.4)+(Table1[[#This Row],[How many hour do you study daily?]]*10*0.3)+(Table1[[#This Row],[How many hour do you spent daily on your skill development?]]*10*0.3)</f>
        <v>47.2</v>
      </c>
    </row>
    <row r="514" spans="1:34" x14ac:dyDescent="0.25">
      <c r="A514">
        <v>2022</v>
      </c>
      <c r="B514" t="s">
        <v>34</v>
      </c>
      <c r="C514">
        <v>20</v>
      </c>
      <c r="D514">
        <v>2020</v>
      </c>
      <c r="E514" t="s">
        <v>35</v>
      </c>
      <c r="F514">
        <v>2</v>
      </c>
      <c r="G514" t="s">
        <v>36</v>
      </c>
      <c r="H514" t="s">
        <v>37</v>
      </c>
      <c r="I514">
        <v>3</v>
      </c>
      <c r="J514">
        <v>2</v>
      </c>
      <c r="K514" t="s">
        <v>44</v>
      </c>
      <c r="L514" t="s">
        <v>36</v>
      </c>
      <c r="M514" t="s">
        <v>36</v>
      </c>
      <c r="N514">
        <v>2</v>
      </c>
      <c r="O514" t="s">
        <v>39</v>
      </c>
      <c r="P514">
        <v>100</v>
      </c>
      <c r="Q514" t="s">
        <v>37</v>
      </c>
      <c r="R514" t="s">
        <v>37</v>
      </c>
      <c r="S514" t="s">
        <v>36</v>
      </c>
      <c r="T514" t="s">
        <v>40</v>
      </c>
      <c r="U514">
        <v>1</v>
      </c>
      <c r="V514" t="s">
        <v>40</v>
      </c>
      <c r="W514" t="s">
        <v>42</v>
      </c>
      <c r="X514" t="s">
        <v>37</v>
      </c>
      <c r="Y514" t="s">
        <v>43</v>
      </c>
      <c r="Z514" t="s">
        <v>37</v>
      </c>
      <c r="AA514">
        <v>3.85</v>
      </c>
      <c r="AB514" t="s">
        <v>37</v>
      </c>
      <c r="AC514">
        <v>3.85</v>
      </c>
      <c r="AD514">
        <v>12</v>
      </c>
      <c r="AE514">
        <v>30000</v>
      </c>
      <c r="AF514" t="str">
        <f>IF(Table1[[#This Row],[What is your current CGPA?]]&gt;=3.5,"High",IF(Table1[[#This Row],[What is your current CGPA?]]&gt;=2.5,"Medium","Low"))</f>
        <v>High</v>
      </c>
      <c r="AG514" t="str">
        <f>IF(AND(Table1[[#This Row],[Average attendance on class]]&lt;75,Table1[[#This Row],[How many hour do you study daily?]]&lt;1),"At Risk","Normal")</f>
        <v>Normal</v>
      </c>
      <c r="AH514">
        <f>(Table1[[#This Row],[Average attendance on class]]*0.4)+(Table1[[#This Row],[How many hour do you study daily?]]*10*0.3)+(Table1[[#This Row],[How many hour do you spent daily on your skill development?]]*10*0.3)</f>
        <v>52</v>
      </c>
    </row>
    <row r="515" spans="1:34" x14ac:dyDescent="0.25">
      <c r="A515">
        <v>2022</v>
      </c>
      <c r="B515" t="s">
        <v>34</v>
      </c>
      <c r="C515">
        <v>21</v>
      </c>
      <c r="D515">
        <v>2020</v>
      </c>
      <c r="E515" t="s">
        <v>35</v>
      </c>
      <c r="F515">
        <v>2</v>
      </c>
      <c r="G515" t="s">
        <v>36</v>
      </c>
      <c r="H515" t="s">
        <v>36</v>
      </c>
      <c r="I515">
        <v>4</v>
      </c>
      <c r="J515">
        <v>2</v>
      </c>
      <c r="K515" t="s">
        <v>44</v>
      </c>
      <c r="L515" t="s">
        <v>36</v>
      </c>
      <c r="M515" t="s">
        <v>36</v>
      </c>
      <c r="N515">
        <v>1</v>
      </c>
      <c r="O515" t="s">
        <v>39</v>
      </c>
      <c r="P515">
        <v>100</v>
      </c>
      <c r="Q515" t="s">
        <v>37</v>
      </c>
      <c r="R515" t="s">
        <v>37</v>
      </c>
      <c r="S515" t="s">
        <v>36</v>
      </c>
      <c r="T515" t="s">
        <v>40</v>
      </c>
      <c r="U515">
        <v>1</v>
      </c>
      <c r="V515" t="s">
        <v>40</v>
      </c>
      <c r="W515" t="s">
        <v>42</v>
      </c>
      <c r="X515" t="s">
        <v>36</v>
      </c>
      <c r="Y515" t="s">
        <v>47</v>
      </c>
      <c r="Z515" t="s">
        <v>36</v>
      </c>
      <c r="AA515">
        <v>3.6</v>
      </c>
      <c r="AB515" t="s">
        <v>37</v>
      </c>
      <c r="AC515">
        <v>3.6</v>
      </c>
      <c r="AD515">
        <v>11</v>
      </c>
      <c r="AE515">
        <v>35000</v>
      </c>
      <c r="AF515" t="str">
        <f>IF(Table1[[#This Row],[What is your current CGPA?]]&gt;=3.5,"High",IF(Table1[[#This Row],[What is your current CGPA?]]&gt;=2.5,"Medium","Low"))</f>
        <v>High</v>
      </c>
      <c r="AG515" t="str">
        <f>IF(AND(Table1[[#This Row],[Average attendance on class]]&lt;75,Table1[[#This Row],[How many hour do you study daily?]]&lt;1),"At Risk","Normal")</f>
        <v>Normal</v>
      </c>
      <c r="AH515">
        <f>(Table1[[#This Row],[Average attendance on class]]*0.4)+(Table1[[#This Row],[How many hour do you study daily?]]*10*0.3)+(Table1[[#This Row],[How many hour do you spent daily on your skill development?]]*10*0.3)</f>
        <v>55</v>
      </c>
    </row>
    <row r="516" spans="1:34" x14ac:dyDescent="0.25">
      <c r="A516">
        <v>2022</v>
      </c>
      <c r="B516" t="s">
        <v>48</v>
      </c>
      <c r="C516">
        <v>18</v>
      </c>
      <c r="D516">
        <v>2020</v>
      </c>
      <c r="E516" t="s">
        <v>35</v>
      </c>
      <c r="F516">
        <v>2</v>
      </c>
      <c r="G516" t="s">
        <v>36</v>
      </c>
      <c r="H516" t="s">
        <v>37</v>
      </c>
      <c r="I516">
        <v>2</v>
      </c>
      <c r="J516">
        <v>2</v>
      </c>
      <c r="K516" t="s">
        <v>44</v>
      </c>
      <c r="L516" t="s">
        <v>36</v>
      </c>
      <c r="M516" t="s">
        <v>36</v>
      </c>
      <c r="N516">
        <v>1</v>
      </c>
      <c r="O516" t="s">
        <v>39</v>
      </c>
      <c r="P516">
        <v>100</v>
      </c>
      <c r="Q516" t="s">
        <v>37</v>
      </c>
      <c r="R516" t="s">
        <v>37</v>
      </c>
      <c r="S516" t="s">
        <v>36</v>
      </c>
      <c r="T516" t="s">
        <v>40</v>
      </c>
      <c r="U516">
        <v>1</v>
      </c>
      <c r="V516" t="s">
        <v>40</v>
      </c>
      <c r="W516" t="s">
        <v>42</v>
      </c>
      <c r="X516" t="s">
        <v>36</v>
      </c>
      <c r="Y516" t="s">
        <v>47</v>
      </c>
      <c r="Z516" t="s">
        <v>37</v>
      </c>
      <c r="AA516">
        <v>3.54</v>
      </c>
      <c r="AB516" t="s">
        <v>37</v>
      </c>
      <c r="AC516">
        <v>3.54</v>
      </c>
      <c r="AD516">
        <v>11</v>
      </c>
      <c r="AE516">
        <v>14000</v>
      </c>
      <c r="AF516" t="str">
        <f>IF(Table1[[#This Row],[What is your current CGPA?]]&gt;=3.5,"High",IF(Table1[[#This Row],[What is your current CGPA?]]&gt;=2.5,"Medium","Low"))</f>
        <v>High</v>
      </c>
      <c r="AG516" t="str">
        <f>IF(AND(Table1[[#This Row],[Average attendance on class]]&lt;75,Table1[[#This Row],[How many hour do you study daily?]]&lt;1),"At Risk","Normal")</f>
        <v>Normal</v>
      </c>
      <c r="AH516">
        <f>(Table1[[#This Row],[Average attendance on class]]*0.4)+(Table1[[#This Row],[How many hour do you study daily?]]*10*0.3)+(Table1[[#This Row],[How many hour do you spent daily on your skill development?]]*10*0.3)</f>
        <v>49</v>
      </c>
    </row>
    <row r="517" spans="1:34" x14ac:dyDescent="0.25">
      <c r="A517">
        <v>2022</v>
      </c>
      <c r="B517" t="s">
        <v>34</v>
      </c>
      <c r="C517">
        <v>20</v>
      </c>
      <c r="D517">
        <v>2020</v>
      </c>
      <c r="E517" t="s">
        <v>35</v>
      </c>
      <c r="F517">
        <v>2</v>
      </c>
      <c r="G517" t="s">
        <v>36</v>
      </c>
      <c r="H517" t="s">
        <v>37</v>
      </c>
      <c r="I517">
        <v>1</v>
      </c>
      <c r="J517">
        <v>1</v>
      </c>
      <c r="K517" t="s">
        <v>38</v>
      </c>
      <c r="L517" t="s">
        <v>36</v>
      </c>
      <c r="M517" t="s">
        <v>36</v>
      </c>
      <c r="N517">
        <v>4</v>
      </c>
      <c r="O517" t="s">
        <v>45</v>
      </c>
      <c r="P517">
        <v>88</v>
      </c>
      <c r="Q517" t="s">
        <v>37</v>
      </c>
      <c r="R517" t="s">
        <v>37</v>
      </c>
      <c r="S517" t="s">
        <v>37</v>
      </c>
      <c r="T517" t="s">
        <v>40</v>
      </c>
      <c r="U517">
        <v>3</v>
      </c>
      <c r="V517" t="s">
        <v>40</v>
      </c>
      <c r="W517" t="s">
        <v>42</v>
      </c>
      <c r="X517" t="s">
        <v>37</v>
      </c>
      <c r="Y517" t="s">
        <v>43</v>
      </c>
      <c r="Z517" t="s">
        <v>37</v>
      </c>
      <c r="AA517">
        <v>3.54</v>
      </c>
      <c r="AB517" t="s">
        <v>37</v>
      </c>
      <c r="AC517">
        <v>3.55</v>
      </c>
      <c r="AD517">
        <v>11</v>
      </c>
      <c r="AE517">
        <v>62488</v>
      </c>
      <c r="AF517" t="str">
        <f>IF(Table1[[#This Row],[What is your current CGPA?]]&gt;=3.5,"High",IF(Table1[[#This Row],[What is your current CGPA?]]&gt;=2.5,"Medium","Low"))</f>
        <v>High</v>
      </c>
      <c r="AG517" t="str">
        <f>IF(AND(Table1[[#This Row],[Average attendance on class]]&lt;75,Table1[[#This Row],[How many hour do you study daily?]]&lt;1),"At Risk","Normal")</f>
        <v>Normal</v>
      </c>
      <c r="AH517">
        <f>(Table1[[#This Row],[Average attendance on class]]*0.4)+(Table1[[#This Row],[How many hour do you study daily?]]*10*0.3)+(Table1[[#This Row],[How many hour do you spent daily on your skill development?]]*10*0.3)</f>
        <v>47.2</v>
      </c>
    </row>
    <row r="518" spans="1:34" x14ac:dyDescent="0.25">
      <c r="A518">
        <v>2022</v>
      </c>
      <c r="B518" t="s">
        <v>34</v>
      </c>
      <c r="C518">
        <v>19</v>
      </c>
      <c r="D518">
        <v>2020</v>
      </c>
      <c r="E518" t="s">
        <v>35</v>
      </c>
      <c r="F518">
        <v>2</v>
      </c>
      <c r="G518" t="s">
        <v>37</v>
      </c>
      <c r="H518" t="s">
        <v>37</v>
      </c>
      <c r="I518">
        <v>3</v>
      </c>
      <c r="J518">
        <v>2</v>
      </c>
      <c r="K518" t="s">
        <v>44</v>
      </c>
      <c r="L518" t="s">
        <v>36</v>
      </c>
      <c r="M518" t="s">
        <v>36</v>
      </c>
      <c r="N518">
        <v>4</v>
      </c>
      <c r="O518" t="s">
        <v>39</v>
      </c>
      <c r="P518">
        <v>95</v>
      </c>
      <c r="Q518" t="s">
        <v>36</v>
      </c>
      <c r="R518" t="s">
        <v>37</v>
      </c>
      <c r="S518" t="s">
        <v>37</v>
      </c>
      <c r="T518" t="s">
        <v>40</v>
      </c>
      <c r="U518">
        <v>6</v>
      </c>
      <c r="V518" t="s">
        <v>40</v>
      </c>
      <c r="W518" t="s">
        <v>42</v>
      </c>
      <c r="X518" t="s">
        <v>37</v>
      </c>
      <c r="Y518" t="s">
        <v>43</v>
      </c>
      <c r="Z518" t="s">
        <v>37</v>
      </c>
      <c r="AA518">
        <v>2.1</v>
      </c>
      <c r="AB518" t="s">
        <v>37</v>
      </c>
      <c r="AC518">
        <v>2.1</v>
      </c>
      <c r="AD518">
        <v>12</v>
      </c>
      <c r="AE518">
        <v>10000</v>
      </c>
      <c r="AF518" t="str">
        <f>IF(Table1[[#This Row],[What is your current CGPA?]]&gt;=3.5,"High",IF(Table1[[#This Row],[What is your current CGPA?]]&gt;=2.5,"Medium","Low"))</f>
        <v>Low</v>
      </c>
      <c r="AG518" t="str">
        <f>IF(AND(Table1[[#This Row],[Average attendance on class]]&lt;75,Table1[[#This Row],[How many hour do you study daily?]]&lt;1),"At Risk","Normal")</f>
        <v>Normal</v>
      </c>
      <c r="AH518">
        <f>(Table1[[#This Row],[Average attendance on class]]*0.4)+(Table1[[#This Row],[How many hour do you study daily?]]*10*0.3)+(Table1[[#This Row],[How many hour do you spent daily on your skill development?]]*10*0.3)</f>
        <v>65</v>
      </c>
    </row>
    <row r="519" spans="1:34" x14ac:dyDescent="0.25">
      <c r="A519">
        <v>2022</v>
      </c>
      <c r="B519" t="s">
        <v>34</v>
      </c>
      <c r="C519">
        <v>20</v>
      </c>
      <c r="D519">
        <v>2020</v>
      </c>
      <c r="E519" t="s">
        <v>35</v>
      </c>
      <c r="F519">
        <v>2</v>
      </c>
      <c r="G519" t="s">
        <v>36</v>
      </c>
      <c r="H519" t="s">
        <v>37</v>
      </c>
      <c r="I519">
        <v>3</v>
      </c>
      <c r="J519">
        <v>2</v>
      </c>
      <c r="K519" t="s">
        <v>38</v>
      </c>
      <c r="L519" t="s">
        <v>36</v>
      </c>
      <c r="M519" t="s">
        <v>36</v>
      </c>
      <c r="N519">
        <v>5</v>
      </c>
      <c r="O519" t="s">
        <v>45</v>
      </c>
      <c r="P519">
        <v>90</v>
      </c>
      <c r="Q519" t="s">
        <v>37</v>
      </c>
      <c r="R519" t="s">
        <v>37</v>
      </c>
      <c r="S519" t="s">
        <v>36</v>
      </c>
      <c r="T519" t="s">
        <v>40</v>
      </c>
      <c r="U519">
        <v>1</v>
      </c>
      <c r="V519" t="s">
        <v>40</v>
      </c>
      <c r="W519" t="s">
        <v>42</v>
      </c>
      <c r="X519" t="s">
        <v>36</v>
      </c>
      <c r="Y519" t="s">
        <v>43</v>
      </c>
      <c r="Z519" t="s">
        <v>37</v>
      </c>
      <c r="AA519">
        <v>2.5</v>
      </c>
      <c r="AB519" t="s">
        <v>37</v>
      </c>
      <c r="AC519">
        <v>2.5</v>
      </c>
      <c r="AD519">
        <v>12</v>
      </c>
      <c r="AE519">
        <v>25000</v>
      </c>
      <c r="AF519" t="str">
        <f>IF(Table1[[#This Row],[What is your current CGPA?]]&gt;=3.5,"High",IF(Table1[[#This Row],[What is your current CGPA?]]&gt;=2.5,"Medium","Low"))</f>
        <v>Medium</v>
      </c>
      <c r="AG519" t="str">
        <f>IF(AND(Table1[[#This Row],[Average attendance on class]]&lt;75,Table1[[#This Row],[How many hour do you study daily?]]&lt;1),"At Risk","Normal")</f>
        <v>Normal</v>
      </c>
      <c r="AH519">
        <f>(Table1[[#This Row],[Average attendance on class]]*0.4)+(Table1[[#This Row],[How many hour do you study daily?]]*10*0.3)+(Table1[[#This Row],[How many hour do you spent daily on your skill development?]]*10*0.3)</f>
        <v>48</v>
      </c>
    </row>
    <row r="520" spans="1:34" x14ac:dyDescent="0.25">
      <c r="A520">
        <v>2019</v>
      </c>
      <c r="B520" t="s">
        <v>34</v>
      </c>
      <c r="C520">
        <v>24</v>
      </c>
      <c r="D520">
        <v>2017</v>
      </c>
      <c r="E520" t="s">
        <v>35</v>
      </c>
      <c r="F520">
        <v>11</v>
      </c>
      <c r="G520" t="s">
        <v>36</v>
      </c>
      <c r="H520" t="s">
        <v>37</v>
      </c>
      <c r="I520">
        <v>7</v>
      </c>
      <c r="J520">
        <v>1</v>
      </c>
      <c r="K520" t="s">
        <v>38</v>
      </c>
      <c r="L520" t="s">
        <v>36</v>
      </c>
      <c r="M520" t="s">
        <v>36</v>
      </c>
      <c r="N520">
        <v>1</v>
      </c>
      <c r="O520" t="s">
        <v>39</v>
      </c>
      <c r="P520">
        <v>90</v>
      </c>
      <c r="Q520" t="s">
        <v>37</v>
      </c>
      <c r="R520" t="s">
        <v>37</v>
      </c>
      <c r="S520" t="s">
        <v>37</v>
      </c>
      <c r="T520" t="s">
        <v>40</v>
      </c>
      <c r="U520">
        <v>5</v>
      </c>
      <c r="V520" t="s">
        <v>40</v>
      </c>
      <c r="W520" t="s">
        <v>50</v>
      </c>
      <c r="X520" t="s">
        <v>36</v>
      </c>
      <c r="Y520" t="s">
        <v>43</v>
      </c>
      <c r="Z520" t="s">
        <v>37</v>
      </c>
      <c r="AA520">
        <v>3.31</v>
      </c>
      <c r="AB520" t="s">
        <v>37</v>
      </c>
      <c r="AC520">
        <v>3.76</v>
      </c>
      <c r="AD520">
        <v>139</v>
      </c>
      <c r="AE520">
        <v>30000</v>
      </c>
      <c r="AF520" t="str">
        <f>IF(Table1[[#This Row],[What is your current CGPA?]]&gt;=3.5,"High",IF(Table1[[#This Row],[What is your current CGPA?]]&gt;=2.5,"Medium","Low"))</f>
        <v>High</v>
      </c>
      <c r="AG520" t="str">
        <f>IF(AND(Table1[[#This Row],[Average attendance on class]]&lt;75,Table1[[#This Row],[How many hour do you study daily?]]&lt;1),"At Risk","Normal")</f>
        <v>Normal</v>
      </c>
      <c r="AH520">
        <f>(Table1[[#This Row],[Average attendance on class]]*0.4)+(Table1[[#This Row],[How many hour do you study daily?]]*10*0.3)+(Table1[[#This Row],[How many hour do you spent daily on your skill development?]]*10*0.3)</f>
        <v>72</v>
      </c>
    </row>
    <row r="521" spans="1:34" x14ac:dyDescent="0.25">
      <c r="A521">
        <v>2022</v>
      </c>
      <c r="B521" t="s">
        <v>34</v>
      </c>
      <c r="C521">
        <v>21</v>
      </c>
      <c r="D521">
        <v>2020</v>
      </c>
      <c r="E521" t="s">
        <v>35</v>
      </c>
      <c r="F521">
        <v>2</v>
      </c>
      <c r="G521" t="s">
        <v>37</v>
      </c>
      <c r="H521" t="s">
        <v>37</v>
      </c>
      <c r="I521">
        <v>1</v>
      </c>
      <c r="J521">
        <v>2</v>
      </c>
      <c r="K521" t="s">
        <v>44</v>
      </c>
      <c r="L521" t="s">
        <v>36</v>
      </c>
      <c r="M521" t="s">
        <v>36</v>
      </c>
      <c r="N521">
        <v>4</v>
      </c>
      <c r="O521" t="s">
        <v>53</v>
      </c>
      <c r="P521">
        <v>85</v>
      </c>
      <c r="Q521" t="s">
        <v>37</v>
      </c>
      <c r="R521" t="s">
        <v>37</v>
      </c>
      <c r="S521" t="s">
        <v>36</v>
      </c>
      <c r="T521" t="s">
        <v>61</v>
      </c>
      <c r="U521">
        <v>0</v>
      </c>
      <c r="V521" t="s">
        <v>40</v>
      </c>
      <c r="W521" t="s">
        <v>42</v>
      </c>
      <c r="X521" t="s">
        <v>37</v>
      </c>
      <c r="Y521" t="s">
        <v>43</v>
      </c>
      <c r="Z521" t="s">
        <v>37</v>
      </c>
      <c r="AA521">
        <v>3.75</v>
      </c>
      <c r="AB521" t="s">
        <v>37</v>
      </c>
      <c r="AC521">
        <v>3.75</v>
      </c>
      <c r="AD521">
        <v>12</v>
      </c>
      <c r="AE521">
        <v>50000</v>
      </c>
      <c r="AF521" t="str">
        <f>IF(Table1[[#This Row],[What is your current CGPA?]]&gt;=3.5,"High",IF(Table1[[#This Row],[What is your current CGPA?]]&gt;=2.5,"Medium","Low"))</f>
        <v>High</v>
      </c>
      <c r="AG521" t="str">
        <f>IF(AND(Table1[[#This Row],[Average attendance on class]]&lt;75,Table1[[#This Row],[How many hour do you study daily?]]&lt;1),"At Risk","Normal")</f>
        <v>Normal</v>
      </c>
      <c r="AH521">
        <f>(Table1[[#This Row],[Average attendance on class]]*0.4)+(Table1[[#This Row],[How many hour do you study daily?]]*10*0.3)+(Table1[[#This Row],[How many hour do you spent daily on your skill development?]]*10*0.3)</f>
        <v>37</v>
      </c>
    </row>
    <row r="522" spans="1:34" x14ac:dyDescent="0.25">
      <c r="A522">
        <v>2021</v>
      </c>
      <c r="B522" t="s">
        <v>34</v>
      </c>
      <c r="C522">
        <v>21</v>
      </c>
      <c r="D522">
        <v>2020</v>
      </c>
      <c r="E522" t="s">
        <v>35</v>
      </c>
      <c r="F522">
        <v>2</v>
      </c>
      <c r="G522" t="s">
        <v>36</v>
      </c>
      <c r="H522" t="s">
        <v>37</v>
      </c>
      <c r="I522">
        <v>6</v>
      </c>
      <c r="J522">
        <v>3</v>
      </c>
      <c r="K522" t="s">
        <v>44</v>
      </c>
      <c r="L522" t="s">
        <v>36</v>
      </c>
      <c r="M522" t="s">
        <v>36</v>
      </c>
      <c r="N522">
        <v>2</v>
      </c>
      <c r="O522" t="s">
        <v>39</v>
      </c>
      <c r="P522">
        <v>98</v>
      </c>
      <c r="Q522" t="s">
        <v>37</v>
      </c>
      <c r="R522" t="s">
        <v>37</v>
      </c>
      <c r="S522" t="s">
        <v>36</v>
      </c>
      <c r="T522" t="s">
        <v>40</v>
      </c>
      <c r="U522">
        <v>3</v>
      </c>
      <c r="V522" t="s">
        <v>40</v>
      </c>
      <c r="W522" t="s">
        <v>42</v>
      </c>
      <c r="X522" t="s">
        <v>37</v>
      </c>
      <c r="Y522" t="s">
        <v>43</v>
      </c>
      <c r="Z522" t="s">
        <v>36</v>
      </c>
      <c r="AA522">
        <v>3.7</v>
      </c>
      <c r="AB522" t="s">
        <v>37</v>
      </c>
      <c r="AC522">
        <v>3.7</v>
      </c>
      <c r="AD522">
        <v>13</v>
      </c>
      <c r="AE522">
        <v>25000</v>
      </c>
      <c r="AF522" t="str">
        <f>IF(Table1[[#This Row],[What is your current CGPA?]]&gt;=3.5,"High",IF(Table1[[#This Row],[What is your current CGPA?]]&gt;=2.5,"Medium","Low"))</f>
        <v>High</v>
      </c>
      <c r="AG522" t="str">
        <f>IF(AND(Table1[[#This Row],[Average attendance on class]]&lt;75,Table1[[#This Row],[How many hour do you study daily?]]&lt;1),"At Risk","Normal")</f>
        <v>Normal</v>
      </c>
      <c r="AH522">
        <f>(Table1[[#This Row],[Average attendance on class]]*0.4)+(Table1[[#This Row],[How many hour do you study daily?]]*10*0.3)+(Table1[[#This Row],[How many hour do you spent daily on your skill development?]]*10*0.3)</f>
        <v>66.2</v>
      </c>
    </row>
    <row r="523" spans="1:34" x14ac:dyDescent="0.25">
      <c r="A523">
        <v>2021</v>
      </c>
      <c r="B523" t="s">
        <v>34</v>
      </c>
      <c r="C523">
        <v>21</v>
      </c>
      <c r="D523">
        <v>2020</v>
      </c>
      <c r="E523" t="s">
        <v>35</v>
      </c>
      <c r="F523">
        <v>2</v>
      </c>
      <c r="G523" t="s">
        <v>37</v>
      </c>
      <c r="H523" t="s">
        <v>37</v>
      </c>
      <c r="I523">
        <v>3</v>
      </c>
      <c r="J523">
        <v>3</v>
      </c>
      <c r="K523" t="s">
        <v>44</v>
      </c>
      <c r="L523" t="s">
        <v>36</v>
      </c>
      <c r="M523" t="s">
        <v>36</v>
      </c>
      <c r="N523">
        <v>1</v>
      </c>
      <c r="O523" t="s">
        <v>39</v>
      </c>
      <c r="P523">
        <v>97</v>
      </c>
      <c r="Q523" t="s">
        <v>37</v>
      </c>
      <c r="R523" t="s">
        <v>37</v>
      </c>
      <c r="S523" t="s">
        <v>36</v>
      </c>
      <c r="T523" t="s">
        <v>40</v>
      </c>
      <c r="U523">
        <v>3</v>
      </c>
      <c r="V523" t="s">
        <v>52</v>
      </c>
      <c r="W523" t="s">
        <v>42</v>
      </c>
      <c r="X523" t="s">
        <v>37</v>
      </c>
      <c r="Y523" t="s">
        <v>43</v>
      </c>
      <c r="Z523" t="s">
        <v>36</v>
      </c>
      <c r="AA523">
        <v>3.5</v>
      </c>
      <c r="AB523" t="s">
        <v>37</v>
      </c>
      <c r="AC523">
        <v>3.5</v>
      </c>
      <c r="AD523">
        <v>13</v>
      </c>
      <c r="AE523">
        <v>33000</v>
      </c>
      <c r="AF523" t="str">
        <f>IF(Table1[[#This Row],[What is your current CGPA?]]&gt;=3.5,"High",IF(Table1[[#This Row],[What is your current CGPA?]]&gt;=2.5,"Medium","Low"))</f>
        <v>High</v>
      </c>
      <c r="AG523" t="str">
        <f>IF(AND(Table1[[#This Row],[Average attendance on class]]&lt;75,Table1[[#This Row],[How many hour do you study daily?]]&lt;1),"At Risk","Normal")</f>
        <v>Normal</v>
      </c>
      <c r="AH523">
        <f>(Table1[[#This Row],[Average attendance on class]]*0.4)+(Table1[[#This Row],[How many hour do you study daily?]]*10*0.3)+(Table1[[#This Row],[How many hour do you spent daily on your skill development?]]*10*0.3)</f>
        <v>56.800000000000004</v>
      </c>
    </row>
    <row r="524" spans="1:34" x14ac:dyDescent="0.25">
      <c r="A524">
        <v>2020</v>
      </c>
      <c r="B524" t="s">
        <v>48</v>
      </c>
      <c r="C524">
        <v>20</v>
      </c>
      <c r="D524">
        <v>2019</v>
      </c>
      <c r="E524" t="s">
        <v>35</v>
      </c>
      <c r="F524">
        <v>2</v>
      </c>
      <c r="G524" t="s">
        <v>36</v>
      </c>
      <c r="H524" t="s">
        <v>36</v>
      </c>
      <c r="I524">
        <v>3</v>
      </c>
      <c r="J524">
        <v>2</v>
      </c>
      <c r="K524" t="s">
        <v>38</v>
      </c>
      <c r="L524" t="s">
        <v>36</v>
      </c>
      <c r="M524" t="s">
        <v>36</v>
      </c>
      <c r="N524">
        <v>4</v>
      </c>
      <c r="O524" t="s">
        <v>45</v>
      </c>
      <c r="P524">
        <v>90</v>
      </c>
      <c r="Q524" t="s">
        <v>36</v>
      </c>
      <c r="R524" t="s">
        <v>37</v>
      </c>
      <c r="S524" t="s">
        <v>37</v>
      </c>
      <c r="T524" t="s">
        <v>40</v>
      </c>
      <c r="U524">
        <v>2</v>
      </c>
      <c r="V524" t="s">
        <v>59</v>
      </c>
      <c r="W524" t="s">
        <v>42</v>
      </c>
      <c r="X524" t="s">
        <v>37</v>
      </c>
      <c r="Y524" t="s">
        <v>47</v>
      </c>
      <c r="Z524" t="s">
        <v>37</v>
      </c>
      <c r="AA524">
        <v>3.7</v>
      </c>
      <c r="AB524" t="s">
        <v>37</v>
      </c>
      <c r="AC524">
        <v>3.7</v>
      </c>
      <c r="AD524">
        <v>11</v>
      </c>
      <c r="AE524">
        <v>60000</v>
      </c>
      <c r="AF524" t="str">
        <f>IF(Table1[[#This Row],[What is your current CGPA?]]&gt;=3.5,"High",IF(Table1[[#This Row],[What is your current CGPA?]]&gt;=2.5,"Medium","Low"))</f>
        <v>High</v>
      </c>
      <c r="AG524" t="str">
        <f>IF(AND(Table1[[#This Row],[Average attendance on class]]&lt;75,Table1[[#This Row],[How many hour do you study daily?]]&lt;1),"At Risk","Normal")</f>
        <v>Normal</v>
      </c>
      <c r="AH524">
        <f>(Table1[[#This Row],[Average attendance on class]]*0.4)+(Table1[[#This Row],[How many hour do you study daily?]]*10*0.3)+(Table1[[#This Row],[How many hour do you spent daily on your skill development?]]*10*0.3)</f>
        <v>51</v>
      </c>
    </row>
    <row r="525" spans="1:34" x14ac:dyDescent="0.25">
      <c r="A525">
        <v>2022</v>
      </c>
      <c r="B525" t="s">
        <v>34</v>
      </c>
      <c r="C525">
        <v>20</v>
      </c>
      <c r="D525">
        <v>2020</v>
      </c>
      <c r="E525" t="s">
        <v>35</v>
      </c>
      <c r="F525">
        <v>2</v>
      </c>
      <c r="G525" t="s">
        <v>36</v>
      </c>
      <c r="H525" t="s">
        <v>37</v>
      </c>
      <c r="I525">
        <v>3</v>
      </c>
      <c r="J525">
        <v>1</v>
      </c>
      <c r="K525" t="s">
        <v>38</v>
      </c>
      <c r="L525" t="s">
        <v>36</v>
      </c>
      <c r="M525" t="s">
        <v>36</v>
      </c>
      <c r="N525">
        <v>3</v>
      </c>
      <c r="O525" t="s">
        <v>45</v>
      </c>
      <c r="P525">
        <v>70</v>
      </c>
      <c r="Q525" t="s">
        <v>36</v>
      </c>
      <c r="R525" t="s">
        <v>36</v>
      </c>
      <c r="S525" t="s">
        <v>36</v>
      </c>
      <c r="T525" t="s">
        <v>40</v>
      </c>
      <c r="U525">
        <v>2</v>
      </c>
      <c r="V525" t="s">
        <v>40</v>
      </c>
      <c r="W525" t="s">
        <v>42</v>
      </c>
      <c r="X525" t="s">
        <v>37</v>
      </c>
      <c r="Y525" t="s">
        <v>43</v>
      </c>
      <c r="Z525" t="s">
        <v>37</v>
      </c>
      <c r="AA525">
        <v>3.24</v>
      </c>
      <c r="AB525" t="s">
        <v>37</v>
      </c>
      <c r="AC525">
        <v>3.24</v>
      </c>
      <c r="AD525">
        <v>11</v>
      </c>
      <c r="AE525">
        <v>40000</v>
      </c>
      <c r="AF525" t="str">
        <f>IF(Table1[[#This Row],[What is your current CGPA?]]&gt;=3.5,"High",IF(Table1[[#This Row],[What is your current CGPA?]]&gt;=2.5,"Medium","Low"))</f>
        <v>Medium</v>
      </c>
      <c r="AG525" t="str">
        <f>IF(AND(Table1[[#This Row],[Average attendance on class]]&lt;75,Table1[[#This Row],[How many hour do you study daily?]]&lt;1),"At Risk","Normal")</f>
        <v>Normal</v>
      </c>
      <c r="AH525">
        <f>(Table1[[#This Row],[Average attendance on class]]*0.4)+(Table1[[#This Row],[How many hour do you study daily?]]*10*0.3)+(Table1[[#This Row],[How many hour do you spent daily on your skill development?]]*10*0.3)</f>
        <v>43</v>
      </c>
    </row>
    <row r="526" spans="1:34" x14ac:dyDescent="0.25">
      <c r="A526">
        <v>2019</v>
      </c>
      <c r="B526" t="s">
        <v>48</v>
      </c>
      <c r="C526">
        <v>22</v>
      </c>
      <c r="D526">
        <v>2018</v>
      </c>
      <c r="E526" t="s">
        <v>35</v>
      </c>
      <c r="F526">
        <v>11</v>
      </c>
      <c r="G526" t="s">
        <v>37</v>
      </c>
      <c r="H526" t="s">
        <v>36</v>
      </c>
      <c r="I526">
        <v>2</v>
      </c>
      <c r="J526">
        <v>1</v>
      </c>
      <c r="K526" t="s">
        <v>38</v>
      </c>
      <c r="L526" t="s">
        <v>36</v>
      </c>
      <c r="M526" t="s">
        <v>36</v>
      </c>
      <c r="N526">
        <v>2</v>
      </c>
      <c r="O526" t="s">
        <v>39</v>
      </c>
      <c r="P526">
        <v>99</v>
      </c>
      <c r="Q526" t="s">
        <v>36</v>
      </c>
      <c r="R526" t="s">
        <v>37</v>
      </c>
      <c r="S526" t="s">
        <v>37</v>
      </c>
      <c r="T526" t="s">
        <v>40</v>
      </c>
      <c r="U526">
        <v>1</v>
      </c>
      <c r="V526" t="s">
        <v>40</v>
      </c>
      <c r="W526" t="s">
        <v>42</v>
      </c>
      <c r="X526" t="s">
        <v>37</v>
      </c>
      <c r="Y526" t="s">
        <v>47</v>
      </c>
      <c r="Z526" t="s">
        <v>37</v>
      </c>
      <c r="AA526">
        <v>2.2999999999999998</v>
      </c>
      <c r="AB526" t="s">
        <v>37</v>
      </c>
      <c r="AC526">
        <v>2.8</v>
      </c>
      <c r="AD526">
        <v>113</v>
      </c>
      <c r="AE526">
        <v>60000</v>
      </c>
      <c r="AF526" t="str">
        <f>IF(Table1[[#This Row],[What is your current CGPA?]]&gt;=3.5,"High",IF(Table1[[#This Row],[What is your current CGPA?]]&gt;=2.5,"Medium","Low"))</f>
        <v>Medium</v>
      </c>
      <c r="AG526" t="str">
        <f>IF(AND(Table1[[#This Row],[Average attendance on class]]&lt;75,Table1[[#This Row],[How many hour do you study daily?]]&lt;1),"At Risk","Normal")</f>
        <v>Normal</v>
      </c>
      <c r="AH526">
        <f>(Table1[[#This Row],[Average attendance on class]]*0.4)+(Table1[[#This Row],[How many hour do you study daily?]]*10*0.3)+(Table1[[#This Row],[How many hour do you spent daily on your skill development?]]*10*0.3)</f>
        <v>48.6</v>
      </c>
    </row>
    <row r="527" spans="1:34" x14ac:dyDescent="0.25">
      <c r="A527">
        <v>2019</v>
      </c>
      <c r="B527" t="s">
        <v>48</v>
      </c>
      <c r="C527">
        <v>22</v>
      </c>
      <c r="D527">
        <v>2018</v>
      </c>
      <c r="E527" t="s">
        <v>35</v>
      </c>
      <c r="F527">
        <v>12</v>
      </c>
      <c r="G527" t="s">
        <v>37</v>
      </c>
      <c r="H527" t="s">
        <v>37</v>
      </c>
      <c r="I527">
        <v>2</v>
      </c>
      <c r="J527">
        <v>1</v>
      </c>
      <c r="K527" t="s">
        <v>38</v>
      </c>
      <c r="L527" t="s">
        <v>36</v>
      </c>
      <c r="M527" t="s">
        <v>37</v>
      </c>
      <c r="N527">
        <v>3</v>
      </c>
      <c r="O527" t="s">
        <v>39</v>
      </c>
      <c r="P527">
        <v>70</v>
      </c>
      <c r="Q527" t="s">
        <v>37</v>
      </c>
      <c r="R527" t="s">
        <v>37</v>
      </c>
      <c r="S527" t="s">
        <v>37</v>
      </c>
      <c r="T527" t="s">
        <v>40</v>
      </c>
      <c r="U527">
        <v>2</v>
      </c>
      <c r="V527" t="s">
        <v>52</v>
      </c>
      <c r="W527" t="s">
        <v>57</v>
      </c>
      <c r="X527" t="s">
        <v>37</v>
      </c>
      <c r="Y527" t="s">
        <v>47</v>
      </c>
      <c r="Z527" t="s">
        <v>37</v>
      </c>
      <c r="AA527">
        <v>3.87</v>
      </c>
      <c r="AB527" t="s">
        <v>37</v>
      </c>
      <c r="AC527">
        <v>3.6</v>
      </c>
      <c r="AD527">
        <v>141</v>
      </c>
      <c r="AE527">
        <v>70000</v>
      </c>
      <c r="AF527" t="str">
        <f>IF(Table1[[#This Row],[What is your current CGPA?]]&gt;=3.5,"High",IF(Table1[[#This Row],[What is your current CGPA?]]&gt;=2.5,"Medium","Low"))</f>
        <v>High</v>
      </c>
      <c r="AG527" t="str">
        <f>IF(AND(Table1[[#This Row],[Average attendance on class]]&lt;75,Table1[[#This Row],[How many hour do you study daily?]]&lt;1),"At Risk","Normal")</f>
        <v>Normal</v>
      </c>
      <c r="AH527">
        <f>(Table1[[#This Row],[Average attendance on class]]*0.4)+(Table1[[#This Row],[How many hour do you study daily?]]*10*0.3)+(Table1[[#This Row],[How many hour do you spent daily on your skill development?]]*10*0.3)</f>
        <v>40</v>
      </c>
    </row>
    <row r="528" spans="1:34" x14ac:dyDescent="0.25">
      <c r="A528">
        <v>2020</v>
      </c>
      <c r="B528" t="s">
        <v>34</v>
      </c>
      <c r="C528">
        <v>22</v>
      </c>
      <c r="D528">
        <v>2020</v>
      </c>
      <c r="E528" t="s">
        <v>35</v>
      </c>
      <c r="F528">
        <v>3</v>
      </c>
      <c r="G528" t="s">
        <v>36</v>
      </c>
      <c r="H528" t="s">
        <v>36</v>
      </c>
      <c r="I528">
        <v>3</v>
      </c>
      <c r="J528">
        <v>2</v>
      </c>
      <c r="K528" t="s">
        <v>38</v>
      </c>
      <c r="L528" t="s">
        <v>36</v>
      </c>
      <c r="M528" t="s">
        <v>36</v>
      </c>
      <c r="N528">
        <v>4</v>
      </c>
      <c r="O528" t="s">
        <v>39</v>
      </c>
      <c r="P528">
        <v>37</v>
      </c>
      <c r="Q528" t="s">
        <v>37</v>
      </c>
      <c r="R528" t="s">
        <v>37</v>
      </c>
      <c r="S528" t="s">
        <v>36</v>
      </c>
      <c r="T528" t="s">
        <v>40</v>
      </c>
      <c r="U528">
        <v>1</v>
      </c>
      <c r="V528" t="s">
        <v>49</v>
      </c>
      <c r="W528" t="s">
        <v>42</v>
      </c>
      <c r="X528" t="s">
        <v>36</v>
      </c>
      <c r="Y528" t="s">
        <v>47</v>
      </c>
      <c r="Z528" t="s">
        <v>37</v>
      </c>
      <c r="AA528">
        <v>3.24</v>
      </c>
      <c r="AB528" t="s">
        <v>36</v>
      </c>
      <c r="AC528">
        <v>3.5</v>
      </c>
      <c r="AD528">
        <v>27</v>
      </c>
      <c r="AE528">
        <v>25000</v>
      </c>
      <c r="AF528" t="str">
        <f>IF(Table1[[#This Row],[What is your current CGPA?]]&gt;=3.5,"High",IF(Table1[[#This Row],[What is your current CGPA?]]&gt;=2.5,"Medium","Low"))</f>
        <v>High</v>
      </c>
      <c r="AG528" t="str">
        <f>IF(AND(Table1[[#This Row],[Average attendance on class]]&lt;75,Table1[[#This Row],[How many hour do you study daily?]]&lt;1),"At Risk","Normal")</f>
        <v>Normal</v>
      </c>
      <c r="AH528">
        <f>(Table1[[#This Row],[Average attendance on class]]*0.4)+(Table1[[#This Row],[How many hour do you study daily?]]*10*0.3)+(Table1[[#This Row],[How many hour do you spent daily on your skill development?]]*10*0.3)</f>
        <v>26.8</v>
      </c>
    </row>
    <row r="529" spans="1:34" x14ac:dyDescent="0.25">
      <c r="A529">
        <v>2021</v>
      </c>
      <c r="B529" t="s">
        <v>34</v>
      </c>
      <c r="C529">
        <v>19</v>
      </c>
      <c r="D529">
        <v>2020</v>
      </c>
      <c r="E529" t="s">
        <v>35</v>
      </c>
      <c r="F529">
        <v>2</v>
      </c>
      <c r="G529" t="s">
        <v>37</v>
      </c>
      <c r="H529" t="s">
        <v>37</v>
      </c>
      <c r="I529">
        <v>3</v>
      </c>
      <c r="J529">
        <v>2</v>
      </c>
      <c r="K529" t="s">
        <v>38</v>
      </c>
      <c r="L529" t="s">
        <v>36</v>
      </c>
      <c r="M529" t="s">
        <v>37</v>
      </c>
      <c r="N529">
        <v>3</v>
      </c>
      <c r="O529" t="s">
        <v>45</v>
      </c>
      <c r="P529">
        <v>85</v>
      </c>
      <c r="Q529" t="s">
        <v>37</v>
      </c>
      <c r="R529" t="s">
        <v>37</v>
      </c>
      <c r="S529" t="s">
        <v>37</v>
      </c>
      <c r="T529" t="s">
        <v>40</v>
      </c>
      <c r="U529">
        <v>2</v>
      </c>
      <c r="V529" t="s">
        <v>40</v>
      </c>
      <c r="W529" t="s">
        <v>42</v>
      </c>
      <c r="X529" t="s">
        <v>37</v>
      </c>
      <c r="Y529" t="s">
        <v>47</v>
      </c>
      <c r="Z529" t="s">
        <v>37</v>
      </c>
      <c r="AA529">
        <v>3.65</v>
      </c>
      <c r="AB529" t="s">
        <v>37</v>
      </c>
      <c r="AC529">
        <v>3.65</v>
      </c>
      <c r="AD529">
        <v>11</v>
      </c>
      <c r="AE529">
        <v>62488</v>
      </c>
      <c r="AF529" t="str">
        <f>IF(Table1[[#This Row],[What is your current CGPA?]]&gt;=3.5,"High",IF(Table1[[#This Row],[What is your current CGPA?]]&gt;=2.5,"Medium","Low"))</f>
        <v>High</v>
      </c>
      <c r="AG529" t="str">
        <f>IF(AND(Table1[[#This Row],[Average attendance on class]]&lt;75,Table1[[#This Row],[How many hour do you study daily?]]&lt;1),"At Risk","Normal")</f>
        <v>Normal</v>
      </c>
      <c r="AH529">
        <f>(Table1[[#This Row],[Average attendance on class]]*0.4)+(Table1[[#This Row],[How many hour do you study daily?]]*10*0.3)+(Table1[[#This Row],[How many hour do you spent daily on your skill development?]]*10*0.3)</f>
        <v>49</v>
      </c>
    </row>
    <row r="530" spans="1:34" x14ac:dyDescent="0.25">
      <c r="A530">
        <v>2021</v>
      </c>
      <c r="B530" t="s">
        <v>34</v>
      </c>
      <c r="C530">
        <v>21</v>
      </c>
      <c r="D530">
        <v>2019</v>
      </c>
      <c r="E530" t="s">
        <v>35</v>
      </c>
      <c r="F530">
        <v>3</v>
      </c>
      <c r="G530" t="s">
        <v>36</v>
      </c>
      <c r="H530" t="s">
        <v>37</v>
      </c>
      <c r="I530">
        <v>4</v>
      </c>
      <c r="J530">
        <v>2</v>
      </c>
      <c r="K530" t="s">
        <v>38</v>
      </c>
      <c r="L530" t="s">
        <v>36</v>
      </c>
      <c r="M530" t="s">
        <v>36</v>
      </c>
      <c r="N530">
        <v>3</v>
      </c>
      <c r="O530" t="s">
        <v>39</v>
      </c>
      <c r="P530">
        <v>80</v>
      </c>
      <c r="Q530" t="s">
        <v>37</v>
      </c>
      <c r="R530" t="s">
        <v>37</v>
      </c>
      <c r="S530" t="s">
        <v>36</v>
      </c>
      <c r="T530" t="s">
        <v>40</v>
      </c>
      <c r="U530">
        <v>2</v>
      </c>
      <c r="V530" t="s">
        <v>40</v>
      </c>
      <c r="W530" t="s">
        <v>42</v>
      </c>
      <c r="X530" t="s">
        <v>36</v>
      </c>
      <c r="Y530" t="s">
        <v>43</v>
      </c>
      <c r="Z530" t="s">
        <v>37</v>
      </c>
      <c r="AA530">
        <v>3.52</v>
      </c>
      <c r="AB530" t="s">
        <v>37</v>
      </c>
      <c r="AC530">
        <v>3.5</v>
      </c>
      <c r="AD530">
        <v>21</v>
      </c>
      <c r="AE530">
        <v>25000</v>
      </c>
      <c r="AF530" t="str">
        <f>IF(Table1[[#This Row],[What is your current CGPA?]]&gt;=3.5,"High",IF(Table1[[#This Row],[What is your current CGPA?]]&gt;=2.5,"Medium","Low"))</f>
        <v>High</v>
      </c>
      <c r="AG530" t="str">
        <f>IF(AND(Table1[[#This Row],[Average attendance on class]]&lt;75,Table1[[#This Row],[How many hour do you study daily?]]&lt;1),"At Risk","Normal")</f>
        <v>Normal</v>
      </c>
      <c r="AH530">
        <f>(Table1[[#This Row],[Average attendance on class]]*0.4)+(Table1[[#This Row],[How many hour do you study daily?]]*10*0.3)+(Table1[[#This Row],[How many hour do you spent daily on your skill development?]]*10*0.3)</f>
        <v>50</v>
      </c>
    </row>
    <row r="531" spans="1:34" x14ac:dyDescent="0.25">
      <c r="A531">
        <v>2022</v>
      </c>
      <c r="B531" t="s">
        <v>34</v>
      </c>
      <c r="C531">
        <v>20</v>
      </c>
      <c r="D531">
        <v>2020</v>
      </c>
      <c r="E531" t="s">
        <v>35</v>
      </c>
      <c r="F531">
        <v>2</v>
      </c>
      <c r="G531" t="s">
        <v>36</v>
      </c>
      <c r="H531" t="s">
        <v>37</v>
      </c>
      <c r="I531">
        <v>3</v>
      </c>
      <c r="J531">
        <v>1</v>
      </c>
      <c r="K531" t="s">
        <v>38</v>
      </c>
      <c r="L531" t="s">
        <v>36</v>
      </c>
      <c r="M531" t="s">
        <v>36</v>
      </c>
      <c r="N531">
        <v>2</v>
      </c>
      <c r="O531" t="s">
        <v>45</v>
      </c>
      <c r="P531">
        <v>95</v>
      </c>
      <c r="Q531" t="s">
        <v>37</v>
      </c>
      <c r="R531" t="s">
        <v>37</v>
      </c>
      <c r="S531" t="s">
        <v>37</v>
      </c>
      <c r="T531" t="s">
        <v>40</v>
      </c>
      <c r="U531">
        <v>4</v>
      </c>
      <c r="V531" t="s">
        <v>40</v>
      </c>
      <c r="W531" t="s">
        <v>42</v>
      </c>
      <c r="X531" t="s">
        <v>37</v>
      </c>
      <c r="Y531" t="s">
        <v>43</v>
      </c>
      <c r="Z531" t="s">
        <v>37</v>
      </c>
      <c r="AA531">
        <v>2.73</v>
      </c>
      <c r="AB531" t="s">
        <v>37</v>
      </c>
      <c r="AC531">
        <v>2.73</v>
      </c>
      <c r="AD531">
        <v>11</v>
      </c>
      <c r="AE531">
        <v>21000</v>
      </c>
      <c r="AF531" t="str">
        <f>IF(Table1[[#This Row],[What is your current CGPA?]]&gt;=3.5,"High",IF(Table1[[#This Row],[What is your current CGPA?]]&gt;=2.5,"Medium","Low"))</f>
        <v>Medium</v>
      </c>
      <c r="AG531" t="str">
        <f>IF(AND(Table1[[#This Row],[Average attendance on class]]&lt;75,Table1[[#This Row],[How many hour do you study daily?]]&lt;1),"At Risk","Normal")</f>
        <v>Normal</v>
      </c>
      <c r="AH531">
        <f>(Table1[[#This Row],[Average attendance on class]]*0.4)+(Table1[[#This Row],[How many hour do you study daily?]]*10*0.3)+(Table1[[#This Row],[How many hour do you spent daily on your skill development?]]*10*0.3)</f>
        <v>59</v>
      </c>
    </row>
    <row r="532" spans="1:34" x14ac:dyDescent="0.25">
      <c r="A532">
        <v>2021</v>
      </c>
      <c r="B532" t="s">
        <v>34</v>
      </c>
      <c r="C532">
        <v>24</v>
      </c>
      <c r="D532">
        <v>2020</v>
      </c>
      <c r="E532" t="s">
        <v>35</v>
      </c>
      <c r="F532">
        <v>3</v>
      </c>
      <c r="G532" t="s">
        <v>36</v>
      </c>
      <c r="H532" t="s">
        <v>37</v>
      </c>
      <c r="I532">
        <v>3</v>
      </c>
      <c r="J532">
        <v>2</v>
      </c>
      <c r="K532" t="s">
        <v>38</v>
      </c>
      <c r="L532" t="s">
        <v>36</v>
      </c>
      <c r="M532" t="s">
        <v>36</v>
      </c>
      <c r="N532">
        <v>1</v>
      </c>
      <c r="O532" t="s">
        <v>45</v>
      </c>
      <c r="P532">
        <v>90</v>
      </c>
      <c r="Q532" t="s">
        <v>37</v>
      </c>
      <c r="R532" t="s">
        <v>37</v>
      </c>
      <c r="S532" t="s">
        <v>36</v>
      </c>
      <c r="T532" t="s">
        <v>40</v>
      </c>
      <c r="U532">
        <v>2</v>
      </c>
      <c r="V532" t="s">
        <v>40</v>
      </c>
      <c r="W532" t="s">
        <v>42</v>
      </c>
      <c r="X532" t="s">
        <v>37</v>
      </c>
      <c r="Y532" t="s">
        <v>47</v>
      </c>
      <c r="Z532" t="s">
        <v>37</v>
      </c>
      <c r="AA532">
        <v>3.79</v>
      </c>
      <c r="AB532" t="s">
        <v>37</v>
      </c>
      <c r="AC532">
        <v>3.88</v>
      </c>
      <c r="AD532">
        <v>23</v>
      </c>
      <c r="AE532">
        <v>13000</v>
      </c>
      <c r="AF532" t="str">
        <f>IF(Table1[[#This Row],[What is your current CGPA?]]&gt;=3.5,"High",IF(Table1[[#This Row],[What is your current CGPA?]]&gt;=2.5,"Medium","Low"))</f>
        <v>High</v>
      </c>
      <c r="AG532" t="str">
        <f>IF(AND(Table1[[#This Row],[Average attendance on class]]&lt;75,Table1[[#This Row],[How many hour do you study daily?]]&lt;1),"At Risk","Normal")</f>
        <v>Normal</v>
      </c>
      <c r="AH532">
        <f>(Table1[[#This Row],[Average attendance on class]]*0.4)+(Table1[[#This Row],[How many hour do you study daily?]]*10*0.3)+(Table1[[#This Row],[How many hour do you spent daily on your skill development?]]*10*0.3)</f>
        <v>51</v>
      </c>
    </row>
    <row r="533" spans="1:34" x14ac:dyDescent="0.25">
      <c r="A533">
        <v>2019</v>
      </c>
      <c r="B533" t="s">
        <v>48</v>
      </c>
      <c r="C533">
        <v>23</v>
      </c>
      <c r="D533">
        <v>2016</v>
      </c>
      <c r="E533" t="s">
        <v>35</v>
      </c>
      <c r="F533">
        <v>11</v>
      </c>
      <c r="G533" t="s">
        <v>36</v>
      </c>
      <c r="H533" t="s">
        <v>37</v>
      </c>
      <c r="I533">
        <v>2</v>
      </c>
      <c r="J533">
        <v>1</v>
      </c>
      <c r="K533" t="s">
        <v>38</v>
      </c>
      <c r="L533" t="s">
        <v>36</v>
      </c>
      <c r="M533" t="s">
        <v>36</v>
      </c>
      <c r="N533">
        <v>2</v>
      </c>
      <c r="O533" t="s">
        <v>45</v>
      </c>
      <c r="P533">
        <v>70</v>
      </c>
      <c r="Q533" t="s">
        <v>37</v>
      </c>
      <c r="R533" t="s">
        <v>37</v>
      </c>
      <c r="S533" t="s">
        <v>37</v>
      </c>
      <c r="T533" t="s">
        <v>65</v>
      </c>
      <c r="U533">
        <v>0</v>
      </c>
      <c r="V533" t="s">
        <v>40</v>
      </c>
      <c r="W533" t="s">
        <v>57</v>
      </c>
      <c r="X533" t="s">
        <v>37</v>
      </c>
      <c r="Y533" t="s">
        <v>43</v>
      </c>
      <c r="Z533" t="s">
        <v>37</v>
      </c>
      <c r="AA533">
        <v>3.96</v>
      </c>
      <c r="AB533" t="s">
        <v>37</v>
      </c>
      <c r="AC533">
        <v>3.91</v>
      </c>
      <c r="AD533">
        <v>116</v>
      </c>
      <c r="AE533">
        <v>30000</v>
      </c>
      <c r="AF533" t="str">
        <f>IF(Table1[[#This Row],[What is your current CGPA?]]&gt;=3.5,"High",IF(Table1[[#This Row],[What is your current CGPA?]]&gt;=2.5,"Medium","Low"))</f>
        <v>High</v>
      </c>
      <c r="AG533" t="str">
        <f>IF(AND(Table1[[#This Row],[Average attendance on class]]&lt;75,Table1[[#This Row],[How many hour do you study daily?]]&lt;1),"At Risk","Normal")</f>
        <v>Normal</v>
      </c>
      <c r="AH533">
        <f>(Table1[[#This Row],[Average attendance on class]]*0.4)+(Table1[[#This Row],[How many hour do you study daily?]]*10*0.3)+(Table1[[#This Row],[How many hour do you spent daily on your skill development?]]*10*0.3)</f>
        <v>34</v>
      </c>
    </row>
    <row r="534" spans="1:34" x14ac:dyDescent="0.25">
      <c r="A534">
        <v>2022</v>
      </c>
      <c r="B534" t="s">
        <v>48</v>
      </c>
      <c r="C534">
        <v>20</v>
      </c>
      <c r="D534">
        <v>2021</v>
      </c>
      <c r="E534" t="s">
        <v>35</v>
      </c>
      <c r="F534">
        <v>2</v>
      </c>
      <c r="G534" t="s">
        <v>37</v>
      </c>
      <c r="H534" t="s">
        <v>36</v>
      </c>
      <c r="I534">
        <v>5</v>
      </c>
      <c r="J534">
        <v>2</v>
      </c>
      <c r="K534" t="s">
        <v>44</v>
      </c>
      <c r="L534" t="s">
        <v>36</v>
      </c>
      <c r="M534" t="s">
        <v>36</v>
      </c>
      <c r="N534">
        <v>2</v>
      </c>
      <c r="O534" t="s">
        <v>45</v>
      </c>
      <c r="P534">
        <v>90</v>
      </c>
      <c r="Q534" t="s">
        <v>36</v>
      </c>
      <c r="R534" t="s">
        <v>37</v>
      </c>
      <c r="S534" t="s">
        <v>36</v>
      </c>
      <c r="T534" t="s">
        <v>40</v>
      </c>
      <c r="U534">
        <v>1</v>
      </c>
      <c r="V534" t="s">
        <v>40</v>
      </c>
      <c r="W534" t="s">
        <v>42</v>
      </c>
      <c r="X534" t="s">
        <v>37</v>
      </c>
      <c r="Y534" t="s">
        <v>47</v>
      </c>
      <c r="Z534" t="s">
        <v>37</v>
      </c>
      <c r="AA534">
        <v>3.15</v>
      </c>
      <c r="AB534" t="s">
        <v>37</v>
      </c>
      <c r="AC534">
        <v>3.15</v>
      </c>
      <c r="AD534">
        <v>11</v>
      </c>
      <c r="AE534">
        <v>60000</v>
      </c>
      <c r="AF534" t="str">
        <f>IF(Table1[[#This Row],[What is your current CGPA?]]&gt;=3.5,"High",IF(Table1[[#This Row],[What is your current CGPA?]]&gt;=2.5,"Medium","Low"))</f>
        <v>Medium</v>
      </c>
      <c r="AG534" t="str">
        <f>IF(AND(Table1[[#This Row],[Average attendance on class]]&lt;75,Table1[[#This Row],[How many hour do you study daily?]]&lt;1),"At Risk","Normal")</f>
        <v>Normal</v>
      </c>
      <c r="AH534">
        <f>(Table1[[#This Row],[Average attendance on class]]*0.4)+(Table1[[#This Row],[How many hour do you study daily?]]*10*0.3)+(Table1[[#This Row],[How many hour do you spent daily on your skill development?]]*10*0.3)</f>
        <v>54</v>
      </c>
    </row>
    <row r="535" spans="1:34" x14ac:dyDescent="0.25">
      <c r="A535">
        <v>2022</v>
      </c>
      <c r="B535" t="s">
        <v>48</v>
      </c>
      <c r="C535">
        <v>21</v>
      </c>
      <c r="D535">
        <v>2020</v>
      </c>
      <c r="E535" t="s">
        <v>35</v>
      </c>
      <c r="F535">
        <v>2</v>
      </c>
      <c r="G535" t="s">
        <v>37</v>
      </c>
      <c r="H535" t="s">
        <v>36</v>
      </c>
      <c r="I535">
        <v>7</v>
      </c>
      <c r="J535">
        <v>2</v>
      </c>
      <c r="K535" t="s">
        <v>38</v>
      </c>
      <c r="L535" t="s">
        <v>36</v>
      </c>
      <c r="M535" t="s">
        <v>37</v>
      </c>
      <c r="N535">
        <v>1</v>
      </c>
      <c r="O535" t="s">
        <v>39</v>
      </c>
      <c r="P535">
        <v>100</v>
      </c>
      <c r="Q535" t="s">
        <v>37</v>
      </c>
      <c r="R535" t="s">
        <v>37</v>
      </c>
      <c r="S535" t="s">
        <v>37</v>
      </c>
      <c r="T535" t="s">
        <v>40</v>
      </c>
      <c r="U535">
        <v>2</v>
      </c>
      <c r="V535" t="s">
        <v>40</v>
      </c>
      <c r="W535" t="s">
        <v>42</v>
      </c>
      <c r="X535" t="s">
        <v>36</v>
      </c>
      <c r="Y535" t="s">
        <v>47</v>
      </c>
      <c r="Z535" t="s">
        <v>36</v>
      </c>
      <c r="AA535">
        <v>3.4</v>
      </c>
      <c r="AB535" t="s">
        <v>37</v>
      </c>
      <c r="AC535">
        <v>3.4</v>
      </c>
      <c r="AD535">
        <v>12</v>
      </c>
      <c r="AE535">
        <v>15000</v>
      </c>
      <c r="AF535" t="str">
        <f>IF(Table1[[#This Row],[What is your current CGPA?]]&gt;=3.5,"High",IF(Table1[[#This Row],[What is your current CGPA?]]&gt;=2.5,"Medium","Low"))</f>
        <v>Medium</v>
      </c>
      <c r="AG535" t="str">
        <f>IF(AND(Table1[[#This Row],[Average attendance on class]]&lt;75,Table1[[#This Row],[How many hour do you study daily?]]&lt;1),"At Risk","Normal")</f>
        <v>Normal</v>
      </c>
      <c r="AH535">
        <f>(Table1[[#This Row],[Average attendance on class]]*0.4)+(Table1[[#This Row],[How many hour do you study daily?]]*10*0.3)+(Table1[[#This Row],[How many hour do you spent daily on your skill development?]]*10*0.3)</f>
        <v>67</v>
      </c>
    </row>
    <row r="536" spans="1:34" x14ac:dyDescent="0.25">
      <c r="A536">
        <v>2019</v>
      </c>
      <c r="B536" t="s">
        <v>48</v>
      </c>
      <c r="C536">
        <v>22</v>
      </c>
      <c r="D536">
        <v>2018</v>
      </c>
      <c r="E536" t="s">
        <v>35</v>
      </c>
      <c r="F536">
        <v>11</v>
      </c>
      <c r="G536" t="s">
        <v>37</v>
      </c>
      <c r="H536" t="s">
        <v>36</v>
      </c>
      <c r="I536">
        <v>2</v>
      </c>
      <c r="J536">
        <v>2</v>
      </c>
      <c r="K536" t="s">
        <v>44</v>
      </c>
      <c r="L536" t="s">
        <v>36</v>
      </c>
      <c r="M536" t="s">
        <v>36</v>
      </c>
      <c r="N536">
        <v>1</v>
      </c>
      <c r="O536" t="s">
        <v>39</v>
      </c>
      <c r="P536">
        <v>90</v>
      </c>
      <c r="Q536" t="s">
        <v>37</v>
      </c>
      <c r="R536" t="s">
        <v>37</v>
      </c>
      <c r="S536" t="s">
        <v>37</v>
      </c>
      <c r="T536" t="s">
        <v>40</v>
      </c>
      <c r="U536">
        <v>2</v>
      </c>
      <c r="V536" t="s">
        <v>40</v>
      </c>
      <c r="W536" t="s">
        <v>42</v>
      </c>
      <c r="X536" t="s">
        <v>37</v>
      </c>
      <c r="Y536" t="s">
        <v>47</v>
      </c>
      <c r="Z536" t="s">
        <v>37</v>
      </c>
      <c r="AA536">
        <v>3.49</v>
      </c>
      <c r="AB536" t="s">
        <v>37</v>
      </c>
      <c r="AC536">
        <v>3.39</v>
      </c>
      <c r="AD536">
        <v>126</v>
      </c>
      <c r="AE536">
        <v>20000</v>
      </c>
      <c r="AF536" t="str">
        <f>IF(Table1[[#This Row],[What is your current CGPA?]]&gt;=3.5,"High",IF(Table1[[#This Row],[What is your current CGPA?]]&gt;=2.5,"Medium","Low"))</f>
        <v>Medium</v>
      </c>
      <c r="AG536" t="str">
        <f>IF(AND(Table1[[#This Row],[Average attendance on class]]&lt;75,Table1[[#This Row],[How many hour do you study daily?]]&lt;1),"At Risk","Normal")</f>
        <v>Normal</v>
      </c>
      <c r="AH536">
        <f>(Table1[[#This Row],[Average attendance on class]]*0.4)+(Table1[[#This Row],[How many hour do you study daily?]]*10*0.3)+(Table1[[#This Row],[How many hour do you spent daily on your skill development?]]*10*0.3)</f>
        <v>48</v>
      </c>
    </row>
    <row r="537" spans="1:34" x14ac:dyDescent="0.25">
      <c r="A537">
        <v>2022</v>
      </c>
      <c r="B537" t="s">
        <v>34</v>
      </c>
      <c r="C537">
        <v>23</v>
      </c>
      <c r="D537">
        <v>2020</v>
      </c>
      <c r="E537" t="s">
        <v>35</v>
      </c>
      <c r="F537">
        <v>2</v>
      </c>
      <c r="G537" t="s">
        <v>37</v>
      </c>
      <c r="H537" t="s">
        <v>36</v>
      </c>
      <c r="I537">
        <v>6</v>
      </c>
      <c r="J537">
        <v>2</v>
      </c>
      <c r="K537" t="s">
        <v>44</v>
      </c>
      <c r="L537" t="s">
        <v>36</v>
      </c>
      <c r="M537" t="s">
        <v>36</v>
      </c>
      <c r="N537">
        <v>1</v>
      </c>
      <c r="O537" t="s">
        <v>39</v>
      </c>
      <c r="P537">
        <v>100</v>
      </c>
      <c r="Q537" t="s">
        <v>37</v>
      </c>
      <c r="R537" t="s">
        <v>37</v>
      </c>
      <c r="S537" t="s">
        <v>37</v>
      </c>
      <c r="T537" t="s">
        <v>40</v>
      </c>
      <c r="U537">
        <v>2</v>
      </c>
      <c r="V537" t="s">
        <v>40</v>
      </c>
      <c r="W537" t="s">
        <v>42</v>
      </c>
      <c r="X537" t="s">
        <v>36</v>
      </c>
      <c r="Y537" t="s">
        <v>47</v>
      </c>
      <c r="Z537" t="s">
        <v>37</v>
      </c>
      <c r="AA537">
        <v>3.85</v>
      </c>
      <c r="AB537" t="s">
        <v>37</v>
      </c>
      <c r="AC537">
        <v>3.85</v>
      </c>
      <c r="AD537">
        <v>12</v>
      </c>
      <c r="AE537">
        <v>30000</v>
      </c>
      <c r="AF537" t="str">
        <f>IF(Table1[[#This Row],[What is your current CGPA?]]&gt;=3.5,"High",IF(Table1[[#This Row],[What is your current CGPA?]]&gt;=2.5,"Medium","Low"))</f>
        <v>High</v>
      </c>
      <c r="AG537" t="str">
        <f>IF(AND(Table1[[#This Row],[Average attendance on class]]&lt;75,Table1[[#This Row],[How many hour do you study daily?]]&lt;1),"At Risk","Normal")</f>
        <v>Normal</v>
      </c>
      <c r="AH537">
        <f>(Table1[[#This Row],[Average attendance on class]]*0.4)+(Table1[[#This Row],[How many hour do you study daily?]]*10*0.3)+(Table1[[#This Row],[How many hour do you spent daily on your skill development?]]*10*0.3)</f>
        <v>64</v>
      </c>
    </row>
    <row r="538" spans="1:34" x14ac:dyDescent="0.25">
      <c r="A538">
        <v>2020</v>
      </c>
      <c r="B538" t="s">
        <v>34</v>
      </c>
      <c r="C538">
        <v>21</v>
      </c>
      <c r="D538">
        <v>2018</v>
      </c>
      <c r="E538" t="s">
        <v>35</v>
      </c>
      <c r="F538">
        <v>8</v>
      </c>
      <c r="G538" t="s">
        <v>37</v>
      </c>
      <c r="H538" t="s">
        <v>36</v>
      </c>
      <c r="I538">
        <v>4</v>
      </c>
      <c r="J538">
        <v>2</v>
      </c>
      <c r="K538" t="s">
        <v>38</v>
      </c>
      <c r="L538" t="s">
        <v>36</v>
      </c>
      <c r="M538" t="s">
        <v>36</v>
      </c>
      <c r="N538">
        <v>1</v>
      </c>
      <c r="O538" t="s">
        <v>39</v>
      </c>
      <c r="P538">
        <v>90</v>
      </c>
      <c r="Q538" t="s">
        <v>36</v>
      </c>
      <c r="R538" t="s">
        <v>37</v>
      </c>
      <c r="S538" t="s">
        <v>37</v>
      </c>
      <c r="T538" t="s">
        <v>40</v>
      </c>
      <c r="U538">
        <v>2</v>
      </c>
      <c r="V538" t="s">
        <v>40</v>
      </c>
      <c r="W538" t="s">
        <v>42</v>
      </c>
      <c r="X538" t="s">
        <v>36</v>
      </c>
      <c r="Y538" t="s">
        <v>47</v>
      </c>
      <c r="Z538" t="s">
        <v>37</v>
      </c>
      <c r="AA538">
        <v>2.02</v>
      </c>
      <c r="AB538" t="s">
        <v>37</v>
      </c>
      <c r="AC538">
        <v>2.4</v>
      </c>
      <c r="AD538">
        <v>71</v>
      </c>
      <c r="AE538">
        <v>35000</v>
      </c>
      <c r="AF538" t="str">
        <f>IF(Table1[[#This Row],[What is your current CGPA?]]&gt;=3.5,"High",IF(Table1[[#This Row],[What is your current CGPA?]]&gt;=2.5,"Medium","Low"))</f>
        <v>Low</v>
      </c>
      <c r="AG538" t="str">
        <f>IF(AND(Table1[[#This Row],[Average attendance on class]]&lt;75,Table1[[#This Row],[How many hour do you study daily?]]&lt;1),"At Risk","Normal")</f>
        <v>Normal</v>
      </c>
      <c r="AH538">
        <f>(Table1[[#This Row],[Average attendance on class]]*0.4)+(Table1[[#This Row],[How many hour do you study daily?]]*10*0.3)+(Table1[[#This Row],[How many hour do you spent daily on your skill development?]]*10*0.3)</f>
        <v>54</v>
      </c>
    </row>
    <row r="539" spans="1:34" x14ac:dyDescent="0.25">
      <c r="A539">
        <v>2021</v>
      </c>
      <c r="B539" t="s">
        <v>48</v>
      </c>
      <c r="C539">
        <v>26</v>
      </c>
      <c r="D539">
        <v>2014</v>
      </c>
      <c r="E539" t="s">
        <v>35</v>
      </c>
      <c r="F539">
        <v>3</v>
      </c>
      <c r="G539" t="s">
        <v>36</v>
      </c>
      <c r="H539" t="s">
        <v>37</v>
      </c>
      <c r="I539">
        <v>5</v>
      </c>
      <c r="J539">
        <v>3</v>
      </c>
      <c r="K539" t="s">
        <v>38</v>
      </c>
      <c r="L539" t="s">
        <v>36</v>
      </c>
      <c r="M539" t="s">
        <v>36</v>
      </c>
      <c r="N539">
        <v>3</v>
      </c>
      <c r="O539" t="s">
        <v>45</v>
      </c>
      <c r="P539">
        <v>50</v>
      </c>
      <c r="Q539" t="s">
        <v>37</v>
      </c>
      <c r="R539" t="s">
        <v>37</v>
      </c>
      <c r="S539" t="s">
        <v>37</v>
      </c>
      <c r="T539" t="s">
        <v>40</v>
      </c>
      <c r="U539">
        <v>2</v>
      </c>
      <c r="V539" t="s">
        <v>40</v>
      </c>
      <c r="W539" t="s">
        <v>56</v>
      </c>
      <c r="X539" t="s">
        <v>37</v>
      </c>
      <c r="Y539" t="s">
        <v>47</v>
      </c>
      <c r="Z539" t="s">
        <v>37</v>
      </c>
      <c r="AA539">
        <v>3.89</v>
      </c>
      <c r="AB539" t="s">
        <v>37</v>
      </c>
      <c r="AC539">
        <v>3.38</v>
      </c>
      <c r="AD539">
        <v>23</v>
      </c>
      <c r="AE539">
        <v>80000</v>
      </c>
      <c r="AF539" t="str">
        <f>IF(Table1[[#This Row],[What is your current CGPA?]]&gt;=3.5,"High",IF(Table1[[#This Row],[What is your current CGPA?]]&gt;=2.5,"Medium","Low"))</f>
        <v>Medium</v>
      </c>
      <c r="AG539" t="str">
        <f>IF(AND(Table1[[#This Row],[Average attendance on class]]&lt;75,Table1[[#This Row],[How many hour do you study daily?]]&lt;1),"At Risk","Normal")</f>
        <v>Normal</v>
      </c>
      <c r="AH539">
        <f>(Table1[[#This Row],[Average attendance on class]]*0.4)+(Table1[[#This Row],[How many hour do you study daily?]]*10*0.3)+(Table1[[#This Row],[How many hour do you spent daily on your skill development?]]*10*0.3)</f>
        <v>41</v>
      </c>
    </row>
    <row r="540" spans="1:34" x14ac:dyDescent="0.25">
      <c r="A540">
        <v>2022</v>
      </c>
      <c r="B540" t="s">
        <v>34</v>
      </c>
      <c r="C540">
        <v>22</v>
      </c>
      <c r="D540">
        <v>2020</v>
      </c>
      <c r="E540" t="s">
        <v>35</v>
      </c>
      <c r="F540">
        <v>2</v>
      </c>
      <c r="G540" t="s">
        <v>36</v>
      </c>
      <c r="H540" t="s">
        <v>36</v>
      </c>
      <c r="I540">
        <v>2</v>
      </c>
      <c r="J540">
        <v>1</v>
      </c>
      <c r="K540" t="s">
        <v>44</v>
      </c>
      <c r="L540" t="s">
        <v>36</v>
      </c>
      <c r="M540" t="s">
        <v>36</v>
      </c>
      <c r="N540">
        <v>2</v>
      </c>
      <c r="O540" t="s">
        <v>39</v>
      </c>
      <c r="P540">
        <v>90</v>
      </c>
      <c r="Q540" t="s">
        <v>37</v>
      </c>
      <c r="R540" t="s">
        <v>37</v>
      </c>
      <c r="S540" t="s">
        <v>36</v>
      </c>
      <c r="T540" t="s">
        <v>96</v>
      </c>
      <c r="U540">
        <v>3</v>
      </c>
      <c r="V540" t="s">
        <v>40</v>
      </c>
      <c r="W540" t="s">
        <v>42</v>
      </c>
      <c r="X540" t="s">
        <v>37</v>
      </c>
      <c r="Y540" t="s">
        <v>47</v>
      </c>
      <c r="Z540" t="s">
        <v>37</v>
      </c>
      <c r="AA540">
        <v>3.93</v>
      </c>
      <c r="AB540" t="s">
        <v>37</v>
      </c>
      <c r="AC540">
        <v>3.93</v>
      </c>
      <c r="AD540">
        <v>12</v>
      </c>
      <c r="AE540">
        <v>55000</v>
      </c>
      <c r="AF540" t="str">
        <f>IF(Table1[[#This Row],[What is your current CGPA?]]&gt;=3.5,"High",IF(Table1[[#This Row],[What is your current CGPA?]]&gt;=2.5,"Medium","Low"))</f>
        <v>High</v>
      </c>
      <c r="AG540" t="str">
        <f>IF(AND(Table1[[#This Row],[Average attendance on class]]&lt;75,Table1[[#This Row],[How many hour do you study daily?]]&lt;1),"At Risk","Normal")</f>
        <v>Normal</v>
      </c>
      <c r="AH540">
        <f>(Table1[[#This Row],[Average attendance on class]]*0.4)+(Table1[[#This Row],[How many hour do you study daily?]]*10*0.3)+(Table1[[#This Row],[How many hour do you spent daily on your skill development?]]*10*0.3)</f>
        <v>51</v>
      </c>
    </row>
    <row r="541" spans="1:34" x14ac:dyDescent="0.25">
      <c r="A541">
        <v>2021</v>
      </c>
      <c r="B541" t="s">
        <v>48</v>
      </c>
      <c r="C541">
        <v>20</v>
      </c>
      <c r="D541">
        <v>2020</v>
      </c>
      <c r="E541" t="s">
        <v>35</v>
      </c>
      <c r="F541">
        <v>2</v>
      </c>
      <c r="G541" t="s">
        <v>37</v>
      </c>
      <c r="H541" t="s">
        <v>36</v>
      </c>
      <c r="I541">
        <v>5</v>
      </c>
      <c r="J541">
        <v>2</v>
      </c>
      <c r="K541" t="s">
        <v>38</v>
      </c>
      <c r="L541" t="s">
        <v>36</v>
      </c>
      <c r="M541" t="s">
        <v>36</v>
      </c>
      <c r="N541">
        <v>2</v>
      </c>
      <c r="O541" t="s">
        <v>45</v>
      </c>
      <c r="P541">
        <v>99</v>
      </c>
      <c r="Q541" t="s">
        <v>37</v>
      </c>
      <c r="R541" t="s">
        <v>37</v>
      </c>
      <c r="S541" t="s">
        <v>37</v>
      </c>
      <c r="T541" t="s">
        <v>40</v>
      </c>
      <c r="U541">
        <v>1</v>
      </c>
      <c r="V541" t="s">
        <v>52</v>
      </c>
      <c r="W541" t="s">
        <v>42</v>
      </c>
      <c r="X541" t="s">
        <v>37</v>
      </c>
      <c r="Y541" t="s">
        <v>47</v>
      </c>
      <c r="Z541" t="s">
        <v>37</v>
      </c>
      <c r="AA541">
        <v>3.9</v>
      </c>
      <c r="AB541" t="s">
        <v>37</v>
      </c>
      <c r="AC541">
        <v>3.9</v>
      </c>
      <c r="AD541">
        <v>11</v>
      </c>
      <c r="AE541">
        <v>20000</v>
      </c>
      <c r="AF541" t="str">
        <f>IF(Table1[[#This Row],[What is your current CGPA?]]&gt;=3.5,"High",IF(Table1[[#This Row],[What is your current CGPA?]]&gt;=2.5,"Medium","Low"))</f>
        <v>High</v>
      </c>
      <c r="AG541" t="str">
        <f>IF(AND(Table1[[#This Row],[Average attendance on class]]&lt;75,Table1[[#This Row],[How many hour do you study daily?]]&lt;1),"At Risk","Normal")</f>
        <v>Normal</v>
      </c>
      <c r="AH541">
        <f>(Table1[[#This Row],[Average attendance on class]]*0.4)+(Table1[[#This Row],[How many hour do you study daily?]]*10*0.3)+(Table1[[#This Row],[How many hour do you spent daily on your skill development?]]*10*0.3)</f>
        <v>57.6</v>
      </c>
    </row>
    <row r="542" spans="1:34" x14ac:dyDescent="0.25">
      <c r="A542">
        <v>2022</v>
      </c>
      <c r="B542" t="s">
        <v>34</v>
      </c>
      <c r="C542">
        <v>20</v>
      </c>
      <c r="D542">
        <v>2020</v>
      </c>
      <c r="E542" t="s">
        <v>35</v>
      </c>
      <c r="F542">
        <v>2</v>
      </c>
      <c r="G542" t="s">
        <v>36</v>
      </c>
      <c r="H542" t="s">
        <v>36</v>
      </c>
      <c r="I542">
        <v>3</v>
      </c>
      <c r="J542">
        <v>3</v>
      </c>
      <c r="K542" t="s">
        <v>38</v>
      </c>
      <c r="L542" t="s">
        <v>36</v>
      </c>
      <c r="M542" t="s">
        <v>36</v>
      </c>
      <c r="N542">
        <v>3</v>
      </c>
      <c r="O542" t="s">
        <v>39</v>
      </c>
      <c r="P542">
        <v>95</v>
      </c>
      <c r="Q542" t="s">
        <v>36</v>
      </c>
      <c r="R542" t="s">
        <v>37</v>
      </c>
      <c r="S542" t="s">
        <v>36</v>
      </c>
      <c r="T542" t="s">
        <v>40</v>
      </c>
      <c r="U542">
        <v>1</v>
      </c>
      <c r="V542" t="s">
        <v>40</v>
      </c>
      <c r="W542" t="s">
        <v>42</v>
      </c>
      <c r="X542" t="s">
        <v>37</v>
      </c>
      <c r="Y542" t="s">
        <v>43</v>
      </c>
      <c r="Z542" t="s">
        <v>37</v>
      </c>
      <c r="AA542">
        <v>3.47</v>
      </c>
      <c r="AB542" t="s">
        <v>37</v>
      </c>
      <c r="AC542">
        <v>3.47</v>
      </c>
      <c r="AD542">
        <v>12</v>
      </c>
      <c r="AE542">
        <v>30000</v>
      </c>
      <c r="AF542" t="str">
        <f>IF(Table1[[#This Row],[What is your current CGPA?]]&gt;=3.5,"High",IF(Table1[[#This Row],[What is your current CGPA?]]&gt;=2.5,"Medium","Low"))</f>
        <v>Medium</v>
      </c>
      <c r="AG542" t="str">
        <f>IF(AND(Table1[[#This Row],[Average attendance on class]]&lt;75,Table1[[#This Row],[How many hour do you study daily?]]&lt;1),"At Risk","Normal")</f>
        <v>Normal</v>
      </c>
      <c r="AH542">
        <f>(Table1[[#This Row],[Average attendance on class]]*0.4)+(Table1[[#This Row],[How many hour do you study daily?]]*10*0.3)+(Table1[[#This Row],[How many hour do you spent daily on your skill development?]]*10*0.3)</f>
        <v>50</v>
      </c>
    </row>
    <row r="543" spans="1:34" x14ac:dyDescent="0.25">
      <c r="A543">
        <v>2022</v>
      </c>
      <c r="B543" t="s">
        <v>48</v>
      </c>
      <c r="C543">
        <v>20</v>
      </c>
      <c r="D543">
        <v>2019</v>
      </c>
      <c r="E543" t="s">
        <v>35</v>
      </c>
      <c r="F543">
        <v>2</v>
      </c>
      <c r="G543" t="s">
        <v>37</v>
      </c>
      <c r="H543" t="s">
        <v>36</v>
      </c>
      <c r="I543">
        <v>2</v>
      </c>
      <c r="J543">
        <v>2</v>
      </c>
      <c r="K543" t="s">
        <v>38</v>
      </c>
      <c r="L543" t="s">
        <v>36</v>
      </c>
      <c r="M543" t="s">
        <v>36</v>
      </c>
      <c r="N543">
        <v>2</v>
      </c>
      <c r="O543" t="s">
        <v>39</v>
      </c>
      <c r="P543">
        <v>90</v>
      </c>
      <c r="Q543" t="s">
        <v>37</v>
      </c>
      <c r="R543" t="s">
        <v>37</v>
      </c>
      <c r="S543" t="s">
        <v>36</v>
      </c>
      <c r="T543" t="s">
        <v>97</v>
      </c>
      <c r="U543">
        <v>1</v>
      </c>
      <c r="V543" t="s">
        <v>40</v>
      </c>
      <c r="W543" t="s">
        <v>42</v>
      </c>
      <c r="X543" t="s">
        <v>36</v>
      </c>
      <c r="Y543" t="s">
        <v>47</v>
      </c>
      <c r="Z543" t="s">
        <v>37</v>
      </c>
      <c r="AA543">
        <v>3.7</v>
      </c>
      <c r="AB543" t="s">
        <v>37</v>
      </c>
      <c r="AC543">
        <v>3.7</v>
      </c>
      <c r="AD543">
        <v>12</v>
      </c>
      <c r="AE543">
        <v>30000</v>
      </c>
      <c r="AF543" t="str">
        <f>IF(Table1[[#This Row],[What is your current CGPA?]]&gt;=3.5,"High",IF(Table1[[#This Row],[What is your current CGPA?]]&gt;=2.5,"Medium","Low"))</f>
        <v>High</v>
      </c>
      <c r="AG543" t="str">
        <f>IF(AND(Table1[[#This Row],[Average attendance on class]]&lt;75,Table1[[#This Row],[How many hour do you study daily?]]&lt;1),"At Risk","Normal")</f>
        <v>Normal</v>
      </c>
      <c r="AH543">
        <f>(Table1[[#This Row],[Average attendance on class]]*0.4)+(Table1[[#This Row],[How many hour do you study daily?]]*10*0.3)+(Table1[[#This Row],[How many hour do you spent daily on your skill development?]]*10*0.3)</f>
        <v>45</v>
      </c>
    </row>
    <row r="544" spans="1:34" x14ac:dyDescent="0.25">
      <c r="A544">
        <v>2022</v>
      </c>
      <c r="B544" t="s">
        <v>34</v>
      </c>
      <c r="C544">
        <v>20</v>
      </c>
      <c r="D544">
        <v>2020</v>
      </c>
      <c r="E544" t="s">
        <v>35</v>
      </c>
      <c r="F544">
        <v>2</v>
      </c>
      <c r="G544" t="s">
        <v>36</v>
      </c>
      <c r="H544" t="s">
        <v>36</v>
      </c>
      <c r="I544">
        <v>4</v>
      </c>
      <c r="J544">
        <v>1</v>
      </c>
      <c r="K544" t="s">
        <v>38</v>
      </c>
      <c r="L544" t="s">
        <v>36</v>
      </c>
      <c r="M544" t="s">
        <v>36</v>
      </c>
      <c r="N544">
        <v>2</v>
      </c>
      <c r="O544" t="s">
        <v>39</v>
      </c>
      <c r="P544">
        <v>100</v>
      </c>
      <c r="Q544" t="s">
        <v>37</v>
      </c>
      <c r="R544" t="s">
        <v>37</v>
      </c>
      <c r="S544" t="s">
        <v>37</v>
      </c>
      <c r="T544" t="s">
        <v>40</v>
      </c>
      <c r="U544">
        <v>2</v>
      </c>
      <c r="V544" t="s">
        <v>40</v>
      </c>
      <c r="W544" t="s">
        <v>42</v>
      </c>
      <c r="X544" t="s">
        <v>36</v>
      </c>
      <c r="Y544" t="s">
        <v>47</v>
      </c>
      <c r="Z544" t="s">
        <v>36</v>
      </c>
      <c r="AA544">
        <v>3.45</v>
      </c>
      <c r="AB544" t="s">
        <v>37</v>
      </c>
      <c r="AC544">
        <v>3.45</v>
      </c>
      <c r="AD544">
        <v>11</v>
      </c>
      <c r="AE544">
        <v>20000</v>
      </c>
      <c r="AF544" t="str">
        <f>IF(Table1[[#This Row],[What is your current CGPA?]]&gt;=3.5,"High",IF(Table1[[#This Row],[What is your current CGPA?]]&gt;=2.5,"Medium","Low"))</f>
        <v>Medium</v>
      </c>
      <c r="AG544" t="str">
        <f>IF(AND(Table1[[#This Row],[Average attendance on class]]&lt;75,Table1[[#This Row],[How many hour do you study daily?]]&lt;1),"At Risk","Normal")</f>
        <v>Normal</v>
      </c>
      <c r="AH544">
        <f>(Table1[[#This Row],[Average attendance on class]]*0.4)+(Table1[[#This Row],[How many hour do you study daily?]]*10*0.3)+(Table1[[#This Row],[How many hour do you spent daily on your skill development?]]*10*0.3)</f>
        <v>58</v>
      </c>
    </row>
    <row r="545" spans="1:34" x14ac:dyDescent="0.25">
      <c r="A545">
        <v>2022</v>
      </c>
      <c r="B545" t="s">
        <v>34</v>
      </c>
      <c r="C545">
        <v>22</v>
      </c>
      <c r="D545">
        <v>2020</v>
      </c>
      <c r="E545" t="s">
        <v>35</v>
      </c>
      <c r="F545">
        <v>2</v>
      </c>
      <c r="G545" t="s">
        <v>36</v>
      </c>
      <c r="H545" t="s">
        <v>36</v>
      </c>
      <c r="I545">
        <v>3</v>
      </c>
      <c r="J545">
        <v>2</v>
      </c>
      <c r="K545" t="s">
        <v>38</v>
      </c>
      <c r="L545" t="s">
        <v>36</v>
      </c>
      <c r="M545" t="s">
        <v>36</v>
      </c>
      <c r="N545">
        <v>2</v>
      </c>
      <c r="O545" t="s">
        <v>39</v>
      </c>
      <c r="P545">
        <v>98</v>
      </c>
      <c r="Q545" t="s">
        <v>36</v>
      </c>
      <c r="R545" t="s">
        <v>37</v>
      </c>
      <c r="S545" t="s">
        <v>36</v>
      </c>
      <c r="T545" t="s">
        <v>40</v>
      </c>
      <c r="U545">
        <v>1</v>
      </c>
      <c r="V545" t="s">
        <v>40</v>
      </c>
      <c r="W545" t="s">
        <v>42</v>
      </c>
      <c r="X545" t="s">
        <v>37</v>
      </c>
      <c r="Y545" t="s">
        <v>47</v>
      </c>
      <c r="Z545" t="s">
        <v>37</v>
      </c>
      <c r="AA545">
        <v>3.73</v>
      </c>
      <c r="AB545" t="s">
        <v>37</v>
      </c>
      <c r="AC545">
        <v>3.73</v>
      </c>
      <c r="AD545">
        <v>11</v>
      </c>
      <c r="AE545">
        <v>100000</v>
      </c>
      <c r="AF545" t="str">
        <f>IF(Table1[[#This Row],[What is your current CGPA?]]&gt;=3.5,"High",IF(Table1[[#This Row],[What is your current CGPA?]]&gt;=2.5,"Medium","Low"))</f>
        <v>High</v>
      </c>
      <c r="AG545" t="str">
        <f>IF(AND(Table1[[#This Row],[Average attendance on class]]&lt;75,Table1[[#This Row],[How many hour do you study daily?]]&lt;1),"At Risk","Normal")</f>
        <v>Normal</v>
      </c>
      <c r="AH545">
        <f>(Table1[[#This Row],[Average attendance on class]]*0.4)+(Table1[[#This Row],[How many hour do you study daily?]]*10*0.3)+(Table1[[#This Row],[How many hour do you spent daily on your skill development?]]*10*0.3)</f>
        <v>51.2</v>
      </c>
    </row>
    <row r="546" spans="1:34" x14ac:dyDescent="0.25">
      <c r="A546">
        <v>2021</v>
      </c>
      <c r="B546" t="s">
        <v>34</v>
      </c>
      <c r="C546">
        <v>21</v>
      </c>
      <c r="D546">
        <v>2019</v>
      </c>
      <c r="E546" t="s">
        <v>35</v>
      </c>
      <c r="F546">
        <v>3</v>
      </c>
      <c r="G546" t="s">
        <v>36</v>
      </c>
      <c r="H546" t="s">
        <v>36</v>
      </c>
      <c r="I546">
        <v>4</v>
      </c>
      <c r="J546">
        <v>4</v>
      </c>
      <c r="K546" t="s">
        <v>44</v>
      </c>
      <c r="L546" t="s">
        <v>36</v>
      </c>
      <c r="M546" t="s">
        <v>36</v>
      </c>
      <c r="N546">
        <v>2</v>
      </c>
      <c r="O546" t="s">
        <v>39</v>
      </c>
      <c r="P546">
        <v>95</v>
      </c>
      <c r="Q546" t="s">
        <v>37</v>
      </c>
      <c r="R546" t="s">
        <v>37</v>
      </c>
      <c r="S546" t="s">
        <v>36</v>
      </c>
      <c r="T546" t="s">
        <v>40</v>
      </c>
      <c r="U546">
        <v>3</v>
      </c>
      <c r="V546" t="s">
        <v>40</v>
      </c>
      <c r="W546" t="s">
        <v>42</v>
      </c>
      <c r="X546" t="s">
        <v>36</v>
      </c>
      <c r="Y546" t="s">
        <v>43</v>
      </c>
      <c r="Z546" t="s">
        <v>36</v>
      </c>
      <c r="AA546">
        <v>3.73</v>
      </c>
      <c r="AB546" t="s">
        <v>36</v>
      </c>
      <c r="AC546">
        <v>3.68</v>
      </c>
      <c r="AD546">
        <v>26</v>
      </c>
      <c r="AE546">
        <v>35000</v>
      </c>
      <c r="AF546" t="str">
        <f>IF(Table1[[#This Row],[What is your current CGPA?]]&gt;=3.5,"High",IF(Table1[[#This Row],[What is your current CGPA?]]&gt;=2.5,"Medium","Low"))</f>
        <v>High</v>
      </c>
      <c r="AG546" t="str">
        <f>IF(AND(Table1[[#This Row],[Average attendance on class]]&lt;75,Table1[[#This Row],[How many hour do you study daily?]]&lt;1),"At Risk","Normal")</f>
        <v>Normal</v>
      </c>
      <c r="AH546">
        <f>(Table1[[#This Row],[Average attendance on class]]*0.4)+(Table1[[#This Row],[How many hour do you study daily?]]*10*0.3)+(Table1[[#This Row],[How many hour do you spent daily on your skill development?]]*10*0.3)</f>
        <v>59</v>
      </c>
    </row>
    <row r="547" spans="1:34" x14ac:dyDescent="0.25">
      <c r="A547">
        <v>2022</v>
      </c>
      <c r="B547" t="s">
        <v>48</v>
      </c>
      <c r="C547">
        <v>22</v>
      </c>
      <c r="D547">
        <v>2020</v>
      </c>
      <c r="E547" t="s">
        <v>35</v>
      </c>
      <c r="F547">
        <v>2</v>
      </c>
      <c r="G547" t="s">
        <v>36</v>
      </c>
      <c r="H547" t="s">
        <v>36</v>
      </c>
      <c r="I547">
        <v>3</v>
      </c>
      <c r="J547">
        <v>2</v>
      </c>
      <c r="K547" t="s">
        <v>44</v>
      </c>
      <c r="L547" t="s">
        <v>36</v>
      </c>
      <c r="M547" t="s">
        <v>36</v>
      </c>
      <c r="N547">
        <v>1</v>
      </c>
      <c r="O547" t="s">
        <v>39</v>
      </c>
      <c r="P547">
        <v>95</v>
      </c>
      <c r="Q547" t="s">
        <v>37</v>
      </c>
      <c r="R547" t="s">
        <v>37</v>
      </c>
      <c r="S547" t="s">
        <v>36</v>
      </c>
      <c r="T547" t="s">
        <v>40</v>
      </c>
      <c r="U547">
        <v>2</v>
      </c>
      <c r="V547" t="s">
        <v>40</v>
      </c>
      <c r="W547" t="s">
        <v>42</v>
      </c>
      <c r="X547" t="s">
        <v>37</v>
      </c>
      <c r="Y547" t="s">
        <v>43</v>
      </c>
      <c r="Z547" t="s">
        <v>37</v>
      </c>
      <c r="AA547">
        <v>3.65</v>
      </c>
      <c r="AB547" t="s">
        <v>37</v>
      </c>
      <c r="AC547">
        <v>3.65</v>
      </c>
      <c r="AD547">
        <v>11</v>
      </c>
      <c r="AE547">
        <v>20000</v>
      </c>
      <c r="AF547" t="str">
        <f>IF(Table1[[#This Row],[What is your current CGPA?]]&gt;=3.5,"High",IF(Table1[[#This Row],[What is your current CGPA?]]&gt;=2.5,"Medium","Low"))</f>
        <v>High</v>
      </c>
      <c r="AG547" t="str">
        <f>IF(AND(Table1[[#This Row],[Average attendance on class]]&lt;75,Table1[[#This Row],[How many hour do you study daily?]]&lt;1),"At Risk","Normal")</f>
        <v>Normal</v>
      </c>
      <c r="AH547">
        <f>(Table1[[#This Row],[Average attendance on class]]*0.4)+(Table1[[#This Row],[How many hour do you study daily?]]*10*0.3)+(Table1[[#This Row],[How many hour do you spent daily on your skill development?]]*10*0.3)</f>
        <v>53</v>
      </c>
    </row>
    <row r="548" spans="1:34" x14ac:dyDescent="0.25">
      <c r="A548">
        <v>2022</v>
      </c>
      <c r="B548" t="s">
        <v>48</v>
      </c>
      <c r="C548">
        <v>21</v>
      </c>
      <c r="D548">
        <v>2020</v>
      </c>
      <c r="E548" t="s">
        <v>35</v>
      </c>
      <c r="F548">
        <v>2</v>
      </c>
      <c r="G548" t="s">
        <v>36</v>
      </c>
      <c r="H548" t="s">
        <v>36</v>
      </c>
      <c r="I548">
        <v>4</v>
      </c>
      <c r="J548">
        <v>2</v>
      </c>
      <c r="K548" t="s">
        <v>38</v>
      </c>
      <c r="L548" t="s">
        <v>36</v>
      </c>
      <c r="M548" t="s">
        <v>36</v>
      </c>
      <c r="N548">
        <v>3</v>
      </c>
      <c r="O548" t="s">
        <v>45</v>
      </c>
      <c r="P548">
        <v>100</v>
      </c>
      <c r="Q548" t="s">
        <v>37</v>
      </c>
      <c r="R548" t="s">
        <v>37</v>
      </c>
      <c r="S548" t="s">
        <v>36</v>
      </c>
      <c r="T548" t="s">
        <v>40</v>
      </c>
      <c r="U548">
        <v>2</v>
      </c>
      <c r="V548" t="s">
        <v>40</v>
      </c>
      <c r="W548" t="s">
        <v>42</v>
      </c>
      <c r="X548" t="s">
        <v>37</v>
      </c>
      <c r="Y548" t="s">
        <v>47</v>
      </c>
      <c r="Z548" t="s">
        <v>37</v>
      </c>
      <c r="AA548">
        <v>3.45</v>
      </c>
      <c r="AB548" t="s">
        <v>37</v>
      </c>
      <c r="AC548">
        <v>3.45</v>
      </c>
      <c r="AD548">
        <v>11</v>
      </c>
      <c r="AE548">
        <v>35000</v>
      </c>
      <c r="AF548" t="str">
        <f>IF(Table1[[#This Row],[What is your current CGPA?]]&gt;=3.5,"High",IF(Table1[[#This Row],[What is your current CGPA?]]&gt;=2.5,"Medium","Low"))</f>
        <v>Medium</v>
      </c>
      <c r="AG548" t="str">
        <f>IF(AND(Table1[[#This Row],[Average attendance on class]]&lt;75,Table1[[#This Row],[How many hour do you study daily?]]&lt;1),"At Risk","Normal")</f>
        <v>Normal</v>
      </c>
      <c r="AH548">
        <f>(Table1[[#This Row],[Average attendance on class]]*0.4)+(Table1[[#This Row],[How many hour do you study daily?]]*10*0.3)+(Table1[[#This Row],[How many hour do you spent daily on your skill development?]]*10*0.3)</f>
        <v>58</v>
      </c>
    </row>
    <row r="549" spans="1:34" x14ac:dyDescent="0.25">
      <c r="A549">
        <v>2022</v>
      </c>
      <c r="B549" t="s">
        <v>34</v>
      </c>
      <c r="C549">
        <v>21</v>
      </c>
      <c r="D549">
        <v>2020</v>
      </c>
      <c r="E549" t="s">
        <v>35</v>
      </c>
      <c r="F549">
        <v>2</v>
      </c>
      <c r="G549" t="s">
        <v>36</v>
      </c>
      <c r="H549" t="s">
        <v>36</v>
      </c>
      <c r="I549">
        <v>4</v>
      </c>
      <c r="J549">
        <v>2</v>
      </c>
      <c r="K549" t="s">
        <v>38</v>
      </c>
      <c r="L549" t="s">
        <v>36</v>
      </c>
      <c r="M549" t="s">
        <v>36</v>
      </c>
      <c r="N549">
        <v>3</v>
      </c>
      <c r="O549" t="s">
        <v>45</v>
      </c>
      <c r="P549">
        <v>100</v>
      </c>
      <c r="Q549" t="s">
        <v>37</v>
      </c>
      <c r="R549" t="s">
        <v>37</v>
      </c>
      <c r="S549" t="s">
        <v>36</v>
      </c>
      <c r="T549" t="s">
        <v>40</v>
      </c>
      <c r="U549">
        <v>2</v>
      </c>
      <c r="V549" t="s">
        <v>40</v>
      </c>
      <c r="W549" t="s">
        <v>42</v>
      </c>
      <c r="X549" t="s">
        <v>37</v>
      </c>
      <c r="Y549" t="s">
        <v>43</v>
      </c>
      <c r="Z549" t="s">
        <v>37</v>
      </c>
      <c r="AA549">
        <v>2.58</v>
      </c>
      <c r="AB549" t="s">
        <v>37</v>
      </c>
      <c r="AC549">
        <v>2.58</v>
      </c>
      <c r="AD549">
        <v>11</v>
      </c>
      <c r="AE549">
        <v>35000</v>
      </c>
      <c r="AF549" t="str">
        <f>IF(Table1[[#This Row],[What is your current CGPA?]]&gt;=3.5,"High",IF(Table1[[#This Row],[What is your current CGPA?]]&gt;=2.5,"Medium","Low"))</f>
        <v>Medium</v>
      </c>
      <c r="AG549" t="str">
        <f>IF(AND(Table1[[#This Row],[Average attendance on class]]&lt;75,Table1[[#This Row],[How many hour do you study daily?]]&lt;1),"At Risk","Normal")</f>
        <v>Normal</v>
      </c>
      <c r="AH549">
        <f>(Table1[[#This Row],[Average attendance on class]]*0.4)+(Table1[[#This Row],[How many hour do you study daily?]]*10*0.3)+(Table1[[#This Row],[How many hour do you spent daily on your skill development?]]*10*0.3)</f>
        <v>58</v>
      </c>
    </row>
    <row r="550" spans="1:34" x14ac:dyDescent="0.25">
      <c r="A550">
        <v>2021</v>
      </c>
      <c r="B550" t="s">
        <v>48</v>
      </c>
      <c r="C550">
        <v>20</v>
      </c>
      <c r="D550">
        <v>2020</v>
      </c>
      <c r="E550" t="s">
        <v>35</v>
      </c>
      <c r="F550">
        <v>3</v>
      </c>
      <c r="G550" t="s">
        <v>36</v>
      </c>
      <c r="H550" t="s">
        <v>37</v>
      </c>
      <c r="I550">
        <v>4</v>
      </c>
      <c r="J550">
        <v>2</v>
      </c>
      <c r="K550" t="s">
        <v>44</v>
      </c>
      <c r="L550" t="s">
        <v>36</v>
      </c>
      <c r="M550" t="s">
        <v>37</v>
      </c>
      <c r="N550">
        <v>2</v>
      </c>
      <c r="O550" t="s">
        <v>53</v>
      </c>
      <c r="P550">
        <v>98</v>
      </c>
      <c r="Q550" t="s">
        <v>36</v>
      </c>
      <c r="R550" t="s">
        <v>37</v>
      </c>
      <c r="S550" t="s">
        <v>36</v>
      </c>
      <c r="T550" t="s">
        <v>40</v>
      </c>
      <c r="U550">
        <v>5</v>
      </c>
      <c r="V550" t="s">
        <v>40</v>
      </c>
      <c r="W550" t="s">
        <v>42</v>
      </c>
      <c r="X550" t="s">
        <v>37</v>
      </c>
      <c r="Y550" t="s">
        <v>43</v>
      </c>
      <c r="Z550" t="s">
        <v>36</v>
      </c>
      <c r="AA550">
        <v>1.87</v>
      </c>
      <c r="AB550" t="s">
        <v>37</v>
      </c>
      <c r="AC550">
        <v>3.5</v>
      </c>
      <c r="AD550">
        <v>32</v>
      </c>
      <c r="AE550">
        <v>20000</v>
      </c>
      <c r="AF550" t="str">
        <f>IF(Table1[[#This Row],[What is your current CGPA?]]&gt;=3.5,"High",IF(Table1[[#This Row],[What is your current CGPA?]]&gt;=2.5,"Medium","Low"))</f>
        <v>High</v>
      </c>
      <c r="AG550" t="str">
        <f>IF(AND(Table1[[#This Row],[Average attendance on class]]&lt;75,Table1[[#This Row],[How many hour do you study daily?]]&lt;1),"At Risk","Normal")</f>
        <v>Normal</v>
      </c>
      <c r="AH550">
        <f>(Table1[[#This Row],[Average attendance on class]]*0.4)+(Table1[[#This Row],[How many hour do you study daily?]]*10*0.3)+(Table1[[#This Row],[How many hour do you spent daily on your skill development?]]*10*0.3)</f>
        <v>66.2</v>
      </c>
    </row>
    <row r="551" spans="1:34" x14ac:dyDescent="0.25">
      <c r="A551">
        <v>2020</v>
      </c>
      <c r="B551" t="s">
        <v>34</v>
      </c>
      <c r="C551">
        <v>21</v>
      </c>
      <c r="D551">
        <v>2019</v>
      </c>
      <c r="E551" t="s">
        <v>35</v>
      </c>
      <c r="F551">
        <v>7</v>
      </c>
      <c r="G551" t="s">
        <v>37</v>
      </c>
      <c r="H551" t="s">
        <v>37</v>
      </c>
      <c r="I551">
        <v>1</v>
      </c>
      <c r="J551">
        <v>1</v>
      </c>
      <c r="K551" t="s">
        <v>38</v>
      </c>
      <c r="L551" t="s">
        <v>36</v>
      </c>
      <c r="M551" t="s">
        <v>36</v>
      </c>
      <c r="N551">
        <v>2</v>
      </c>
      <c r="O551" t="s">
        <v>39</v>
      </c>
      <c r="P551">
        <v>93</v>
      </c>
      <c r="Q551" t="s">
        <v>37</v>
      </c>
      <c r="R551" t="s">
        <v>37</v>
      </c>
      <c r="S551" t="s">
        <v>37</v>
      </c>
      <c r="T551" t="s">
        <v>40</v>
      </c>
      <c r="U551">
        <v>1</v>
      </c>
      <c r="V551" t="s">
        <v>40</v>
      </c>
      <c r="W551" t="s">
        <v>42</v>
      </c>
      <c r="X551" t="s">
        <v>37</v>
      </c>
      <c r="Y551" t="s">
        <v>47</v>
      </c>
      <c r="Z551" t="s">
        <v>37</v>
      </c>
      <c r="AA551">
        <v>2.68</v>
      </c>
      <c r="AB551" t="s">
        <v>37</v>
      </c>
      <c r="AC551">
        <v>3.15</v>
      </c>
      <c r="AD551">
        <v>77</v>
      </c>
      <c r="AE551">
        <v>40000</v>
      </c>
      <c r="AF551" t="str">
        <f>IF(Table1[[#This Row],[What is your current CGPA?]]&gt;=3.5,"High",IF(Table1[[#This Row],[What is your current CGPA?]]&gt;=2.5,"Medium","Low"))</f>
        <v>Medium</v>
      </c>
      <c r="AG551" t="str">
        <f>IF(AND(Table1[[#This Row],[Average attendance on class]]&lt;75,Table1[[#This Row],[How many hour do you study daily?]]&lt;1),"At Risk","Normal")</f>
        <v>Normal</v>
      </c>
      <c r="AH551">
        <f>(Table1[[#This Row],[Average attendance on class]]*0.4)+(Table1[[#This Row],[How many hour do you study daily?]]*10*0.3)+(Table1[[#This Row],[How many hour do you spent daily on your skill development?]]*10*0.3)</f>
        <v>43.2</v>
      </c>
    </row>
    <row r="552" spans="1:34" x14ac:dyDescent="0.25">
      <c r="A552">
        <v>2020</v>
      </c>
      <c r="B552" t="s">
        <v>48</v>
      </c>
      <c r="C552">
        <v>20</v>
      </c>
      <c r="D552">
        <v>2019</v>
      </c>
      <c r="E552" t="s">
        <v>35</v>
      </c>
      <c r="F552">
        <v>7</v>
      </c>
      <c r="G552" t="s">
        <v>36</v>
      </c>
      <c r="H552" t="s">
        <v>36</v>
      </c>
      <c r="I552">
        <v>4</v>
      </c>
      <c r="J552">
        <v>2</v>
      </c>
      <c r="K552" t="s">
        <v>44</v>
      </c>
      <c r="L552" t="s">
        <v>36</v>
      </c>
      <c r="M552" t="s">
        <v>36</v>
      </c>
      <c r="N552">
        <v>1</v>
      </c>
      <c r="O552" t="s">
        <v>39</v>
      </c>
      <c r="P552">
        <v>98</v>
      </c>
      <c r="Q552" t="s">
        <v>37</v>
      </c>
      <c r="R552" t="s">
        <v>37</v>
      </c>
      <c r="S552" t="s">
        <v>36</v>
      </c>
      <c r="T552" t="s">
        <v>40</v>
      </c>
      <c r="U552">
        <v>3</v>
      </c>
      <c r="V552" t="s">
        <v>40</v>
      </c>
      <c r="W552" t="s">
        <v>42</v>
      </c>
      <c r="X552" t="s">
        <v>36</v>
      </c>
      <c r="Y552" t="s">
        <v>47</v>
      </c>
      <c r="Z552" t="s">
        <v>37</v>
      </c>
      <c r="AA552">
        <v>3.96</v>
      </c>
      <c r="AB552" t="s">
        <v>37</v>
      </c>
      <c r="AC552">
        <v>3.99</v>
      </c>
      <c r="AD552">
        <v>76</v>
      </c>
      <c r="AE552">
        <v>25000</v>
      </c>
      <c r="AF552" t="str">
        <f>IF(Table1[[#This Row],[What is your current CGPA?]]&gt;=3.5,"High",IF(Table1[[#This Row],[What is your current CGPA?]]&gt;=2.5,"Medium","Low"))</f>
        <v>High</v>
      </c>
      <c r="AG552" t="str">
        <f>IF(AND(Table1[[#This Row],[Average attendance on class]]&lt;75,Table1[[#This Row],[How many hour do you study daily?]]&lt;1),"At Risk","Normal")</f>
        <v>Normal</v>
      </c>
      <c r="AH552">
        <f>(Table1[[#This Row],[Average attendance on class]]*0.4)+(Table1[[#This Row],[How many hour do you study daily?]]*10*0.3)+(Table1[[#This Row],[How many hour do you spent daily on your skill development?]]*10*0.3)</f>
        <v>60.2</v>
      </c>
    </row>
    <row r="553" spans="1:34" x14ac:dyDescent="0.25">
      <c r="A553">
        <v>2019</v>
      </c>
      <c r="B553" t="s">
        <v>34</v>
      </c>
      <c r="C553">
        <v>22</v>
      </c>
      <c r="D553">
        <v>2019</v>
      </c>
      <c r="E553" t="s">
        <v>35</v>
      </c>
      <c r="F553">
        <v>8</v>
      </c>
      <c r="G553" t="s">
        <v>36</v>
      </c>
      <c r="H553" t="s">
        <v>36</v>
      </c>
      <c r="I553">
        <v>4</v>
      </c>
      <c r="J553">
        <v>2</v>
      </c>
      <c r="K553" t="s">
        <v>44</v>
      </c>
      <c r="L553" t="s">
        <v>36</v>
      </c>
      <c r="M553" t="s">
        <v>36</v>
      </c>
      <c r="N553">
        <v>1</v>
      </c>
      <c r="O553" t="s">
        <v>39</v>
      </c>
      <c r="P553">
        <v>90</v>
      </c>
      <c r="Q553" t="s">
        <v>37</v>
      </c>
      <c r="R553" t="s">
        <v>37</v>
      </c>
      <c r="S553" t="s">
        <v>37</v>
      </c>
      <c r="T553" t="s">
        <v>40</v>
      </c>
      <c r="U553">
        <v>2</v>
      </c>
      <c r="V553" t="s">
        <v>40</v>
      </c>
      <c r="W553" t="s">
        <v>42</v>
      </c>
      <c r="X553" t="s">
        <v>37</v>
      </c>
      <c r="Y553" t="s">
        <v>47</v>
      </c>
      <c r="Z553" t="s">
        <v>36</v>
      </c>
      <c r="AA553">
        <v>3.68</v>
      </c>
      <c r="AB553" t="s">
        <v>37</v>
      </c>
      <c r="AC553">
        <v>3.73</v>
      </c>
      <c r="AD553">
        <v>84</v>
      </c>
      <c r="AE553">
        <v>62488</v>
      </c>
      <c r="AF553" t="str">
        <f>IF(Table1[[#This Row],[What is your current CGPA?]]&gt;=3.5,"High",IF(Table1[[#This Row],[What is your current CGPA?]]&gt;=2.5,"Medium","Low"))</f>
        <v>High</v>
      </c>
      <c r="AG553" t="str">
        <f>IF(AND(Table1[[#This Row],[Average attendance on class]]&lt;75,Table1[[#This Row],[How many hour do you study daily?]]&lt;1),"At Risk","Normal")</f>
        <v>Normal</v>
      </c>
      <c r="AH553">
        <f>(Table1[[#This Row],[Average attendance on class]]*0.4)+(Table1[[#This Row],[How many hour do you study daily?]]*10*0.3)+(Table1[[#This Row],[How many hour do you spent daily on your skill development?]]*10*0.3)</f>
        <v>54</v>
      </c>
    </row>
    <row r="554" spans="1:34" x14ac:dyDescent="0.25">
      <c r="A554">
        <v>2019</v>
      </c>
      <c r="B554" t="s">
        <v>34</v>
      </c>
      <c r="C554">
        <v>20</v>
      </c>
      <c r="D554">
        <v>2019</v>
      </c>
      <c r="E554" t="s">
        <v>35</v>
      </c>
      <c r="F554">
        <v>9</v>
      </c>
      <c r="G554" t="s">
        <v>36</v>
      </c>
      <c r="H554" t="s">
        <v>37</v>
      </c>
      <c r="I554">
        <v>5</v>
      </c>
      <c r="J554">
        <v>2</v>
      </c>
      <c r="K554" t="s">
        <v>38</v>
      </c>
      <c r="L554" t="s">
        <v>36</v>
      </c>
      <c r="M554" t="s">
        <v>36</v>
      </c>
      <c r="N554">
        <v>10</v>
      </c>
      <c r="O554" t="s">
        <v>45</v>
      </c>
      <c r="P554">
        <v>50</v>
      </c>
      <c r="Q554" t="s">
        <v>36</v>
      </c>
      <c r="R554" t="s">
        <v>37</v>
      </c>
      <c r="S554" t="s">
        <v>37</v>
      </c>
      <c r="T554" t="s">
        <v>40</v>
      </c>
      <c r="U554">
        <v>2</v>
      </c>
      <c r="V554" t="s">
        <v>40</v>
      </c>
      <c r="W554" t="s">
        <v>56</v>
      </c>
      <c r="X554" t="s">
        <v>36</v>
      </c>
      <c r="Y554" t="s">
        <v>43</v>
      </c>
      <c r="Z554" t="s">
        <v>37</v>
      </c>
      <c r="AA554">
        <v>3.35</v>
      </c>
      <c r="AB554" t="s">
        <v>37</v>
      </c>
      <c r="AC554">
        <v>2.2999999999999998</v>
      </c>
      <c r="AD554">
        <v>90</v>
      </c>
      <c r="AE554">
        <v>50000</v>
      </c>
      <c r="AF554" t="str">
        <f>IF(Table1[[#This Row],[What is your current CGPA?]]&gt;=3.5,"High",IF(Table1[[#This Row],[What is your current CGPA?]]&gt;=2.5,"Medium","Low"))</f>
        <v>Low</v>
      </c>
      <c r="AG554" t="str">
        <f>IF(AND(Table1[[#This Row],[Average attendance on class]]&lt;75,Table1[[#This Row],[How many hour do you study daily?]]&lt;1),"At Risk","Normal")</f>
        <v>Normal</v>
      </c>
      <c r="AH554">
        <f>(Table1[[#This Row],[Average attendance on class]]*0.4)+(Table1[[#This Row],[How many hour do you study daily?]]*10*0.3)+(Table1[[#This Row],[How many hour do you spent daily on your skill development?]]*10*0.3)</f>
        <v>41</v>
      </c>
    </row>
    <row r="555" spans="1:34" x14ac:dyDescent="0.25">
      <c r="A555">
        <v>2019</v>
      </c>
      <c r="B555" t="s">
        <v>34</v>
      </c>
      <c r="C555">
        <v>22</v>
      </c>
      <c r="D555">
        <v>2017</v>
      </c>
      <c r="E555" t="s">
        <v>35</v>
      </c>
      <c r="F555">
        <v>9</v>
      </c>
      <c r="G555" t="s">
        <v>37</v>
      </c>
      <c r="H555" t="s">
        <v>36</v>
      </c>
      <c r="I555">
        <v>4</v>
      </c>
      <c r="J555">
        <v>2</v>
      </c>
      <c r="K555" t="s">
        <v>38</v>
      </c>
      <c r="L555" t="s">
        <v>36</v>
      </c>
      <c r="M555" t="s">
        <v>36</v>
      </c>
      <c r="N555">
        <v>4</v>
      </c>
      <c r="O555" t="s">
        <v>39</v>
      </c>
      <c r="P555">
        <v>90</v>
      </c>
      <c r="Q555" t="s">
        <v>37</v>
      </c>
      <c r="R555" t="s">
        <v>37</v>
      </c>
      <c r="S555" t="s">
        <v>36</v>
      </c>
      <c r="T555" t="s">
        <v>40</v>
      </c>
      <c r="U555">
        <v>6</v>
      </c>
      <c r="V555" t="s">
        <v>40</v>
      </c>
      <c r="W555" t="s">
        <v>42</v>
      </c>
      <c r="X555" t="s">
        <v>36</v>
      </c>
      <c r="Y555" t="s">
        <v>47</v>
      </c>
      <c r="Z555" t="s">
        <v>37</v>
      </c>
      <c r="AA555">
        <v>2.04</v>
      </c>
      <c r="AB555" t="s">
        <v>37</v>
      </c>
      <c r="AC555">
        <v>2.86</v>
      </c>
      <c r="AD555">
        <v>93</v>
      </c>
      <c r="AE555">
        <v>50000</v>
      </c>
      <c r="AF555" t="str">
        <f>IF(Table1[[#This Row],[What is your current CGPA?]]&gt;=3.5,"High",IF(Table1[[#This Row],[What is your current CGPA?]]&gt;=2.5,"Medium","Low"))</f>
        <v>Medium</v>
      </c>
      <c r="AG555" t="str">
        <f>IF(AND(Table1[[#This Row],[Average attendance on class]]&lt;75,Table1[[#This Row],[How many hour do you study daily?]]&lt;1),"At Risk","Normal")</f>
        <v>Normal</v>
      </c>
      <c r="AH555">
        <f>(Table1[[#This Row],[Average attendance on class]]*0.4)+(Table1[[#This Row],[How many hour do you study daily?]]*10*0.3)+(Table1[[#This Row],[How many hour do you spent daily on your skill development?]]*10*0.3)</f>
        <v>66</v>
      </c>
    </row>
    <row r="556" spans="1:34" x14ac:dyDescent="0.25">
      <c r="A556">
        <v>2020</v>
      </c>
      <c r="B556" t="s">
        <v>34</v>
      </c>
      <c r="C556">
        <v>21</v>
      </c>
      <c r="D556">
        <v>2019</v>
      </c>
      <c r="E556" t="s">
        <v>35</v>
      </c>
      <c r="F556">
        <v>8</v>
      </c>
      <c r="G556" t="s">
        <v>36</v>
      </c>
      <c r="H556" t="s">
        <v>36</v>
      </c>
      <c r="I556">
        <v>0</v>
      </c>
      <c r="J556">
        <v>1</v>
      </c>
      <c r="K556" t="s">
        <v>38</v>
      </c>
      <c r="L556" t="s">
        <v>36</v>
      </c>
      <c r="M556" t="s">
        <v>36</v>
      </c>
      <c r="N556">
        <v>2</v>
      </c>
      <c r="O556" t="s">
        <v>53</v>
      </c>
      <c r="P556">
        <v>95</v>
      </c>
      <c r="Q556" t="s">
        <v>37</v>
      </c>
      <c r="R556" t="s">
        <v>37</v>
      </c>
      <c r="S556" t="s">
        <v>37</v>
      </c>
      <c r="T556" t="s">
        <v>40</v>
      </c>
      <c r="U556">
        <v>1</v>
      </c>
      <c r="V556" t="s">
        <v>40</v>
      </c>
      <c r="W556" t="s">
        <v>42</v>
      </c>
      <c r="X556" t="s">
        <v>37</v>
      </c>
      <c r="Y556" t="s">
        <v>47</v>
      </c>
      <c r="Z556" t="s">
        <v>37</v>
      </c>
      <c r="AA556">
        <v>3.74</v>
      </c>
      <c r="AB556" t="s">
        <v>37</v>
      </c>
      <c r="AC556">
        <v>3.67</v>
      </c>
      <c r="AD556">
        <v>90</v>
      </c>
      <c r="AE556">
        <v>30000</v>
      </c>
      <c r="AF556" t="str">
        <f>IF(Table1[[#This Row],[What is your current CGPA?]]&gt;=3.5,"High",IF(Table1[[#This Row],[What is your current CGPA?]]&gt;=2.5,"Medium","Low"))</f>
        <v>High</v>
      </c>
      <c r="AG556" t="str">
        <f>IF(AND(Table1[[#This Row],[Average attendance on class]]&lt;75,Table1[[#This Row],[How many hour do you study daily?]]&lt;1),"At Risk","Normal")</f>
        <v>Normal</v>
      </c>
      <c r="AH556">
        <f>(Table1[[#This Row],[Average attendance on class]]*0.4)+(Table1[[#This Row],[How many hour do you study daily?]]*10*0.3)+(Table1[[#This Row],[How many hour do you spent daily on your skill development?]]*10*0.3)</f>
        <v>41</v>
      </c>
    </row>
    <row r="557" spans="1:34" x14ac:dyDescent="0.25">
      <c r="A557">
        <v>2020</v>
      </c>
      <c r="B557" t="s">
        <v>48</v>
      </c>
      <c r="C557">
        <v>21</v>
      </c>
      <c r="D557">
        <v>2019</v>
      </c>
      <c r="E557" t="s">
        <v>35</v>
      </c>
      <c r="F557">
        <v>8</v>
      </c>
      <c r="G557" t="s">
        <v>37</v>
      </c>
      <c r="H557" t="s">
        <v>37</v>
      </c>
      <c r="I557">
        <v>4</v>
      </c>
      <c r="J557">
        <v>2</v>
      </c>
      <c r="K557" t="s">
        <v>38</v>
      </c>
      <c r="L557" t="s">
        <v>36</v>
      </c>
      <c r="M557" t="s">
        <v>36</v>
      </c>
      <c r="N557">
        <v>2</v>
      </c>
      <c r="O557" t="s">
        <v>39</v>
      </c>
      <c r="P557">
        <v>95</v>
      </c>
      <c r="Q557" t="s">
        <v>37</v>
      </c>
      <c r="R557" t="s">
        <v>37</v>
      </c>
      <c r="S557" t="s">
        <v>37</v>
      </c>
      <c r="T557" t="s">
        <v>40</v>
      </c>
      <c r="U557">
        <v>1</v>
      </c>
      <c r="V557" t="s">
        <v>40</v>
      </c>
      <c r="W557" t="s">
        <v>42</v>
      </c>
      <c r="X557" t="s">
        <v>37</v>
      </c>
      <c r="Y557" t="s">
        <v>43</v>
      </c>
      <c r="Z557" t="s">
        <v>37</v>
      </c>
      <c r="AA557">
        <v>3.75</v>
      </c>
      <c r="AB557" t="s">
        <v>37</v>
      </c>
      <c r="AC557">
        <v>3.75</v>
      </c>
      <c r="AD557">
        <v>110</v>
      </c>
      <c r="AE557">
        <v>250000</v>
      </c>
      <c r="AF557" t="str">
        <f>IF(Table1[[#This Row],[What is your current CGPA?]]&gt;=3.5,"High",IF(Table1[[#This Row],[What is your current CGPA?]]&gt;=2.5,"Medium","Low"))</f>
        <v>High</v>
      </c>
      <c r="AG557" t="str">
        <f>IF(AND(Table1[[#This Row],[Average attendance on class]]&lt;75,Table1[[#This Row],[How many hour do you study daily?]]&lt;1),"At Risk","Normal")</f>
        <v>Normal</v>
      </c>
      <c r="AH557">
        <f>(Table1[[#This Row],[Average attendance on class]]*0.4)+(Table1[[#This Row],[How many hour do you study daily?]]*10*0.3)+(Table1[[#This Row],[How many hour do you spent daily on your skill development?]]*10*0.3)</f>
        <v>53</v>
      </c>
    </row>
    <row r="558" spans="1:34" x14ac:dyDescent="0.25">
      <c r="A558">
        <v>2020</v>
      </c>
      <c r="B558" t="s">
        <v>48</v>
      </c>
      <c r="C558">
        <v>22</v>
      </c>
      <c r="D558">
        <v>2018</v>
      </c>
      <c r="E558" t="s">
        <v>35</v>
      </c>
      <c r="F558">
        <v>8</v>
      </c>
      <c r="G558" t="s">
        <v>37</v>
      </c>
      <c r="H558" t="s">
        <v>37</v>
      </c>
      <c r="I558">
        <v>2</v>
      </c>
      <c r="J558">
        <v>3</v>
      </c>
      <c r="K558" t="s">
        <v>38</v>
      </c>
      <c r="L558" t="s">
        <v>36</v>
      </c>
      <c r="M558" t="s">
        <v>36</v>
      </c>
      <c r="N558">
        <v>1</v>
      </c>
      <c r="O558" t="s">
        <v>39</v>
      </c>
      <c r="P558">
        <v>90</v>
      </c>
      <c r="Q558" t="s">
        <v>37</v>
      </c>
      <c r="R558" t="s">
        <v>37</v>
      </c>
      <c r="S558" t="s">
        <v>36</v>
      </c>
      <c r="T558" t="s">
        <v>40</v>
      </c>
      <c r="U558">
        <v>2</v>
      </c>
      <c r="V558" t="s">
        <v>41</v>
      </c>
      <c r="W558" t="s">
        <v>42</v>
      </c>
      <c r="X558" t="s">
        <v>37</v>
      </c>
      <c r="Y558" t="s">
        <v>43</v>
      </c>
      <c r="Z558" t="s">
        <v>37</v>
      </c>
      <c r="AA558">
        <v>3.3</v>
      </c>
      <c r="AB558" t="s">
        <v>37</v>
      </c>
      <c r="AC558">
        <v>3.26</v>
      </c>
      <c r="AD558">
        <v>86</v>
      </c>
      <c r="AE558">
        <v>50000</v>
      </c>
      <c r="AF558" t="str">
        <f>IF(Table1[[#This Row],[What is your current CGPA?]]&gt;=3.5,"High",IF(Table1[[#This Row],[What is your current CGPA?]]&gt;=2.5,"Medium","Low"))</f>
        <v>Medium</v>
      </c>
      <c r="AG558" t="str">
        <f>IF(AND(Table1[[#This Row],[Average attendance on class]]&lt;75,Table1[[#This Row],[How many hour do you study daily?]]&lt;1),"At Risk","Normal")</f>
        <v>Normal</v>
      </c>
      <c r="AH558">
        <f>(Table1[[#This Row],[Average attendance on class]]*0.4)+(Table1[[#This Row],[How many hour do you study daily?]]*10*0.3)+(Table1[[#This Row],[How many hour do you spent daily on your skill development?]]*10*0.3)</f>
        <v>48</v>
      </c>
    </row>
    <row r="559" spans="1:34" x14ac:dyDescent="0.25">
      <c r="A559">
        <v>2019</v>
      </c>
      <c r="B559" t="s">
        <v>34</v>
      </c>
      <c r="C559">
        <v>23</v>
      </c>
      <c r="D559">
        <v>2019</v>
      </c>
      <c r="E559" t="s">
        <v>35</v>
      </c>
      <c r="F559">
        <v>8</v>
      </c>
      <c r="G559" t="s">
        <v>36</v>
      </c>
      <c r="H559" t="s">
        <v>37</v>
      </c>
      <c r="I559">
        <v>5</v>
      </c>
      <c r="J559">
        <v>3</v>
      </c>
      <c r="K559" t="s">
        <v>38</v>
      </c>
      <c r="L559" t="s">
        <v>36</v>
      </c>
      <c r="M559" t="s">
        <v>36</v>
      </c>
      <c r="N559">
        <v>4</v>
      </c>
      <c r="O559" t="s">
        <v>39</v>
      </c>
      <c r="P559">
        <v>98</v>
      </c>
      <c r="Q559" t="s">
        <v>37</v>
      </c>
      <c r="R559" t="s">
        <v>37</v>
      </c>
      <c r="S559" t="s">
        <v>36</v>
      </c>
      <c r="T559" t="s">
        <v>40</v>
      </c>
      <c r="U559">
        <v>3</v>
      </c>
      <c r="V559" t="s">
        <v>51</v>
      </c>
      <c r="W559" t="s">
        <v>42</v>
      </c>
      <c r="X559" t="s">
        <v>36</v>
      </c>
      <c r="Y559" t="s">
        <v>43</v>
      </c>
      <c r="Z559" t="s">
        <v>36</v>
      </c>
      <c r="AA559">
        <v>3.72</v>
      </c>
      <c r="AB559" t="s">
        <v>37</v>
      </c>
      <c r="AC559">
        <v>3.45</v>
      </c>
      <c r="AD559">
        <v>90</v>
      </c>
      <c r="AE559">
        <v>25000</v>
      </c>
      <c r="AF559" t="str">
        <f>IF(Table1[[#This Row],[What is your current CGPA?]]&gt;=3.5,"High",IF(Table1[[#This Row],[What is your current CGPA?]]&gt;=2.5,"Medium","Low"))</f>
        <v>Medium</v>
      </c>
      <c r="AG559" t="str">
        <f>IF(AND(Table1[[#This Row],[Average attendance on class]]&lt;75,Table1[[#This Row],[How many hour do you study daily?]]&lt;1),"At Risk","Normal")</f>
        <v>Normal</v>
      </c>
      <c r="AH559">
        <f>(Table1[[#This Row],[Average attendance on class]]*0.4)+(Table1[[#This Row],[How many hour do you study daily?]]*10*0.3)+(Table1[[#This Row],[How many hour do you spent daily on your skill development?]]*10*0.3)</f>
        <v>63.2</v>
      </c>
    </row>
    <row r="560" spans="1:34" x14ac:dyDescent="0.25">
      <c r="A560">
        <v>2019</v>
      </c>
      <c r="B560" t="s">
        <v>34</v>
      </c>
      <c r="C560">
        <v>24</v>
      </c>
      <c r="D560">
        <v>2018</v>
      </c>
      <c r="E560" t="s">
        <v>35</v>
      </c>
      <c r="F560">
        <v>8</v>
      </c>
      <c r="G560" t="s">
        <v>37</v>
      </c>
      <c r="H560" t="s">
        <v>37</v>
      </c>
      <c r="I560">
        <v>4</v>
      </c>
      <c r="J560">
        <v>2</v>
      </c>
      <c r="K560" t="s">
        <v>38</v>
      </c>
      <c r="L560" t="s">
        <v>36</v>
      </c>
      <c r="M560" t="s">
        <v>36</v>
      </c>
      <c r="N560">
        <v>3</v>
      </c>
      <c r="O560" t="s">
        <v>39</v>
      </c>
      <c r="P560">
        <v>88</v>
      </c>
      <c r="Q560" t="s">
        <v>37</v>
      </c>
      <c r="R560" t="s">
        <v>37</v>
      </c>
      <c r="S560" t="s">
        <v>36</v>
      </c>
      <c r="T560" t="s">
        <v>40</v>
      </c>
      <c r="U560">
        <v>2</v>
      </c>
      <c r="V560" t="s">
        <v>52</v>
      </c>
      <c r="W560" t="s">
        <v>42</v>
      </c>
      <c r="X560" t="s">
        <v>36</v>
      </c>
      <c r="Y560" t="s">
        <v>43</v>
      </c>
      <c r="Z560" t="s">
        <v>37</v>
      </c>
      <c r="AA560">
        <v>3.21</v>
      </c>
      <c r="AB560" t="s">
        <v>37</v>
      </c>
      <c r="AC560">
        <v>3.42</v>
      </c>
      <c r="AD560">
        <v>85</v>
      </c>
      <c r="AE560">
        <v>40000</v>
      </c>
      <c r="AF560" t="str">
        <f>IF(Table1[[#This Row],[What is your current CGPA?]]&gt;=3.5,"High",IF(Table1[[#This Row],[What is your current CGPA?]]&gt;=2.5,"Medium","Low"))</f>
        <v>Medium</v>
      </c>
      <c r="AG560" t="str">
        <f>IF(AND(Table1[[#This Row],[Average attendance on class]]&lt;75,Table1[[#This Row],[How many hour do you study daily?]]&lt;1),"At Risk","Normal")</f>
        <v>Normal</v>
      </c>
      <c r="AH560">
        <f>(Table1[[#This Row],[Average attendance on class]]*0.4)+(Table1[[#This Row],[How many hour do you study daily?]]*10*0.3)+(Table1[[#This Row],[How many hour do you spent daily on your skill development?]]*10*0.3)</f>
        <v>53.2</v>
      </c>
    </row>
    <row r="561" spans="1:34" x14ac:dyDescent="0.25">
      <c r="A561">
        <v>2020</v>
      </c>
      <c r="B561" t="s">
        <v>48</v>
      </c>
      <c r="C561">
        <v>21</v>
      </c>
      <c r="D561">
        <v>2018</v>
      </c>
      <c r="E561" t="s">
        <v>35</v>
      </c>
      <c r="F561">
        <v>7</v>
      </c>
      <c r="G561" t="s">
        <v>36</v>
      </c>
      <c r="H561" t="s">
        <v>36</v>
      </c>
      <c r="I561">
        <v>1</v>
      </c>
      <c r="J561">
        <v>1</v>
      </c>
      <c r="K561" t="s">
        <v>38</v>
      </c>
      <c r="L561" t="s">
        <v>36</v>
      </c>
      <c r="M561" t="s">
        <v>36</v>
      </c>
      <c r="N561">
        <v>3</v>
      </c>
      <c r="O561" t="s">
        <v>39</v>
      </c>
      <c r="P561">
        <v>97</v>
      </c>
      <c r="Q561" t="s">
        <v>37</v>
      </c>
      <c r="R561" t="s">
        <v>37</v>
      </c>
      <c r="S561" t="s">
        <v>37</v>
      </c>
      <c r="T561" t="s">
        <v>98</v>
      </c>
      <c r="U561">
        <v>0</v>
      </c>
      <c r="V561" t="s">
        <v>49</v>
      </c>
      <c r="W561" t="s">
        <v>56</v>
      </c>
      <c r="X561" t="s">
        <v>36</v>
      </c>
      <c r="Y561" t="s">
        <v>47</v>
      </c>
      <c r="Z561" t="s">
        <v>37</v>
      </c>
      <c r="AA561">
        <v>3.64</v>
      </c>
      <c r="AB561" t="s">
        <v>37</v>
      </c>
      <c r="AC561">
        <v>3.65</v>
      </c>
      <c r="AD561">
        <v>76</v>
      </c>
      <c r="AE561">
        <v>60000</v>
      </c>
      <c r="AF561" t="str">
        <f>IF(Table1[[#This Row],[What is your current CGPA?]]&gt;=3.5,"High",IF(Table1[[#This Row],[What is your current CGPA?]]&gt;=2.5,"Medium","Low"))</f>
        <v>High</v>
      </c>
      <c r="AG561" t="str">
        <f>IF(AND(Table1[[#This Row],[Average attendance on class]]&lt;75,Table1[[#This Row],[How many hour do you study daily?]]&lt;1),"At Risk","Normal")</f>
        <v>Normal</v>
      </c>
      <c r="AH561">
        <f>(Table1[[#This Row],[Average attendance on class]]*0.4)+(Table1[[#This Row],[How many hour do you study daily?]]*10*0.3)+(Table1[[#This Row],[How many hour do you spent daily on your skill development?]]*10*0.3)</f>
        <v>41.800000000000004</v>
      </c>
    </row>
    <row r="562" spans="1:34" x14ac:dyDescent="0.25">
      <c r="A562">
        <v>2020</v>
      </c>
      <c r="B562" t="s">
        <v>48</v>
      </c>
      <c r="C562">
        <v>22</v>
      </c>
      <c r="D562">
        <v>2018</v>
      </c>
      <c r="E562" t="s">
        <v>35</v>
      </c>
      <c r="F562">
        <v>8</v>
      </c>
      <c r="G562" t="s">
        <v>36</v>
      </c>
      <c r="H562" t="s">
        <v>36</v>
      </c>
      <c r="I562">
        <v>3</v>
      </c>
      <c r="J562">
        <v>1</v>
      </c>
      <c r="K562" t="s">
        <v>38</v>
      </c>
      <c r="L562" t="s">
        <v>36</v>
      </c>
      <c r="M562" t="s">
        <v>36</v>
      </c>
      <c r="N562">
        <v>5</v>
      </c>
      <c r="O562" t="s">
        <v>53</v>
      </c>
      <c r="P562">
        <v>90</v>
      </c>
      <c r="Q562" t="s">
        <v>37</v>
      </c>
      <c r="R562" t="s">
        <v>37</v>
      </c>
      <c r="S562" t="s">
        <v>37</v>
      </c>
      <c r="T562" t="s">
        <v>99</v>
      </c>
      <c r="U562">
        <v>2</v>
      </c>
      <c r="V562" t="s">
        <v>51</v>
      </c>
      <c r="W562" t="s">
        <v>50</v>
      </c>
      <c r="X562" t="s">
        <v>37</v>
      </c>
      <c r="Y562" t="s">
        <v>47</v>
      </c>
      <c r="Z562" t="s">
        <v>36</v>
      </c>
      <c r="AA562">
        <v>2.86</v>
      </c>
      <c r="AB562" t="s">
        <v>37</v>
      </c>
      <c r="AC562">
        <v>3.42</v>
      </c>
      <c r="AD562">
        <v>87</v>
      </c>
      <c r="AE562">
        <v>50000</v>
      </c>
      <c r="AF562" t="str">
        <f>IF(Table1[[#This Row],[What is your current CGPA?]]&gt;=3.5,"High",IF(Table1[[#This Row],[What is your current CGPA?]]&gt;=2.5,"Medium","Low"))</f>
        <v>Medium</v>
      </c>
      <c r="AG562" t="str">
        <f>IF(AND(Table1[[#This Row],[Average attendance on class]]&lt;75,Table1[[#This Row],[How many hour do you study daily?]]&lt;1),"At Risk","Normal")</f>
        <v>Normal</v>
      </c>
      <c r="AH562">
        <f>(Table1[[#This Row],[Average attendance on class]]*0.4)+(Table1[[#This Row],[How many hour do you study daily?]]*10*0.3)+(Table1[[#This Row],[How many hour do you spent daily on your skill development?]]*10*0.3)</f>
        <v>51</v>
      </c>
    </row>
    <row r="563" spans="1:34" x14ac:dyDescent="0.25">
      <c r="A563">
        <v>2019</v>
      </c>
      <c r="B563" t="s">
        <v>34</v>
      </c>
      <c r="C563">
        <v>22</v>
      </c>
      <c r="D563">
        <v>2018</v>
      </c>
      <c r="E563" t="s">
        <v>35</v>
      </c>
      <c r="F563">
        <v>8</v>
      </c>
      <c r="G563" t="s">
        <v>36</v>
      </c>
      <c r="H563" t="s">
        <v>36</v>
      </c>
      <c r="I563">
        <v>4</v>
      </c>
      <c r="J563">
        <v>2</v>
      </c>
      <c r="K563" t="s">
        <v>38</v>
      </c>
      <c r="L563" t="s">
        <v>36</v>
      </c>
      <c r="M563" t="s">
        <v>36</v>
      </c>
      <c r="N563">
        <v>1</v>
      </c>
      <c r="O563" t="s">
        <v>39</v>
      </c>
      <c r="P563">
        <v>90</v>
      </c>
      <c r="Q563" t="s">
        <v>37</v>
      </c>
      <c r="R563" t="s">
        <v>37</v>
      </c>
      <c r="S563" t="s">
        <v>36</v>
      </c>
      <c r="T563" t="s">
        <v>40</v>
      </c>
      <c r="U563">
        <v>2</v>
      </c>
      <c r="V563" t="s">
        <v>40</v>
      </c>
      <c r="W563" t="s">
        <v>42</v>
      </c>
      <c r="X563" t="s">
        <v>37</v>
      </c>
      <c r="Y563" t="s">
        <v>47</v>
      </c>
      <c r="Z563" t="s">
        <v>37</v>
      </c>
      <c r="AA563">
        <v>3.78</v>
      </c>
      <c r="AB563" t="s">
        <v>37</v>
      </c>
      <c r="AC563">
        <v>3.88</v>
      </c>
      <c r="AD563">
        <v>93</v>
      </c>
      <c r="AE563">
        <v>30000</v>
      </c>
      <c r="AF563" t="str">
        <f>IF(Table1[[#This Row],[What is your current CGPA?]]&gt;=3.5,"High",IF(Table1[[#This Row],[What is your current CGPA?]]&gt;=2.5,"Medium","Low"))</f>
        <v>High</v>
      </c>
      <c r="AG563" t="str">
        <f>IF(AND(Table1[[#This Row],[Average attendance on class]]&lt;75,Table1[[#This Row],[How many hour do you study daily?]]&lt;1),"At Risk","Normal")</f>
        <v>Normal</v>
      </c>
      <c r="AH563">
        <f>(Table1[[#This Row],[Average attendance on class]]*0.4)+(Table1[[#This Row],[How many hour do you study daily?]]*10*0.3)+(Table1[[#This Row],[How many hour do you spent daily on your skill development?]]*10*0.3)</f>
        <v>54</v>
      </c>
    </row>
    <row r="564" spans="1:34" x14ac:dyDescent="0.25">
      <c r="A564">
        <v>2016</v>
      </c>
      <c r="B564" t="s">
        <v>34</v>
      </c>
      <c r="C564">
        <v>24</v>
      </c>
      <c r="D564">
        <v>2014</v>
      </c>
      <c r="E564" t="s">
        <v>35</v>
      </c>
      <c r="F564">
        <v>13</v>
      </c>
      <c r="G564" t="s">
        <v>37</v>
      </c>
      <c r="H564" t="s">
        <v>36</v>
      </c>
      <c r="I564">
        <v>5</v>
      </c>
      <c r="J564">
        <v>2</v>
      </c>
      <c r="K564" t="s">
        <v>38</v>
      </c>
      <c r="L564" t="s">
        <v>36</v>
      </c>
      <c r="M564" t="s">
        <v>36</v>
      </c>
      <c r="N564">
        <v>5</v>
      </c>
      <c r="O564" t="s">
        <v>45</v>
      </c>
      <c r="P564">
        <v>99</v>
      </c>
      <c r="Q564" t="s">
        <v>36</v>
      </c>
      <c r="R564" t="s">
        <v>37</v>
      </c>
      <c r="S564" t="s">
        <v>37</v>
      </c>
      <c r="T564" t="s">
        <v>40</v>
      </c>
      <c r="U564">
        <v>2</v>
      </c>
      <c r="V564" t="s">
        <v>40</v>
      </c>
      <c r="W564" t="s">
        <v>42</v>
      </c>
      <c r="X564" t="s">
        <v>36</v>
      </c>
      <c r="Y564" t="s">
        <v>43</v>
      </c>
      <c r="Z564" t="s">
        <v>37</v>
      </c>
      <c r="AA564">
        <v>2.66</v>
      </c>
      <c r="AB564" t="s">
        <v>37</v>
      </c>
      <c r="AC564">
        <v>2.76</v>
      </c>
      <c r="AD564">
        <v>115</v>
      </c>
      <c r="AE564">
        <v>50000</v>
      </c>
      <c r="AF564" t="str">
        <f>IF(Table1[[#This Row],[What is your current CGPA?]]&gt;=3.5,"High",IF(Table1[[#This Row],[What is your current CGPA?]]&gt;=2.5,"Medium","Low"))</f>
        <v>Medium</v>
      </c>
      <c r="AG564" t="str">
        <f>IF(AND(Table1[[#This Row],[Average attendance on class]]&lt;75,Table1[[#This Row],[How many hour do you study daily?]]&lt;1),"At Risk","Normal")</f>
        <v>Normal</v>
      </c>
      <c r="AH564">
        <f>(Table1[[#This Row],[Average attendance on class]]*0.4)+(Table1[[#This Row],[How many hour do you study daily?]]*10*0.3)+(Table1[[#This Row],[How many hour do you spent daily on your skill development?]]*10*0.3)</f>
        <v>60.6</v>
      </c>
    </row>
    <row r="565" spans="1:34" x14ac:dyDescent="0.25">
      <c r="A565">
        <v>2020</v>
      </c>
      <c r="B565" t="s">
        <v>48</v>
      </c>
      <c r="C565">
        <v>21</v>
      </c>
      <c r="D565">
        <v>2019</v>
      </c>
      <c r="E565" t="s">
        <v>35</v>
      </c>
      <c r="F565">
        <v>8</v>
      </c>
      <c r="G565" t="s">
        <v>37</v>
      </c>
      <c r="H565" t="s">
        <v>36</v>
      </c>
      <c r="I565">
        <v>2</v>
      </c>
      <c r="J565">
        <v>2</v>
      </c>
      <c r="K565" t="s">
        <v>38</v>
      </c>
      <c r="L565" t="s">
        <v>36</v>
      </c>
      <c r="M565" t="s">
        <v>36</v>
      </c>
      <c r="N565">
        <v>3</v>
      </c>
      <c r="O565" t="s">
        <v>53</v>
      </c>
      <c r="P565">
        <v>90</v>
      </c>
      <c r="Q565" t="s">
        <v>37</v>
      </c>
      <c r="R565" t="s">
        <v>37</v>
      </c>
      <c r="S565" t="s">
        <v>37</v>
      </c>
      <c r="T565" t="s">
        <v>40</v>
      </c>
      <c r="U565">
        <v>1</v>
      </c>
      <c r="V565" t="s">
        <v>40</v>
      </c>
      <c r="W565" t="s">
        <v>56</v>
      </c>
      <c r="X565" t="s">
        <v>36</v>
      </c>
      <c r="Y565" t="s">
        <v>47</v>
      </c>
      <c r="Z565" t="s">
        <v>37</v>
      </c>
      <c r="AA565">
        <v>3.04</v>
      </c>
      <c r="AB565" t="s">
        <v>37</v>
      </c>
      <c r="AC565">
        <v>2.87</v>
      </c>
      <c r="AD565">
        <v>85</v>
      </c>
      <c r="AE565">
        <v>100000</v>
      </c>
      <c r="AF565" t="str">
        <f>IF(Table1[[#This Row],[What is your current CGPA?]]&gt;=3.5,"High",IF(Table1[[#This Row],[What is your current CGPA?]]&gt;=2.5,"Medium","Low"))</f>
        <v>Medium</v>
      </c>
      <c r="AG565" t="str">
        <f>IF(AND(Table1[[#This Row],[Average attendance on class]]&lt;75,Table1[[#This Row],[How many hour do you study daily?]]&lt;1),"At Risk","Normal")</f>
        <v>Normal</v>
      </c>
      <c r="AH565">
        <f>(Table1[[#This Row],[Average attendance on class]]*0.4)+(Table1[[#This Row],[How many hour do you study daily?]]*10*0.3)+(Table1[[#This Row],[How many hour do you spent daily on your skill development?]]*10*0.3)</f>
        <v>45</v>
      </c>
    </row>
    <row r="566" spans="1:34" x14ac:dyDescent="0.25">
      <c r="A566">
        <v>2020</v>
      </c>
      <c r="B566" t="s">
        <v>34</v>
      </c>
      <c r="C566">
        <v>20</v>
      </c>
      <c r="D566">
        <v>2019</v>
      </c>
      <c r="E566" t="s">
        <v>35</v>
      </c>
      <c r="F566">
        <v>8</v>
      </c>
      <c r="G566" t="s">
        <v>37</v>
      </c>
      <c r="H566" t="s">
        <v>37</v>
      </c>
      <c r="I566">
        <v>1</v>
      </c>
      <c r="J566">
        <v>1</v>
      </c>
      <c r="K566" t="s">
        <v>38</v>
      </c>
      <c r="L566" t="s">
        <v>36</v>
      </c>
      <c r="M566" t="s">
        <v>36</v>
      </c>
      <c r="N566">
        <v>4</v>
      </c>
      <c r="O566" t="s">
        <v>39</v>
      </c>
      <c r="P566">
        <v>80</v>
      </c>
      <c r="Q566" t="s">
        <v>37</v>
      </c>
      <c r="R566" t="s">
        <v>37</v>
      </c>
      <c r="S566" t="s">
        <v>37</v>
      </c>
      <c r="T566" t="s">
        <v>40</v>
      </c>
      <c r="U566">
        <v>1</v>
      </c>
      <c r="V566" t="s">
        <v>40</v>
      </c>
      <c r="W566" t="s">
        <v>42</v>
      </c>
      <c r="X566" t="s">
        <v>37</v>
      </c>
      <c r="Y566" t="s">
        <v>47</v>
      </c>
      <c r="Z566" t="s">
        <v>37</v>
      </c>
      <c r="AA566">
        <v>1.76</v>
      </c>
      <c r="AB566" t="s">
        <v>37</v>
      </c>
      <c r="AC566">
        <v>2.5499999999999998</v>
      </c>
      <c r="AD566">
        <v>64</v>
      </c>
      <c r="AE566">
        <v>35000</v>
      </c>
      <c r="AF566" t="str">
        <f>IF(Table1[[#This Row],[What is your current CGPA?]]&gt;=3.5,"High",IF(Table1[[#This Row],[What is your current CGPA?]]&gt;=2.5,"Medium","Low"))</f>
        <v>Medium</v>
      </c>
      <c r="AG566" t="str">
        <f>IF(AND(Table1[[#This Row],[Average attendance on class]]&lt;75,Table1[[#This Row],[How many hour do you study daily?]]&lt;1),"At Risk","Normal")</f>
        <v>Normal</v>
      </c>
      <c r="AH566">
        <f>(Table1[[#This Row],[Average attendance on class]]*0.4)+(Table1[[#This Row],[How many hour do you study daily?]]*10*0.3)+(Table1[[#This Row],[How many hour do you spent daily on your skill development?]]*10*0.3)</f>
        <v>38</v>
      </c>
    </row>
    <row r="567" spans="1:34" x14ac:dyDescent="0.25">
      <c r="A567">
        <v>2020</v>
      </c>
      <c r="B567" t="s">
        <v>34</v>
      </c>
      <c r="C567">
        <v>22</v>
      </c>
      <c r="D567">
        <v>2019</v>
      </c>
      <c r="E567" t="s">
        <v>35</v>
      </c>
      <c r="F567">
        <v>8</v>
      </c>
      <c r="G567" t="s">
        <v>36</v>
      </c>
      <c r="H567" t="s">
        <v>36</v>
      </c>
      <c r="I567">
        <v>3</v>
      </c>
      <c r="J567">
        <v>3</v>
      </c>
      <c r="K567" t="s">
        <v>44</v>
      </c>
      <c r="L567" t="s">
        <v>36</v>
      </c>
      <c r="M567" t="s">
        <v>36</v>
      </c>
      <c r="N567">
        <v>2</v>
      </c>
      <c r="O567" t="s">
        <v>53</v>
      </c>
      <c r="P567">
        <v>98</v>
      </c>
      <c r="Q567" t="s">
        <v>37</v>
      </c>
      <c r="R567" t="s">
        <v>37</v>
      </c>
      <c r="S567" t="s">
        <v>36</v>
      </c>
      <c r="T567" t="s">
        <v>40</v>
      </c>
      <c r="U567">
        <v>2</v>
      </c>
      <c r="V567" t="s">
        <v>40</v>
      </c>
      <c r="W567" t="s">
        <v>42</v>
      </c>
      <c r="X567" t="s">
        <v>37</v>
      </c>
      <c r="Y567" t="s">
        <v>47</v>
      </c>
      <c r="Z567" t="s">
        <v>37</v>
      </c>
      <c r="AA567">
        <v>3.15</v>
      </c>
      <c r="AB567" t="s">
        <v>37</v>
      </c>
      <c r="AC567">
        <v>3.71</v>
      </c>
      <c r="AD567">
        <v>84</v>
      </c>
      <c r="AE567">
        <v>5000</v>
      </c>
      <c r="AF567" t="str">
        <f>IF(Table1[[#This Row],[What is your current CGPA?]]&gt;=3.5,"High",IF(Table1[[#This Row],[What is your current CGPA?]]&gt;=2.5,"Medium","Low"))</f>
        <v>High</v>
      </c>
      <c r="AG567" t="str">
        <f>IF(AND(Table1[[#This Row],[Average attendance on class]]&lt;75,Table1[[#This Row],[How many hour do you study daily?]]&lt;1),"At Risk","Normal")</f>
        <v>Normal</v>
      </c>
      <c r="AH567">
        <f>(Table1[[#This Row],[Average attendance on class]]*0.4)+(Table1[[#This Row],[How many hour do you study daily?]]*10*0.3)+(Table1[[#This Row],[How many hour do you spent daily on your skill development?]]*10*0.3)</f>
        <v>54.2</v>
      </c>
    </row>
    <row r="568" spans="1:34" x14ac:dyDescent="0.25">
      <c r="A568">
        <v>2020</v>
      </c>
      <c r="B568" t="s">
        <v>34</v>
      </c>
      <c r="C568">
        <v>22</v>
      </c>
      <c r="D568">
        <v>2019</v>
      </c>
      <c r="E568" t="s">
        <v>35</v>
      </c>
      <c r="F568">
        <v>8</v>
      </c>
      <c r="G568" t="s">
        <v>36</v>
      </c>
      <c r="H568" t="s">
        <v>36</v>
      </c>
      <c r="I568">
        <v>2</v>
      </c>
      <c r="J568">
        <v>2</v>
      </c>
      <c r="K568" t="s">
        <v>38</v>
      </c>
      <c r="L568" t="s">
        <v>36</v>
      </c>
      <c r="M568" t="s">
        <v>36</v>
      </c>
      <c r="N568">
        <v>1</v>
      </c>
      <c r="O568" t="s">
        <v>39</v>
      </c>
      <c r="P568">
        <v>100</v>
      </c>
      <c r="Q568" t="s">
        <v>37</v>
      </c>
      <c r="R568" t="s">
        <v>37</v>
      </c>
      <c r="S568" t="s">
        <v>36</v>
      </c>
      <c r="T568" t="s">
        <v>40</v>
      </c>
      <c r="U568">
        <v>4</v>
      </c>
      <c r="V568" t="s">
        <v>40</v>
      </c>
      <c r="W568" t="s">
        <v>42</v>
      </c>
      <c r="X568" t="s">
        <v>37</v>
      </c>
      <c r="Y568" t="s">
        <v>43</v>
      </c>
      <c r="Z568" t="s">
        <v>37</v>
      </c>
      <c r="AA568">
        <v>4</v>
      </c>
      <c r="AB568" t="s">
        <v>37</v>
      </c>
      <c r="AC568">
        <v>3.62</v>
      </c>
      <c r="AD568">
        <v>86</v>
      </c>
      <c r="AE568">
        <v>50000</v>
      </c>
      <c r="AF568" t="str">
        <f>IF(Table1[[#This Row],[What is your current CGPA?]]&gt;=3.5,"High",IF(Table1[[#This Row],[What is your current CGPA?]]&gt;=2.5,"Medium","Low"))</f>
        <v>High</v>
      </c>
      <c r="AG568" t="str">
        <f>IF(AND(Table1[[#This Row],[Average attendance on class]]&lt;75,Table1[[#This Row],[How many hour do you study daily?]]&lt;1),"At Risk","Normal")</f>
        <v>Normal</v>
      </c>
      <c r="AH568">
        <f>(Table1[[#This Row],[Average attendance on class]]*0.4)+(Table1[[#This Row],[How many hour do you study daily?]]*10*0.3)+(Table1[[#This Row],[How many hour do you spent daily on your skill development?]]*10*0.3)</f>
        <v>58</v>
      </c>
    </row>
    <row r="569" spans="1:34" x14ac:dyDescent="0.25">
      <c r="A569">
        <v>2022</v>
      </c>
      <c r="B569" t="s">
        <v>48</v>
      </c>
      <c r="C569">
        <v>20</v>
      </c>
      <c r="D569">
        <v>2020</v>
      </c>
      <c r="E569" t="s">
        <v>35</v>
      </c>
      <c r="F569">
        <v>2</v>
      </c>
      <c r="G569" t="s">
        <v>37</v>
      </c>
      <c r="H569" t="s">
        <v>36</v>
      </c>
      <c r="I569">
        <v>3</v>
      </c>
      <c r="J569">
        <v>1</v>
      </c>
      <c r="K569" t="s">
        <v>38</v>
      </c>
      <c r="L569" t="s">
        <v>36</v>
      </c>
      <c r="M569" t="s">
        <v>36</v>
      </c>
      <c r="N569">
        <v>2</v>
      </c>
      <c r="O569" t="s">
        <v>39</v>
      </c>
      <c r="P569">
        <v>100</v>
      </c>
      <c r="Q569" t="s">
        <v>37</v>
      </c>
      <c r="R569" t="s">
        <v>37</v>
      </c>
      <c r="S569" t="s">
        <v>37</v>
      </c>
      <c r="T569" t="s">
        <v>40</v>
      </c>
      <c r="U569">
        <v>3</v>
      </c>
      <c r="V569" t="s">
        <v>40</v>
      </c>
      <c r="W569" t="s">
        <v>42</v>
      </c>
      <c r="X569" t="s">
        <v>37</v>
      </c>
      <c r="Y569" t="s">
        <v>47</v>
      </c>
      <c r="Z569" t="s">
        <v>37</v>
      </c>
      <c r="AA569">
        <v>3.58</v>
      </c>
      <c r="AB569" t="s">
        <v>37</v>
      </c>
      <c r="AC569">
        <v>3.58</v>
      </c>
      <c r="AD569">
        <v>14</v>
      </c>
      <c r="AE569">
        <v>45000</v>
      </c>
      <c r="AF569" t="str">
        <f>IF(Table1[[#This Row],[What is your current CGPA?]]&gt;=3.5,"High",IF(Table1[[#This Row],[What is your current CGPA?]]&gt;=2.5,"Medium","Low"))</f>
        <v>High</v>
      </c>
      <c r="AG569" t="str">
        <f>IF(AND(Table1[[#This Row],[Average attendance on class]]&lt;75,Table1[[#This Row],[How many hour do you study daily?]]&lt;1),"At Risk","Normal")</f>
        <v>Normal</v>
      </c>
      <c r="AH569">
        <f>(Table1[[#This Row],[Average attendance on class]]*0.4)+(Table1[[#This Row],[How many hour do you study daily?]]*10*0.3)+(Table1[[#This Row],[How many hour do you spent daily on your skill development?]]*10*0.3)</f>
        <v>58</v>
      </c>
    </row>
    <row r="570" spans="1:34" x14ac:dyDescent="0.25">
      <c r="A570">
        <v>2022</v>
      </c>
      <c r="B570" t="s">
        <v>34</v>
      </c>
      <c r="C570">
        <v>21</v>
      </c>
      <c r="D570">
        <v>2019</v>
      </c>
      <c r="E570" t="s">
        <v>35</v>
      </c>
      <c r="F570">
        <v>1</v>
      </c>
      <c r="G570" t="s">
        <v>37</v>
      </c>
      <c r="H570" t="s">
        <v>36</v>
      </c>
      <c r="I570">
        <v>6</v>
      </c>
      <c r="J570">
        <v>2</v>
      </c>
      <c r="K570" t="s">
        <v>38</v>
      </c>
      <c r="L570" t="s">
        <v>36</v>
      </c>
      <c r="M570" t="s">
        <v>36</v>
      </c>
      <c r="N570">
        <v>2</v>
      </c>
      <c r="O570" t="s">
        <v>39</v>
      </c>
      <c r="P570">
        <v>88</v>
      </c>
      <c r="Q570" t="s">
        <v>37</v>
      </c>
      <c r="R570" t="s">
        <v>37</v>
      </c>
      <c r="S570" t="s">
        <v>37</v>
      </c>
      <c r="T570" t="s">
        <v>40</v>
      </c>
      <c r="U570">
        <v>2</v>
      </c>
      <c r="V570" t="s">
        <v>40</v>
      </c>
      <c r="W570" t="s">
        <v>42</v>
      </c>
      <c r="X570" t="s">
        <v>36</v>
      </c>
      <c r="Y570" t="s">
        <v>47</v>
      </c>
      <c r="Z570" t="s">
        <v>36</v>
      </c>
      <c r="AA570">
        <v>3.4</v>
      </c>
      <c r="AB570" t="s">
        <v>37</v>
      </c>
      <c r="AC570">
        <v>3.4</v>
      </c>
      <c r="AD570">
        <v>11</v>
      </c>
      <c r="AE570">
        <v>30000</v>
      </c>
      <c r="AF570" t="str">
        <f>IF(Table1[[#This Row],[What is your current CGPA?]]&gt;=3.5,"High",IF(Table1[[#This Row],[What is your current CGPA?]]&gt;=2.5,"Medium","Low"))</f>
        <v>Medium</v>
      </c>
      <c r="AG570" t="str">
        <f>IF(AND(Table1[[#This Row],[Average attendance on class]]&lt;75,Table1[[#This Row],[How many hour do you study daily?]]&lt;1),"At Risk","Normal")</f>
        <v>Normal</v>
      </c>
      <c r="AH570">
        <f>(Table1[[#This Row],[Average attendance on class]]*0.4)+(Table1[[#This Row],[How many hour do you study daily?]]*10*0.3)+(Table1[[#This Row],[How many hour do you spent daily on your skill development?]]*10*0.3)</f>
        <v>59.2</v>
      </c>
    </row>
    <row r="571" spans="1:34" x14ac:dyDescent="0.25">
      <c r="A571">
        <v>2020</v>
      </c>
      <c r="B571" t="s">
        <v>34</v>
      </c>
      <c r="C571">
        <v>22</v>
      </c>
      <c r="D571">
        <v>2019</v>
      </c>
      <c r="E571" t="s">
        <v>35</v>
      </c>
      <c r="F571">
        <v>8</v>
      </c>
      <c r="G571" t="s">
        <v>37</v>
      </c>
      <c r="H571" t="s">
        <v>36</v>
      </c>
      <c r="I571">
        <v>2</v>
      </c>
      <c r="J571">
        <v>1</v>
      </c>
      <c r="K571" t="s">
        <v>44</v>
      </c>
      <c r="L571" t="s">
        <v>36</v>
      </c>
      <c r="M571" t="s">
        <v>36</v>
      </c>
      <c r="N571">
        <v>16</v>
      </c>
      <c r="O571" t="s">
        <v>53</v>
      </c>
      <c r="P571">
        <v>78</v>
      </c>
      <c r="Q571" t="s">
        <v>36</v>
      </c>
      <c r="R571" t="s">
        <v>37</v>
      </c>
      <c r="S571" t="s">
        <v>37</v>
      </c>
      <c r="T571" t="s">
        <v>40</v>
      </c>
      <c r="U571">
        <v>2</v>
      </c>
      <c r="V571" t="s">
        <v>40</v>
      </c>
      <c r="W571" t="s">
        <v>42</v>
      </c>
      <c r="X571" t="s">
        <v>37</v>
      </c>
      <c r="Y571" t="s">
        <v>47</v>
      </c>
      <c r="Z571" t="s">
        <v>36</v>
      </c>
      <c r="AA571">
        <v>2.44</v>
      </c>
      <c r="AB571" t="s">
        <v>37</v>
      </c>
      <c r="AC571">
        <v>2.77</v>
      </c>
      <c r="AD571">
        <v>76</v>
      </c>
      <c r="AE571">
        <v>30000</v>
      </c>
      <c r="AF571" t="str">
        <f>IF(Table1[[#This Row],[What is your current CGPA?]]&gt;=3.5,"High",IF(Table1[[#This Row],[What is your current CGPA?]]&gt;=2.5,"Medium","Low"))</f>
        <v>Medium</v>
      </c>
      <c r="AG571" t="str">
        <f>IF(AND(Table1[[#This Row],[Average attendance on class]]&lt;75,Table1[[#This Row],[How many hour do you study daily?]]&lt;1),"At Risk","Normal")</f>
        <v>Normal</v>
      </c>
      <c r="AH571">
        <f>(Table1[[#This Row],[Average attendance on class]]*0.4)+(Table1[[#This Row],[How many hour do you study daily?]]*10*0.3)+(Table1[[#This Row],[How many hour do you spent daily on your skill development?]]*10*0.3)</f>
        <v>43.2</v>
      </c>
    </row>
    <row r="572" spans="1:34" x14ac:dyDescent="0.25">
      <c r="A572">
        <v>2020</v>
      </c>
      <c r="B572" t="s">
        <v>34</v>
      </c>
      <c r="C572">
        <v>22</v>
      </c>
      <c r="D572">
        <v>2019</v>
      </c>
      <c r="E572" t="s">
        <v>35</v>
      </c>
      <c r="F572">
        <v>7</v>
      </c>
      <c r="G572" t="s">
        <v>36</v>
      </c>
      <c r="H572" t="s">
        <v>36</v>
      </c>
      <c r="I572">
        <v>6</v>
      </c>
      <c r="J572">
        <v>3</v>
      </c>
      <c r="K572" t="s">
        <v>44</v>
      </c>
      <c r="L572" t="s">
        <v>36</v>
      </c>
      <c r="M572" t="s">
        <v>36</v>
      </c>
      <c r="N572">
        <v>1</v>
      </c>
      <c r="O572" t="s">
        <v>53</v>
      </c>
      <c r="P572">
        <v>97</v>
      </c>
      <c r="Q572" t="s">
        <v>37</v>
      </c>
      <c r="R572" t="s">
        <v>37</v>
      </c>
      <c r="S572" t="s">
        <v>37</v>
      </c>
      <c r="T572" t="s">
        <v>40</v>
      </c>
      <c r="U572">
        <v>1</v>
      </c>
      <c r="V572" t="s">
        <v>40</v>
      </c>
      <c r="W572" t="s">
        <v>42</v>
      </c>
      <c r="X572" t="s">
        <v>36</v>
      </c>
      <c r="Y572" t="s">
        <v>47</v>
      </c>
      <c r="Z572" t="s">
        <v>37</v>
      </c>
      <c r="AA572">
        <v>3.94</v>
      </c>
      <c r="AB572" t="s">
        <v>37</v>
      </c>
      <c r="AC572">
        <v>3.91</v>
      </c>
      <c r="AD572">
        <v>75</v>
      </c>
      <c r="AE572">
        <v>40000</v>
      </c>
      <c r="AF572" t="str">
        <f>IF(Table1[[#This Row],[What is your current CGPA?]]&gt;=3.5,"High",IF(Table1[[#This Row],[What is your current CGPA?]]&gt;=2.5,"Medium","Low"))</f>
        <v>High</v>
      </c>
      <c r="AG572" t="str">
        <f>IF(AND(Table1[[#This Row],[Average attendance on class]]&lt;75,Table1[[#This Row],[How many hour do you study daily?]]&lt;1),"At Risk","Normal")</f>
        <v>Normal</v>
      </c>
      <c r="AH572">
        <f>(Table1[[#This Row],[Average attendance on class]]*0.4)+(Table1[[#This Row],[How many hour do you study daily?]]*10*0.3)+(Table1[[#This Row],[How many hour do you spent daily on your skill development?]]*10*0.3)</f>
        <v>59.800000000000004</v>
      </c>
    </row>
    <row r="573" spans="1:34" x14ac:dyDescent="0.25">
      <c r="A573">
        <v>2018</v>
      </c>
      <c r="B573" t="s">
        <v>34</v>
      </c>
      <c r="C573">
        <v>24</v>
      </c>
      <c r="D573">
        <v>2016</v>
      </c>
      <c r="E573" t="s">
        <v>35</v>
      </c>
      <c r="F573">
        <v>10</v>
      </c>
      <c r="G573" t="s">
        <v>36</v>
      </c>
      <c r="H573" t="s">
        <v>37</v>
      </c>
      <c r="I573">
        <v>3</v>
      </c>
      <c r="J573">
        <v>1</v>
      </c>
      <c r="K573" t="s">
        <v>38</v>
      </c>
      <c r="L573" t="s">
        <v>36</v>
      </c>
      <c r="M573" t="s">
        <v>36</v>
      </c>
      <c r="N573">
        <v>1</v>
      </c>
      <c r="O573" t="s">
        <v>39</v>
      </c>
      <c r="P573">
        <v>80</v>
      </c>
      <c r="Q573" t="s">
        <v>37</v>
      </c>
      <c r="R573" t="s">
        <v>37</v>
      </c>
      <c r="S573" t="s">
        <v>36</v>
      </c>
      <c r="T573" t="s">
        <v>100</v>
      </c>
      <c r="U573">
        <v>0</v>
      </c>
      <c r="V573" t="s">
        <v>100</v>
      </c>
      <c r="W573" t="s">
        <v>42</v>
      </c>
      <c r="X573" t="s">
        <v>36</v>
      </c>
      <c r="Y573" t="s">
        <v>43</v>
      </c>
      <c r="Z573" t="s">
        <v>36</v>
      </c>
      <c r="AA573">
        <v>3</v>
      </c>
      <c r="AB573" t="s">
        <v>37</v>
      </c>
      <c r="AC573">
        <v>2.85</v>
      </c>
      <c r="AD573">
        <v>90</v>
      </c>
      <c r="AE573">
        <v>50000</v>
      </c>
      <c r="AF573" t="str">
        <f>IF(Table1[[#This Row],[What is your current CGPA?]]&gt;=3.5,"High",IF(Table1[[#This Row],[What is your current CGPA?]]&gt;=2.5,"Medium","Low"))</f>
        <v>Medium</v>
      </c>
      <c r="AG573" t="str">
        <f>IF(AND(Table1[[#This Row],[Average attendance on class]]&lt;75,Table1[[#This Row],[How many hour do you study daily?]]&lt;1),"At Risk","Normal")</f>
        <v>Normal</v>
      </c>
      <c r="AH573">
        <f>(Table1[[#This Row],[Average attendance on class]]*0.4)+(Table1[[#This Row],[How many hour do you study daily?]]*10*0.3)+(Table1[[#This Row],[How many hour do you spent daily on your skill development?]]*10*0.3)</f>
        <v>41</v>
      </c>
    </row>
    <row r="574" spans="1:34" x14ac:dyDescent="0.25">
      <c r="A574">
        <v>2020</v>
      </c>
      <c r="B574" t="s">
        <v>48</v>
      </c>
      <c r="C574">
        <v>21</v>
      </c>
      <c r="D574">
        <v>2019</v>
      </c>
      <c r="E574" t="s">
        <v>35</v>
      </c>
      <c r="F574">
        <v>8</v>
      </c>
      <c r="G574" t="s">
        <v>36</v>
      </c>
      <c r="H574" t="s">
        <v>36</v>
      </c>
      <c r="I574">
        <v>1</v>
      </c>
      <c r="J574">
        <v>1</v>
      </c>
      <c r="K574" t="s">
        <v>38</v>
      </c>
      <c r="L574" t="s">
        <v>36</v>
      </c>
      <c r="M574" t="s">
        <v>36</v>
      </c>
      <c r="N574">
        <v>3</v>
      </c>
      <c r="O574" t="s">
        <v>39</v>
      </c>
      <c r="P574">
        <v>85</v>
      </c>
      <c r="Q574" t="s">
        <v>37</v>
      </c>
      <c r="R574" t="s">
        <v>37</v>
      </c>
      <c r="S574" t="s">
        <v>37</v>
      </c>
      <c r="T574" t="s">
        <v>40</v>
      </c>
      <c r="U574">
        <v>1</v>
      </c>
      <c r="V574" t="s">
        <v>40</v>
      </c>
      <c r="W574" t="s">
        <v>57</v>
      </c>
      <c r="X574" t="s">
        <v>37</v>
      </c>
      <c r="Y574" t="s">
        <v>47</v>
      </c>
      <c r="Z574" t="s">
        <v>36</v>
      </c>
      <c r="AA574">
        <v>3.32</v>
      </c>
      <c r="AB574" t="s">
        <v>37</v>
      </c>
      <c r="AC574">
        <v>3.27</v>
      </c>
      <c r="AD574">
        <v>88</v>
      </c>
      <c r="AE574">
        <v>50000</v>
      </c>
      <c r="AF574" t="str">
        <f>IF(Table1[[#This Row],[What is your current CGPA?]]&gt;=3.5,"High",IF(Table1[[#This Row],[What is your current CGPA?]]&gt;=2.5,"Medium","Low"))</f>
        <v>Medium</v>
      </c>
      <c r="AG574" t="str">
        <f>IF(AND(Table1[[#This Row],[Average attendance on class]]&lt;75,Table1[[#This Row],[How many hour do you study daily?]]&lt;1),"At Risk","Normal")</f>
        <v>Normal</v>
      </c>
      <c r="AH574">
        <f>(Table1[[#This Row],[Average attendance on class]]*0.4)+(Table1[[#This Row],[How many hour do you study daily?]]*10*0.3)+(Table1[[#This Row],[How many hour do you spent daily on your skill development?]]*10*0.3)</f>
        <v>40</v>
      </c>
    </row>
    <row r="575" spans="1:34" x14ac:dyDescent="0.25">
      <c r="A575">
        <v>2022</v>
      </c>
      <c r="B575" t="s">
        <v>34</v>
      </c>
      <c r="C575">
        <v>22</v>
      </c>
      <c r="D575">
        <v>2020</v>
      </c>
      <c r="E575" t="s">
        <v>35</v>
      </c>
      <c r="F575">
        <v>2</v>
      </c>
      <c r="G575" t="s">
        <v>36</v>
      </c>
      <c r="H575" t="s">
        <v>36</v>
      </c>
      <c r="I575">
        <v>2</v>
      </c>
      <c r="J575">
        <v>1</v>
      </c>
      <c r="K575" t="s">
        <v>38</v>
      </c>
      <c r="L575" t="s">
        <v>36</v>
      </c>
      <c r="M575" t="s">
        <v>36</v>
      </c>
      <c r="N575">
        <v>5</v>
      </c>
      <c r="O575" t="s">
        <v>45</v>
      </c>
      <c r="P575">
        <v>90</v>
      </c>
      <c r="Q575" t="s">
        <v>37</v>
      </c>
      <c r="R575" t="s">
        <v>37</v>
      </c>
      <c r="S575" t="s">
        <v>36</v>
      </c>
      <c r="T575" t="s">
        <v>40</v>
      </c>
      <c r="U575">
        <v>2</v>
      </c>
      <c r="V575" t="s">
        <v>40</v>
      </c>
      <c r="W575" t="s">
        <v>42</v>
      </c>
      <c r="X575" t="s">
        <v>37</v>
      </c>
      <c r="Y575" t="s">
        <v>47</v>
      </c>
      <c r="Z575" t="s">
        <v>37</v>
      </c>
      <c r="AA575">
        <v>2.8</v>
      </c>
      <c r="AB575" t="s">
        <v>37</v>
      </c>
      <c r="AC575">
        <v>2.8</v>
      </c>
      <c r="AD575">
        <v>11</v>
      </c>
      <c r="AE575">
        <v>30000</v>
      </c>
      <c r="AF575" t="str">
        <f>IF(Table1[[#This Row],[What is your current CGPA?]]&gt;=3.5,"High",IF(Table1[[#This Row],[What is your current CGPA?]]&gt;=2.5,"Medium","Low"))</f>
        <v>Medium</v>
      </c>
      <c r="AG575" t="str">
        <f>IF(AND(Table1[[#This Row],[Average attendance on class]]&lt;75,Table1[[#This Row],[How many hour do you study daily?]]&lt;1),"At Risk","Normal")</f>
        <v>Normal</v>
      </c>
      <c r="AH575">
        <f>(Table1[[#This Row],[Average attendance on class]]*0.4)+(Table1[[#This Row],[How many hour do you study daily?]]*10*0.3)+(Table1[[#This Row],[How many hour do you spent daily on your skill development?]]*10*0.3)</f>
        <v>48</v>
      </c>
    </row>
    <row r="576" spans="1:34" x14ac:dyDescent="0.25">
      <c r="A576">
        <v>2020</v>
      </c>
      <c r="B576" t="s">
        <v>48</v>
      </c>
      <c r="C576">
        <v>22</v>
      </c>
      <c r="D576">
        <v>2018</v>
      </c>
      <c r="E576" t="s">
        <v>35</v>
      </c>
      <c r="F576">
        <v>6</v>
      </c>
      <c r="G576" t="s">
        <v>37</v>
      </c>
      <c r="H576" t="s">
        <v>37</v>
      </c>
      <c r="I576">
        <v>3</v>
      </c>
      <c r="J576">
        <v>2</v>
      </c>
      <c r="K576" t="s">
        <v>38</v>
      </c>
      <c r="L576" t="s">
        <v>36</v>
      </c>
      <c r="M576" t="s">
        <v>36</v>
      </c>
      <c r="N576">
        <v>3</v>
      </c>
      <c r="O576" t="s">
        <v>39</v>
      </c>
      <c r="P576">
        <v>99</v>
      </c>
      <c r="Q576" t="s">
        <v>37</v>
      </c>
      <c r="R576" t="s">
        <v>37</v>
      </c>
      <c r="S576" t="s">
        <v>36</v>
      </c>
      <c r="T576" t="s">
        <v>40</v>
      </c>
      <c r="U576">
        <v>2</v>
      </c>
      <c r="V576" t="s">
        <v>49</v>
      </c>
      <c r="W576" t="s">
        <v>42</v>
      </c>
      <c r="X576" t="s">
        <v>36</v>
      </c>
      <c r="Y576" t="s">
        <v>43</v>
      </c>
      <c r="Z576" t="s">
        <v>37</v>
      </c>
      <c r="AA576">
        <v>3.39</v>
      </c>
      <c r="AB576" t="s">
        <v>37</v>
      </c>
      <c r="AC576">
        <v>3.33</v>
      </c>
      <c r="AD576">
        <v>70</v>
      </c>
      <c r="AE576">
        <v>40000</v>
      </c>
      <c r="AF576" t="str">
        <f>IF(Table1[[#This Row],[What is your current CGPA?]]&gt;=3.5,"High",IF(Table1[[#This Row],[What is your current CGPA?]]&gt;=2.5,"Medium","Low"))</f>
        <v>Medium</v>
      </c>
      <c r="AG576" t="str">
        <f>IF(AND(Table1[[#This Row],[Average attendance on class]]&lt;75,Table1[[#This Row],[How many hour do you study daily?]]&lt;1),"At Risk","Normal")</f>
        <v>Normal</v>
      </c>
      <c r="AH576">
        <f>(Table1[[#This Row],[Average attendance on class]]*0.4)+(Table1[[#This Row],[How many hour do you study daily?]]*10*0.3)+(Table1[[#This Row],[How many hour do you spent daily on your skill development?]]*10*0.3)</f>
        <v>54.6</v>
      </c>
    </row>
    <row r="577" spans="1:34" x14ac:dyDescent="0.25">
      <c r="A577">
        <v>2022</v>
      </c>
      <c r="B577" t="s">
        <v>34</v>
      </c>
      <c r="C577">
        <v>20</v>
      </c>
      <c r="D577">
        <v>2020</v>
      </c>
      <c r="E577" t="s">
        <v>35</v>
      </c>
      <c r="F577">
        <v>2</v>
      </c>
      <c r="G577" t="s">
        <v>37</v>
      </c>
      <c r="H577" t="s">
        <v>37</v>
      </c>
      <c r="I577">
        <v>1</v>
      </c>
      <c r="J577">
        <v>1</v>
      </c>
      <c r="K577" t="s">
        <v>44</v>
      </c>
      <c r="L577" t="s">
        <v>36</v>
      </c>
      <c r="M577" t="s">
        <v>37</v>
      </c>
      <c r="N577">
        <v>2</v>
      </c>
      <c r="O577" t="s">
        <v>39</v>
      </c>
      <c r="P577">
        <v>95</v>
      </c>
      <c r="Q577" t="s">
        <v>37</v>
      </c>
      <c r="R577" t="s">
        <v>37</v>
      </c>
      <c r="S577" t="s">
        <v>36</v>
      </c>
      <c r="T577" t="s">
        <v>40</v>
      </c>
      <c r="U577">
        <v>1</v>
      </c>
      <c r="V577" t="s">
        <v>40</v>
      </c>
      <c r="W577" t="s">
        <v>42</v>
      </c>
      <c r="X577" t="s">
        <v>36</v>
      </c>
      <c r="Y577" t="s">
        <v>43</v>
      </c>
      <c r="Z577" t="s">
        <v>37</v>
      </c>
      <c r="AA577">
        <v>4</v>
      </c>
      <c r="AB577" t="s">
        <v>37</v>
      </c>
      <c r="AC577">
        <v>4</v>
      </c>
      <c r="AD577">
        <v>12</v>
      </c>
      <c r="AE577">
        <v>40000</v>
      </c>
      <c r="AF577" t="str">
        <f>IF(Table1[[#This Row],[What is your current CGPA?]]&gt;=3.5,"High",IF(Table1[[#This Row],[What is your current CGPA?]]&gt;=2.5,"Medium","Low"))</f>
        <v>High</v>
      </c>
      <c r="AG577" t="str">
        <f>IF(AND(Table1[[#This Row],[Average attendance on class]]&lt;75,Table1[[#This Row],[How many hour do you study daily?]]&lt;1),"At Risk","Normal")</f>
        <v>Normal</v>
      </c>
      <c r="AH577">
        <f>(Table1[[#This Row],[Average attendance on class]]*0.4)+(Table1[[#This Row],[How many hour do you study daily?]]*10*0.3)+(Table1[[#This Row],[How many hour do you spent daily on your skill development?]]*10*0.3)</f>
        <v>44</v>
      </c>
    </row>
    <row r="578" spans="1:34" x14ac:dyDescent="0.25">
      <c r="A578">
        <v>2017</v>
      </c>
      <c r="B578" t="s">
        <v>48</v>
      </c>
      <c r="C578">
        <v>26</v>
      </c>
      <c r="D578">
        <v>2013</v>
      </c>
      <c r="E578" t="s">
        <v>35</v>
      </c>
      <c r="F578">
        <v>11</v>
      </c>
      <c r="G578" t="s">
        <v>36</v>
      </c>
      <c r="H578" t="s">
        <v>36</v>
      </c>
      <c r="I578">
        <v>1</v>
      </c>
      <c r="J578">
        <v>1</v>
      </c>
      <c r="K578" t="s">
        <v>44</v>
      </c>
      <c r="L578" t="s">
        <v>36</v>
      </c>
      <c r="M578" t="s">
        <v>36</v>
      </c>
      <c r="N578">
        <v>1</v>
      </c>
      <c r="O578" t="s">
        <v>39</v>
      </c>
      <c r="P578">
        <v>100</v>
      </c>
      <c r="Q578" t="s">
        <v>37</v>
      </c>
      <c r="R578" t="s">
        <v>37</v>
      </c>
      <c r="S578" t="s">
        <v>36</v>
      </c>
      <c r="T578" t="s">
        <v>51</v>
      </c>
      <c r="U578">
        <v>2</v>
      </c>
      <c r="V578" t="s">
        <v>59</v>
      </c>
      <c r="W578" t="s">
        <v>56</v>
      </c>
      <c r="X578" t="s">
        <v>37</v>
      </c>
      <c r="Y578" t="s">
        <v>47</v>
      </c>
      <c r="Z578" t="s">
        <v>37</v>
      </c>
      <c r="AA578">
        <v>3.2</v>
      </c>
      <c r="AB578" t="s">
        <v>37</v>
      </c>
      <c r="AC578">
        <v>3.44</v>
      </c>
      <c r="AD578">
        <v>117</v>
      </c>
      <c r="AE578">
        <v>40000</v>
      </c>
      <c r="AF578" t="str">
        <f>IF(Table1[[#This Row],[What is your current CGPA?]]&gt;=3.5,"High",IF(Table1[[#This Row],[What is your current CGPA?]]&gt;=2.5,"Medium","Low"))</f>
        <v>Medium</v>
      </c>
      <c r="AG578" t="str">
        <f>IF(AND(Table1[[#This Row],[Average attendance on class]]&lt;75,Table1[[#This Row],[How many hour do you study daily?]]&lt;1),"At Risk","Normal")</f>
        <v>Normal</v>
      </c>
      <c r="AH578">
        <f>(Table1[[#This Row],[Average attendance on class]]*0.4)+(Table1[[#This Row],[How many hour do you study daily?]]*10*0.3)+(Table1[[#This Row],[How many hour do you spent daily on your skill development?]]*10*0.3)</f>
        <v>49</v>
      </c>
    </row>
    <row r="579" spans="1:34" x14ac:dyDescent="0.25">
      <c r="A579">
        <v>2020</v>
      </c>
      <c r="B579" t="s">
        <v>48</v>
      </c>
      <c r="C579">
        <v>21</v>
      </c>
      <c r="D579">
        <v>2019</v>
      </c>
      <c r="E579" t="s">
        <v>35</v>
      </c>
      <c r="F579">
        <v>7</v>
      </c>
      <c r="G579" t="s">
        <v>36</v>
      </c>
      <c r="H579" t="s">
        <v>37</v>
      </c>
      <c r="I579">
        <v>2</v>
      </c>
      <c r="J579">
        <v>2</v>
      </c>
      <c r="K579" t="s">
        <v>38</v>
      </c>
      <c r="L579" t="s">
        <v>36</v>
      </c>
      <c r="M579" t="s">
        <v>36</v>
      </c>
      <c r="N579">
        <v>2</v>
      </c>
      <c r="O579" t="s">
        <v>39</v>
      </c>
      <c r="P579">
        <v>88</v>
      </c>
      <c r="Q579" t="s">
        <v>37</v>
      </c>
      <c r="R579" t="s">
        <v>37</v>
      </c>
      <c r="S579" t="s">
        <v>36</v>
      </c>
      <c r="T579" t="s">
        <v>40</v>
      </c>
      <c r="U579">
        <v>1</v>
      </c>
      <c r="V579" t="s">
        <v>41</v>
      </c>
      <c r="W579" t="s">
        <v>42</v>
      </c>
      <c r="X579" t="s">
        <v>36</v>
      </c>
      <c r="Y579" t="s">
        <v>43</v>
      </c>
      <c r="Z579" t="s">
        <v>37</v>
      </c>
      <c r="AA579">
        <v>3.31</v>
      </c>
      <c r="AB579" t="s">
        <v>37</v>
      </c>
      <c r="AC579">
        <v>2.9</v>
      </c>
      <c r="AD579">
        <v>70</v>
      </c>
      <c r="AE579">
        <v>20000</v>
      </c>
      <c r="AF579" t="str">
        <f>IF(Table1[[#This Row],[What is your current CGPA?]]&gt;=3.5,"High",IF(Table1[[#This Row],[What is your current CGPA?]]&gt;=2.5,"Medium","Low"))</f>
        <v>Medium</v>
      </c>
      <c r="AG579" t="str">
        <f>IF(AND(Table1[[#This Row],[Average attendance on class]]&lt;75,Table1[[#This Row],[How many hour do you study daily?]]&lt;1),"At Risk","Normal")</f>
        <v>Normal</v>
      </c>
      <c r="AH579">
        <f>(Table1[[#This Row],[Average attendance on class]]*0.4)+(Table1[[#This Row],[How many hour do you study daily?]]*10*0.3)+(Table1[[#This Row],[How many hour do you spent daily on your skill development?]]*10*0.3)</f>
        <v>44.2</v>
      </c>
    </row>
    <row r="580" spans="1:34" x14ac:dyDescent="0.25">
      <c r="A580">
        <v>2018</v>
      </c>
      <c r="B580" t="s">
        <v>34</v>
      </c>
      <c r="C580">
        <v>23</v>
      </c>
      <c r="D580">
        <v>2017</v>
      </c>
      <c r="E580" t="s">
        <v>35</v>
      </c>
      <c r="F580">
        <v>14</v>
      </c>
      <c r="G580" t="s">
        <v>37</v>
      </c>
      <c r="H580" t="s">
        <v>36</v>
      </c>
      <c r="I580">
        <v>5</v>
      </c>
      <c r="J580">
        <v>2</v>
      </c>
      <c r="K580" t="s">
        <v>44</v>
      </c>
      <c r="L580" t="s">
        <v>37</v>
      </c>
      <c r="M580" t="s">
        <v>36</v>
      </c>
      <c r="N580">
        <v>4</v>
      </c>
      <c r="O580" t="s">
        <v>39</v>
      </c>
      <c r="P580">
        <v>85</v>
      </c>
      <c r="Q580" t="s">
        <v>36</v>
      </c>
      <c r="R580" t="s">
        <v>37</v>
      </c>
      <c r="S580" t="s">
        <v>36</v>
      </c>
      <c r="T580" t="s">
        <v>40</v>
      </c>
      <c r="U580">
        <v>1</v>
      </c>
      <c r="V580" t="s">
        <v>40</v>
      </c>
      <c r="W580" t="s">
        <v>42</v>
      </c>
      <c r="X580" t="s">
        <v>36</v>
      </c>
      <c r="Y580" t="s">
        <v>47</v>
      </c>
      <c r="Z580" t="s">
        <v>37</v>
      </c>
      <c r="AA580">
        <v>2.96</v>
      </c>
      <c r="AB580" t="s">
        <v>37</v>
      </c>
      <c r="AC580">
        <v>3.06</v>
      </c>
      <c r="AD580">
        <v>136</v>
      </c>
      <c r="AE580">
        <v>20000</v>
      </c>
      <c r="AF580" t="str">
        <f>IF(Table1[[#This Row],[What is your current CGPA?]]&gt;=3.5,"High",IF(Table1[[#This Row],[What is your current CGPA?]]&gt;=2.5,"Medium","Low"))</f>
        <v>Medium</v>
      </c>
      <c r="AG580" t="str">
        <f>IF(AND(Table1[[#This Row],[Average attendance on class]]&lt;75,Table1[[#This Row],[How many hour do you study daily?]]&lt;1),"At Risk","Normal")</f>
        <v>Normal</v>
      </c>
      <c r="AH580">
        <f>(Table1[[#This Row],[Average attendance on class]]*0.4)+(Table1[[#This Row],[How many hour do you study daily?]]*10*0.3)+(Table1[[#This Row],[How many hour do you spent daily on your skill development?]]*10*0.3)</f>
        <v>52</v>
      </c>
    </row>
    <row r="581" spans="1:34" x14ac:dyDescent="0.25">
      <c r="A581">
        <v>2022</v>
      </c>
      <c r="B581" t="s">
        <v>34</v>
      </c>
      <c r="C581">
        <v>20</v>
      </c>
      <c r="D581">
        <v>2020</v>
      </c>
      <c r="E581" t="s">
        <v>35</v>
      </c>
      <c r="F581">
        <v>2</v>
      </c>
      <c r="G581" t="s">
        <v>36</v>
      </c>
      <c r="H581" t="s">
        <v>36</v>
      </c>
      <c r="I581">
        <v>3</v>
      </c>
      <c r="J581">
        <v>2</v>
      </c>
      <c r="K581" t="s">
        <v>38</v>
      </c>
      <c r="L581" t="s">
        <v>36</v>
      </c>
      <c r="M581" t="s">
        <v>36</v>
      </c>
      <c r="N581">
        <v>4</v>
      </c>
      <c r="O581" t="s">
        <v>45</v>
      </c>
      <c r="P581">
        <v>100</v>
      </c>
      <c r="Q581" t="s">
        <v>37</v>
      </c>
      <c r="R581" t="s">
        <v>37</v>
      </c>
      <c r="S581" t="s">
        <v>37</v>
      </c>
      <c r="T581" t="s">
        <v>40</v>
      </c>
      <c r="U581">
        <v>2</v>
      </c>
      <c r="V581" t="s">
        <v>40</v>
      </c>
      <c r="W581" t="s">
        <v>42</v>
      </c>
      <c r="X581" t="s">
        <v>37</v>
      </c>
      <c r="Y581" t="s">
        <v>47</v>
      </c>
      <c r="Z581" t="s">
        <v>37</v>
      </c>
      <c r="AA581">
        <v>3.68</v>
      </c>
      <c r="AB581" t="s">
        <v>37</v>
      </c>
      <c r="AC581">
        <v>3.68</v>
      </c>
      <c r="AD581">
        <v>11</v>
      </c>
      <c r="AE581">
        <v>35000</v>
      </c>
      <c r="AF581" t="str">
        <f>IF(Table1[[#This Row],[What is your current CGPA?]]&gt;=3.5,"High",IF(Table1[[#This Row],[What is your current CGPA?]]&gt;=2.5,"Medium","Low"))</f>
        <v>High</v>
      </c>
      <c r="AG581" t="str">
        <f>IF(AND(Table1[[#This Row],[Average attendance on class]]&lt;75,Table1[[#This Row],[How many hour do you study daily?]]&lt;1),"At Risk","Normal")</f>
        <v>Normal</v>
      </c>
      <c r="AH581">
        <f>(Table1[[#This Row],[Average attendance on class]]*0.4)+(Table1[[#This Row],[How many hour do you study daily?]]*10*0.3)+(Table1[[#This Row],[How many hour do you spent daily on your skill development?]]*10*0.3)</f>
        <v>55</v>
      </c>
    </row>
    <row r="582" spans="1:34" x14ac:dyDescent="0.25">
      <c r="A582">
        <v>2022</v>
      </c>
      <c r="B582" t="s">
        <v>48</v>
      </c>
      <c r="C582">
        <v>20</v>
      </c>
      <c r="D582">
        <v>2018</v>
      </c>
      <c r="E582" t="s">
        <v>35</v>
      </c>
      <c r="F582">
        <v>2</v>
      </c>
      <c r="G582" t="s">
        <v>37</v>
      </c>
      <c r="H582" t="s">
        <v>36</v>
      </c>
      <c r="I582">
        <v>4</v>
      </c>
      <c r="J582">
        <v>2</v>
      </c>
      <c r="K582" t="s">
        <v>44</v>
      </c>
      <c r="L582" t="s">
        <v>36</v>
      </c>
      <c r="M582" t="s">
        <v>36</v>
      </c>
      <c r="N582">
        <v>6</v>
      </c>
      <c r="O582" t="s">
        <v>45</v>
      </c>
      <c r="P582">
        <v>100</v>
      </c>
      <c r="Q582" t="s">
        <v>37</v>
      </c>
      <c r="R582" t="s">
        <v>37</v>
      </c>
      <c r="S582" t="s">
        <v>36</v>
      </c>
      <c r="T582" t="s">
        <v>40</v>
      </c>
      <c r="U582">
        <v>2</v>
      </c>
      <c r="V582" t="s">
        <v>40</v>
      </c>
      <c r="W582" t="s">
        <v>42</v>
      </c>
      <c r="X582" t="s">
        <v>36</v>
      </c>
      <c r="Y582" t="s">
        <v>47</v>
      </c>
      <c r="Z582" t="s">
        <v>37</v>
      </c>
      <c r="AA582">
        <v>3.78</v>
      </c>
      <c r="AB582" t="s">
        <v>37</v>
      </c>
      <c r="AC582">
        <v>3.78</v>
      </c>
      <c r="AD582">
        <v>11</v>
      </c>
      <c r="AE582">
        <v>4000</v>
      </c>
      <c r="AF582" t="str">
        <f>IF(Table1[[#This Row],[What is your current CGPA?]]&gt;=3.5,"High",IF(Table1[[#This Row],[What is your current CGPA?]]&gt;=2.5,"Medium","Low"))</f>
        <v>High</v>
      </c>
      <c r="AG582" t="str">
        <f>IF(AND(Table1[[#This Row],[Average attendance on class]]&lt;75,Table1[[#This Row],[How many hour do you study daily?]]&lt;1),"At Risk","Normal")</f>
        <v>Normal</v>
      </c>
      <c r="AH582">
        <f>(Table1[[#This Row],[Average attendance on class]]*0.4)+(Table1[[#This Row],[How many hour do you study daily?]]*10*0.3)+(Table1[[#This Row],[How many hour do you spent daily on your skill development?]]*10*0.3)</f>
        <v>58</v>
      </c>
    </row>
    <row r="583" spans="1:34" x14ac:dyDescent="0.25">
      <c r="A583">
        <v>2020</v>
      </c>
      <c r="B583" t="s">
        <v>34</v>
      </c>
      <c r="C583">
        <v>21</v>
      </c>
      <c r="D583">
        <v>2019</v>
      </c>
      <c r="E583" t="s">
        <v>35</v>
      </c>
      <c r="F583">
        <v>7</v>
      </c>
      <c r="G583" t="s">
        <v>36</v>
      </c>
      <c r="H583" t="s">
        <v>37</v>
      </c>
      <c r="I583">
        <v>4</v>
      </c>
      <c r="J583">
        <v>3</v>
      </c>
      <c r="K583" t="s">
        <v>38</v>
      </c>
      <c r="L583" t="s">
        <v>36</v>
      </c>
      <c r="M583" t="s">
        <v>36</v>
      </c>
      <c r="N583">
        <v>1</v>
      </c>
      <c r="O583" t="s">
        <v>39</v>
      </c>
      <c r="P583">
        <v>95</v>
      </c>
      <c r="Q583" t="s">
        <v>37</v>
      </c>
      <c r="R583" t="s">
        <v>37</v>
      </c>
      <c r="S583" t="s">
        <v>37</v>
      </c>
      <c r="T583" t="s">
        <v>40</v>
      </c>
      <c r="U583">
        <v>3</v>
      </c>
      <c r="V583" t="s">
        <v>40</v>
      </c>
      <c r="W583" t="s">
        <v>42</v>
      </c>
      <c r="X583" t="s">
        <v>36</v>
      </c>
      <c r="Y583" t="s">
        <v>43</v>
      </c>
      <c r="Z583" t="s">
        <v>36</v>
      </c>
      <c r="AA583">
        <v>3.87</v>
      </c>
      <c r="AB583" t="s">
        <v>37</v>
      </c>
      <c r="AC583">
        <v>3.68</v>
      </c>
      <c r="AD583">
        <v>86</v>
      </c>
      <c r="AE583">
        <v>15000</v>
      </c>
      <c r="AF583" t="str">
        <f>IF(Table1[[#This Row],[What is your current CGPA?]]&gt;=3.5,"High",IF(Table1[[#This Row],[What is your current CGPA?]]&gt;=2.5,"Medium","Low"))</f>
        <v>High</v>
      </c>
      <c r="AG583" t="str">
        <f>IF(AND(Table1[[#This Row],[Average attendance on class]]&lt;75,Table1[[#This Row],[How many hour do you study daily?]]&lt;1),"At Risk","Normal")</f>
        <v>Normal</v>
      </c>
      <c r="AH583">
        <f>(Table1[[#This Row],[Average attendance on class]]*0.4)+(Table1[[#This Row],[How many hour do you study daily?]]*10*0.3)+(Table1[[#This Row],[How many hour do you spent daily on your skill development?]]*10*0.3)</f>
        <v>59</v>
      </c>
    </row>
    <row r="584" spans="1:34" x14ac:dyDescent="0.25">
      <c r="A584">
        <v>2021</v>
      </c>
      <c r="B584" t="s">
        <v>34</v>
      </c>
      <c r="C584">
        <v>21</v>
      </c>
      <c r="D584">
        <v>2019</v>
      </c>
      <c r="E584" t="s">
        <v>35</v>
      </c>
      <c r="F584">
        <v>4</v>
      </c>
      <c r="G584" t="s">
        <v>36</v>
      </c>
      <c r="H584" t="s">
        <v>36</v>
      </c>
      <c r="I584">
        <v>10</v>
      </c>
      <c r="J584">
        <v>2</v>
      </c>
      <c r="K584" t="s">
        <v>38</v>
      </c>
      <c r="L584" t="s">
        <v>36</v>
      </c>
      <c r="M584" t="s">
        <v>36</v>
      </c>
      <c r="N584">
        <v>2</v>
      </c>
      <c r="O584" t="s">
        <v>45</v>
      </c>
      <c r="P584">
        <v>95</v>
      </c>
      <c r="Q584" t="s">
        <v>36</v>
      </c>
      <c r="R584" t="s">
        <v>36</v>
      </c>
      <c r="S584" t="s">
        <v>37</v>
      </c>
      <c r="T584" t="s">
        <v>40</v>
      </c>
      <c r="U584">
        <v>2</v>
      </c>
      <c r="V584" t="s">
        <v>51</v>
      </c>
      <c r="W584" t="s">
        <v>42</v>
      </c>
      <c r="X584" t="s">
        <v>37</v>
      </c>
      <c r="Y584" t="s">
        <v>47</v>
      </c>
      <c r="Z584" t="s">
        <v>37</v>
      </c>
      <c r="AA584">
        <v>2.68</v>
      </c>
      <c r="AB584" t="s">
        <v>37</v>
      </c>
      <c r="AC584">
        <v>2.4700000000000002</v>
      </c>
      <c r="AD584">
        <v>25</v>
      </c>
      <c r="AE584">
        <v>40000</v>
      </c>
      <c r="AF584" t="str">
        <f>IF(Table1[[#This Row],[What is your current CGPA?]]&gt;=3.5,"High",IF(Table1[[#This Row],[What is your current CGPA?]]&gt;=2.5,"Medium","Low"))</f>
        <v>Low</v>
      </c>
      <c r="AG584" t="str">
        <f>IF(AND(Table1[[#This Row],[Average attendance on class]]&lt;75,Table1[[#This Row],[How many hour do you study daily?]]&lt;1),"At Risk","Normal")</f>
        <v>Normal</v>
      </c>
      <c r="AH584">
        <f>(Table1[[#This Row],[Average attendance on class]]*0.4)+(Table1[[#This Row],[How many hour do you study daily?]]*10*0.3)+(Table1[[#This Row],[How many hour do you spent daily on your skill development?]]*10*0.3)</f>
        <v>74</v>
      </c>
    </row>
    <row r="585" spans="1:34" x14ac:dyDescent="0.25">
      <c r="A585">
        <v>2022</v>
      </c>
      <c r="B585" t="s">
        <v>34</v>
      </c>
      <c r="C585">
        <v>21</v>
      </c>
      <c r="D585">
        <v>2020</v>
      </c>
      <c r="E585" t="s">
        <v>35</v>
      </c>
      <c r="F585">
        <v>2</v>
      </c>
      <c r="G585" t="s">
        <v>36</v>
      </c>
      <c r="H585" t="s">
        <v>36</v>
      </c>
      <c r="I585">
        <v>3</v>
      </c>
      <c r="J585">
        <v>2</v>
      </c>
      <c r="K585" t="s">
        <v>38</v>
      </c>
      <c r="L585" t="s">
        <v>36</v>
      </c>
      <c r="M585" t="s">
        <v>36</v>
      </c>
      <c r="N585">
        <v>2</v>
      </c>
      <c r="O585" t="s">
        <v>39</v>
      </c>
      <c r="P585">
        <v>90</v>
      </c>
      <c r="Q585" t="s">
        <v>37</v>
      </c>
      <c r="R585" t="s">
        <v>37</v>
      </c>
      <c r="S585" t="s">
        <v>36</v>
      </c>
      <c r="T585" t="s">
        <v>40</v>
      </c>
      <c r="U585">
        <v>1</v>
      </c>
      <c r="V585" t="s">
        <v>40</v>
      </c>
      <c r="W585" t="s">
        <v>42</v>
      </c>
      <c r="X585" t="s">
        <v>37</v>
      </c>
      <c r="Y585" t="s">
        <v>47</v>
      </c>
      <c r="Z585" t="s">
        <v>37</v>
      </c>
      <c r="AA585">
        <v>3.9</v>
      </c>
      <c r="AB585" t="s">
        <v>37</v>
      </c>
      <c r="AC585">
        <v>3.9</v>
      </c>
      <c r="AD585">
        <v>11</v>
      </c>
      <c r="AE585">
        <v>20000</v>
      </c>
      <c r="AF585" t="str">
        <f>IF(Table1[[#This Row],[What is your current CGPA?]]&gt;=3.5,"High",IF(Table1[[#This Row],[What is your current CGPA?]]&gt;=2.5,"Medium","Low"))</f>
        <v>High</v>
      </c>
      <c r="AG585" t="str">
        <f>IF(AND(Table1[[#This Row],[Average attendance on class]]&lt;75,Table1[[#This Row],[How many hour do you study daily?]]&lt;1),"At Risk","Normal")</f>
        <v>Normal</v>
      </c>
      <c r="AH585">
        <f>(Table1[[#This Row],[Average attendance on class]]*0.4)+(Table1[[#This Row],[How many hour do you study daily?]]*10*0.3)+(Table1[[#This Row],[How many hour do you spent daily on your skill development?]]*10*0.3)</f>
        <v>48</v>
      </c>
    </row>
    <row r="586" spans="1:34" x14ac:dyDescent="0.25">
      <c r="A586">
        <v>2018</v>
      </c>
      <c r="B586" t="s">
        <v>34</v>
      </c>
      <c r="C586">
        <v>24</v>
      </c>
      <c r="D586">
        <v>2017</v>
      </c>
      <c r="E586" t="s">
        <v>35</v>
      </c>
      <c r="F586">
        <v>13</v>
      </c>
      <c r="G586" t="s">
        <v>37</v>
      </c>
      <c r="H586" t="s">
        <v>37</v>
      </c>
      <c r="I586">
        <v>2</v>
      </c>
      <c r="J586">
        <v>1</v>
      </c>
      <c r="K586" t="s">
        <v>44</v>
      </c>
      <c r="L586" t="s">
        <v>36</v>
      </c>
      <c r="M586" t="s">
        <v>36</v>
      </c>
      <c r="N586">
        <v>2</v>
      </c>
      <c r="O586" t="s">
        <v>53</v>
      </c>
      <c r="P586">
        <v>90</v>
      </c>
      <c r="Q586" t="s">
        <v>37</v>
      </c>
      <c r="R586" t="s">
        <v>37</v>
      </c>
      <c r="S586" t="s">
        <v>37</v>
      </c>
      <c r="T586" t="s">
        <v>40</v>
      </c>
      <c r="U586">
        <v>4</v>
      </c>
      <c r="V586" t="s">
        <v>59</v>
      </c>
      <c r="W586" t="s">
        <v>57</v>
      </c>
      <c r="X586" t="s">
        <v>37</v>
      </c>
      <c r="Y586" t="s">
        <v>47</v>
      </c>
      <c r="Z586" t="s">
        <v>37</v>
      </c>
      <c r="AA586">
        <v>2.65</v>
      </c>
      <c r="AB586" t="s">
        <v>37</v>
      </c>
      <c r="AC586">
        <v>2.97</v>
      </c>
      <c r="AD586">
        <v>130</v>
      </c>
      <c r="AE586">
        <v>62488</v>
      </c>
      <c r="AF586" t="str">
        <f>IF(Table1[[#This Row],[What is your current CGPA?]]&gt;=3.5,"High",IF(Table1[[#This Row],[What is your current CGPA?]]&gt;=2.5,"Medium","Low"))</f>
        <v>Medium</v>
      </c>
      <c r="AG586" t="str">
        <f>IF(AND(Table1[[#This Row],[Average attendance on class]]&lt;75,Table1[[#This Row],[How many hour do you study daily?]]&lt;1),"At Risk","Normal")</f>
        <v>Normal</v>
      </c>
      <c r="AH586">
        <f>(Table1[[#This Row],[Average attendance on class]]*0.4)+(Table1[[#This Row],[How many hour do you study daily?]]*10*0.3)+(Table1[[#This Row],[How many hour do you spent daily on your skill development?]]*10*0.3)</f>
        <v>54</v>
      </c>
    </row>
    <row r="587" spans="1:34" x14ac:dyDescent="0.25">
      <c r="A587">
        <v>2020</v>
      </c>
      <c r="B587" t="s">
        <v>34</v>
      </c>
      <c r="C587">
        <v>22</v>
      </c>
      <c r="D587">
        <v>2019</v>
      </c>
      <c r="E587" t="s">
        <v>35</v>
      </c>
      <c r="F587">
        <v>8</v>
      </c>
      <c r="G587" t="s">
        <v>37</v>
      </c>
      <c r="H587" t="s">
        <v>37</v>
      </c>
      <c r="I587">
        <v>2</v>
      </c>
      <c r="J587">
        <v>1</v>
      </c>
      <c r="K587" t="s">
        <v>38</v>
      </c>
      <c r="L587" t="s">
        <v>36</v>
      </c>
      <c r="M587" t="s">
        <v>36</v>
      </c>
      <c r="N587">
        <v>3</v>
      </c>
      <c r="O587" t="s">
        <v>39</v>
      </c>
      <c r="P587">
        <v>87</v>
      </c>
      <c r="Q587" t="s">
        <v>37</v>
      </c>
      <c r="R587" t="s">
        <v>37</v>
      </c>
      <c r="S587" t="s">
        <v>37</v>
      </c>
      <c r="T587" t="s">
        <v>40</v>
      </c>
      <c r="U587">
        <v>1</v>
      </c>
      <c r="V587" t="s">
        <v>78</v>
      </c>
      <c r="W587" t="s">
        <v>42</v>
      </c>
      <c r="X587" t="s">
        <v>37</v>
      </c>
      <c r="Y587" t="s">
        <v>43</v>
      </c>
      <c r="Z587" t="s">
        <v>37</v>
      </c>
      <c r="AA587">
        <v>3.29</v>
      </c>
      <c r="AB587" t="s">
        <v>37</v>
      </c>
      <c r="AC587">
        <v>3.65</v>
      </c>
      <c r="AD587">
        <v>100</v>
      </c>
      <c r="AE587">
        <v>100000</v>
      </c>
      <c r="AF587" t="str">
        <f>IF(Table1[[#This Row],[What is your current CGPA?]]&gt;=3.5,"High",IF(Table1[[#This Row],[What is your current CGPA?]]&gt;=2.5,"Medium","Low"))</f>
        <v>High</v>
      </c>
      <c r="AG587" t="str">
        <f>IF(AND(Table1[[#This Row],[Average attendance on class]]&lt;75,Table1[[#This Row],[How many hour do you study daily?]]&lt;1),"At Risk","Normal")</f>
        <v>Normal</v>
      </c>
      <c r="AH587">
        <f>(Table1[[#This Row],[Average attendance on class]]*0.4)+(Table1[[#This Row],[How many hour do you study daily?]]*10*0.3)+(Table1[[#This Row],[How many hour do you spent daily on your skill development?]]*10*0.3)</f>
        <v>43.800000000000004</v>
      </c>
    </row>
    <row r="588" spans="1:34" x14ac:dyDescent="0.25">
      <c r="A588">
        <v>2020</v>
      </c>
      <c r="B588" t="s">
        <v>48</v>
      </c>
      <c r="C588">
        <v>20</v>
      </c>
      <c r="D588">
        <v>2019</v>
      </c>
      <c r="E588" t="s">
        <v>35</v>
      </c>
      <c r="F588">
        <v>8</v>
      </c>
      <c r="G588" t="s">
        <v>37</v>
      </c>
      <c r="H588" t="s">
        <v>36</v>
      </c>
      <c r="I588">
        <v>3</v>
      </c>
      <c r="J588">
        <v>2</v>
      </c>
      <c r="K588" t="s">
        <v>44</v>
      </c>
      <c r="L588" t="s">
        <v>36</v>
      </c>
      <c r="M588" t="s">
        <v>36</v>
      </c>
      <c r="N588">
        <v>2</v>
      </c>
      <c r="O588" t="s">
        <v>39</v>
      </c>
      <c r="P588">
        <v>97</v>
      </c>
      <c r="Q588" t="s">
        <v>37</v>
      </c>
      <c r="R588" t="s">
        <v>37</v>
      </c>
      <c r="S588" t="s">
        <v>36</v>
      </c>
      <c r="T588" t="s">
        <v>40</v>
      </c>
      <c r="U588">
        <v>2</v>
      </c>
      <c r="V588" t="s">
        <v>52</v>
      </c>
      <c r="W588" t="s">
        <v>42</v>
      </c>
      <c r="X588" t="s">
        <v>36</v>
      </c>
      <c r="Y588" t="s">
        <v>47</v>
      </c>
      <c r="Z588" t="s">
        <v>37</v>
      </c>
      <c r="AA588">
        <v>3.14</v>
      </c>
      <c r="AB588" t="s">
        <v>37</v>
      </c>
      <c r="AC588">
        <v>3.62</v>
      </c>
      <c r="AD588">
        <v>95</v>
      </c>
      <c r="AE588">
        <v>48400</v>
      </c>
      <c r="AF588" t="str">
        <f>IF(Table1[[#This Row],[What is your current CGPA?]]&gt;=3.5,"High",IF(Table1[[#This Row],[What is your current CGPA?]]&gt;=2.5,"Medium","Low"))</f>
        <v>High</v>
      </c>
      <c r="AG588" t="str">
        <f>IF(AND(Table1[[#This Row],[Average attendance on class]]&lt;75,Table1[[#This Row],[How many hour do you study daily?]]&lt;1),"At Risk","Normal")</f>
        <v>Normal</v>
      </c>
      <c r="AH588">
        <f>(Table1[[#This Row],[Average attendance on class]]*0.4)+(Table1[[#This Row],[How many hour do you study daily?]]*10*0.3)+(Table1[[#This Row],[How many hour do you spent daily on your skill development?]]*10*0.3)</f>
        <v>53.800000000000004</v>
      </c>
    </row>
    <row r="589" spans="1:34" x14ac:dyDescent="0.25">
      <c r="A589">
        <v>2017</v>
      </c>
      <c r="B589" t="s">
        <v>34</v>
      </c>
      <c r="C589">
        <v>24</v>
      </c>
      <c r="D589">
        <v>2016</v>
      </c>
      <c r="E589" t="s">
        <v>35</v>
      </c>
      <c r="F589">
        <v>17</v>
      </c>
      <c r="G589" t="s">
        <v>37</v>
      </c>
      <c r="H589" t="s">
        <v>37</v>
      </c>
      <c r="I589">
        <v>4</v>
      </c>
      <c r="J589">
        <v>2</v>
      </c>
      <c r="K589" t="s">
        <v>38</v>
      </c>
      <c r="L589" t="s">
        <v>36</v>
      </c>
      <c r="M589" t="s">
        <v>36</v>
      </c>
      <c r="N589">
        <v>8</v>
      </c>
      <c r="O589" t="s">
        <v>39</v>
      </c>
      <c r="P589">
        <v>80</v>
      </c>
      <c r="Q589" t="s">
        <v>36</v>
      </c>
      <c r="R589" t="s">
        <v>36</v>
      </c>
      <c r="S589" t="s">
        <v>36</v>
      </c>
      <c r="T589" t="s">
        <v>40</v>
      </c>
      <c r="U589">
        <v>10</v>
      </c>
      <c r="V589" t="s">
        <v>40</v>
      </c>
      <c r="W589" t="s">
        <v>42</v>
      </c>
      <c r="X589" t="s">
        <v>37</v>
      </c>
      <c r="Y589" t="s">
        <v>47</v>
      </c>
      <c r="Z589" t="s">
        <v>36</v>
      </c>
      <c r="AA589">
        <v>3.15</v>
      </c>
      <c r="AB589" t="s">
        <v>37</v>
      </c>
      <c r="AC589">
        <v>3.39</v>
      </c>
      <c r="AD589">
        <v>140</v>
      </c>
      <c r="AE589">
        <v>30000</v>
      </c>
      <c r="AF589" t="str">
        <f>IF(Table1[[#This Row],[What is your current CGPA?]]&gt;=3.5,"High",IF(Table1[[#This Row],[What is your current CGPA?]]&gt;=2.5,"Medium","Low"))</f>
        <v>Medium</v>
      </c>
      <c r="AG589" t="str">
        <f>IF(AND(Table1[[#This Row],[Average attendance on class]]&lt;75,Table1[[#This Row],[How many hour do you study daily?]]&lt;1),"At Risk","Normal")</f>
        <v>Normal</v>
      </c>
      <c r="AH589">
        <f>(Table1[[#This Row],[Average attendance on class]]*0.4)+(Table1[[#This Row],[How many hour do you study daily?]]*10*0.3)+(Table1[[#This Row],[How many hour do you spent daily on your skill development?]]*10*0.3)</f>
        <v>74</v>
      </c>
    </row>
    <row r="590" spans="1:34" x14ac:dyDescent="0.25">
      <c r="A590">
        <v>2020</v>
      </c>
      <c r="B590" t="s">
        <v>48</v>
      </c>
      <c r="C590">
        <v>21</v>
      </c>
      <c r="D590">
        <v>2019</v>
      </c>
      <c r="E590" t="s">
        <v>35</v>
      </c>
      <c r="F590">
        <v>8</v>
      </c>
      <c r="G590" t="s">
        <v>36</v>
      </c>
      <c r="H590" t="s">
        <v>36</v>
      </c>
      <c r="I590">
        <v>2</v>
      </c>
      <c r="J590">
        <v>2</v>
      </c>
      <c r="K590" t="s">
        <v>44</v>
      </c>
      <c r="L590" t="s">
        <v>36</v>
      </c>
      <c r="M590" t="s">
        <v>36</v>
      </c>
      <c r="N590">
        <v>2</v>
      </c>
      <c r="O590" t="s">
        <v>39</v>
      </c>
      <c r="P590">
        <v>100</v>
      </c>
      <c r="Q590" t="s">
        <v>37</v>
      </c>
      <c r="R590" t="s">
        <v>37</v>
      </c>
      <c r="S590" t="s">
        <v>36</v>
      </c>
      <c r="T590" t="s">
        <v>40</v>
      </c>
      <c r="U590">
        <v>3</v>
      </c>
      <c r="V590" t="s">
        <v>40</v>
      </c>
      <c r="W590" t="s">
        <v>42</v>
      </c>
      <c r="X590" t="s">
        <v>37</v>
      </c>
      <c r="Y590" t="s">
        <v>47</v>
      </c>
      <c r="Z590" t="s">
        <v>37</v>
      </c>
      <c r="AA590">
        <v>3.46</v>
      </c>
      <c r="AB590" t="s">
        <v>37</v>
      </c>
      <c r="AC590">
        <v>3.55</v>
      </c>
      <c r="AD590">
        <v>88</v>
      </c>
      <c r="AE590">
        <v>80000</v>
      </c>
      <c r="AF590" t="str">
        <f>IF(Table1[[#This Row],[What is your current CGPA?]]&gt;=3.5,"High",IF(Table1[[#This Row],[What is your current CGPA?]]&gt;=2.5,"Medium","Low"))</f>
        <v>High</v>
      </c>
      <c r="AG590" t="str">
        <f>IF(AND(Table1[[#This Row],[Average attendance on class]]&lt;75,Table1[[#This Row],[How many hour do you study daily?]]&lt;1),"At Risk","Normal")</f>
        <v>Normal</v>
      </c>
      <c r="AH590">
        <f>(Table1[[#This Row],[Average attendance on class]]*0.4)+(Table1[[#This Row],[How many hour do you study daily?]]*10*0.3)+(Table1[[#This Row],[How many hour do you spent daily on your skill development?]]*10*0.3)</f>
        <v>55</v>
      </c>
    </row>
    <row r="591" spans="1:34" x14ac:dyDescent="0.25">
      <c r="A591">
        <v>2020</v>
      </c>
      <c r="B591" t="s">
        <v>48</v>
      </c>
      <c r="C591">
        <v>22</v>
      </c>
      <c r="D591">
        <v>2019</v>
      </c>
      <c r="E591" t="s">
        <v>35</v>
      </c>
      <c r="F591">
        <v>8</v>
      </c>
      <c r="G591" t="s">
        <v>37</v>
      </c>
      <c r="H591" t="s">
        <v>37</v>
      </c>
      <c r="I591">
        <v>1</v>
      </c>
      <c r="J591">
        <v>1</v>
      </c>
      <c r="K591" t="s">
        <v>44</v>
      </c>
      <c r="L591" t="s">
        <v>36</v>
      </c>
      <c r="M591" t="s">
        <v>36</v>
      </c>
      <c r="N591">
        <v>3</v>
      </c>
      <c r="O591" t="s">
        <v>39</v>
      </c>
      <c r="P591">
        <v>99</v>
      </c>
      <c r="Q591" t="s">
        <v>37</v>
      </c>
      <c r="R591" t="s">
        <v>37</v>
      </c>
      <c r="S591" t="s">
        <v>36</v>
      </c>
      <c r="T591" t="s">
        <v>40</v>
      </c>
      <c r="U591">
        <v>0</v>
      </c>
      <c r="V591" t="s">
        <v>40</v>
      </c>
      <c r="W591" t="s">
        <v>42</v>
      </c>
      <c r="X591" t="s">
        <v>37</v>
      </c>
      <c r="Y591" t="s">
        <v>47</v>
      </c>
      <c r="Z591" t="s">
        <v>37</v>
      </c>
      <c r="AA591">
        <v>3.32</v>
      </c>
      <c r="AB591" t="s">
        <v>37</v>
      </c>
      <c r="AC591">
        <v>3.17</v>
      </c>
      <c r="AD591">
        <v>85</v>
      </c>
      <c r="AE591">
        <v>40000</v>
      </c>
      <c r="AF591" t="str">
        <f>IF(Table1[[#This Row],[What is your current CGPA?]]&gt;=3.5,"High",IF(Table1[[#This Row],[What is your current CGPA?]]&gt;=2.5,"Medium","Low"))</f>
        <v>Medium</v>
      </c>
      <c r="AG591" t="str">
        <f>IF(AND(Table1[[#This Row],[Average attendance on class]]&lt;75,Table1[[#This Row],[How many hour do you study daily?]]&lt;1),"At Risk","Normal")</f>
        <v>Normal</v>
      </c>
      <c r="AH591">
        <f>(Table1[[#This Row],[Average attendance on class]]*0.4)+(Table1[[#This Row],[How many hour do you study daily?]]*10*0.3)+(Table1[[#This Row],[How many hour do you spent daily on your skill development?]]*10*0.3)</f>
        <v>42.6</v>
      </c>
    </row>
    <row r="592" spans="1:34" x14ac:dyDescent="0.25">
      <c r="A592">
        <v>2020</v>
      </c>
      <c r="B592" t="s">
        <v>48</v>
      </c>
      <c r="C592">
        <v>21</v>
      </c>
      <c r="D592">
        <v>2019</v>
      </c>
      <c r="E592" t="s">
        <v>35</v>
      </c>
      <c r="F592">
        <v>7</v>
      </c>
      <c r="G592" t="s">
        <v>36</v>
      </c>
      <c r="H592" t="s">
        <v>36</v>
      </c>
      <c r="I592">
        <v>3</v>
      </c>
      <c r="J592">
        <v>1</v>
      </c>
      <c r="K592" t="s">
        <v>38</v>
      </c>
      <c r="L592" t="s">
        <v>36</v>
      </c>
      <c r="M592" t="s">
        <v>36</v>
      </c>
      <c r="N592">
        <v>4</v>
      </c>
      <c r="O592" t="s">
        <v>39</v>
      </c>
      <c r="P592">
        <v>95</v>
      </c>
      <c r="Q592" t="s">
        <v>37</v>
      </c>
      <c r="R592" t="s">
        <v>37</v>
      </c>
      <c r="S592" t="s">
        <v>37</v>
      </c>
      <c r="T592" t="s">
        <v>40</v>
      </c>
      <c r="U592">
        <v>2</v>
      </c>
      <c r="V592" t="s">
        <v>40</v>
      </c>
      <c r="W592" t="s">
        <v>42</v>
      </c>
      <c r="X592" t="s">
        <v>37</v>
      </c>
      <c r="Y592" t="s">
        <v>47</v>
      </c>
      <c r="Z592" t="s">
        <v>37</v>
      </c>
      <c r="AA592">
        <v>3.21</v>
      </c>
      <c r="AB592" t="s">
        <v>37</v>
      </c>
      <c r="AC592">
        <v>3.36</v>
      </c>
      <c r="AD592">
        <v>76</v>
      </c>
      <c r="AE592">
        <v>25000</v>
      </c>
      <c r="AF592" t="str">
        <f>IF(Table1[[#This Row],[What is your current CGPA?]]&gt;=3.5,"High",IF(Table1[[#This Row],[What is your current CGPA?]]&gt;=2.5,"Medium","Low"))</f>
        <v>Medium</v>
      </c>
      <c r="AG592" t="str">
        <f>IF(AND(Table1[[#This Row],[Average attendance on class]]&lt;75,Table1[[#This Row],[How many hour do you study daily?]]&lt;1),"At Risk","Normal")</f>
        <v>Normal</v>
      </c>
      <c r="AH592">
        <f>(Table1[[#This Row],[Average attendance on class]]*0.4)+(Table1[[#This Row],[How many hour do you study daily?]]*10*0.3)+(Table1[[#This Row],[How many hour do you spent daily on your skill development?]]*10*0.3)</f>
        <v>53</v>
      </c>
    </row>
    <row r="593" spans="1:34" x14ac:dyDescent="0.25">
      <c r="A593">
        <v>2022</v>
      </c>
      <c r="B593" t="s">
        <v>34</v>
      </c>
      <c r="C593">
        <v>19</v>
      </c>
      <c r="D593">
        <v>2020</v>
      </c>
      <c r="E593" t="s">
        <v>35</v>
      </c>
      <c r="F593">
        <v>2</v>
      </c>
      <c r="G593" t="s">
        <v>36</v>
      </c>
      <c r="H593" t="s">
        <v>37</v>
      </c>
      <c r="I593">
        <v>5</v>
      </c>
      <c r="J593">
        <v>2</v>
      </c>
      <c r="K593" t="s">
        <v>38</v>
      </c>
      <c r="L593" t="s">
        <v>36</v>
      </c>
      <c r="M593" t="s">
        <v>36</v>
      </c>
      <c r="N593">
        <v>2</v>
      </c>
      <c r="O593" t="s">
        <v>45</v>
      </c>
      <c r="P593">
        <v>100</v>
      </c>
      <c r="Q593" t="s">
        <v>37</v>
      </c>
      <c r="R593" t="s">
        <v>37</v>
      </c>
      <c r="S593" t="s">
        <v>36</v>
      </c>
      <c r="T593" t="s">
        <v>40</v>
      </c>
      <c r="U593">
        <v>4</v>
      </c>
      <c r="V593" t="s">
        <v>49</v>
      </c>
      <c r="W593" t="s">
        <v>42</v>
      </c>
      <c r="X593" t="s">
        <v>37</v>
      </c>
      <c r="Y593" t="s">
        <v>43</v>
      </c>
      <c r="Z593" t="s">
        <v>37</v>
      </c>
      <c r="AA593">
        <v>3.93</v>
      </c>
      <c r="AB593" t="s">
        <v>37</v>
      </c>
      <c r="AC593">
        <v>3.93</v>
      </c>
      <c r="AD593">
        <v>11</v>
      </c>
      <c r="AE593">
        <v>15000</v>
      </c>
      <c r="AF593" t="str">
        <f>IF(Table1[[#This Row],[What is your current CGPA?]]&gt;=3.5,"High",IF(Table1[[#This Row],[What is your current CGPA?]]&gt;=2.5,"Medium","Low"))</f>
        <v>High</v>
      </c>
      <c r="AG593" t="str">
        <f>IF(AND(Table1[[#This Row],[Average attendance on class]]&lt;75,Table1[[#This Row],[How many hour do you study daily?]]&lt;1),"At Risk","Normal")</f>
        <v>Normal</v>
      </c>
      <c r="AH593">
        <f>(Table1[[#This Row],[Average attendance on class]]*0.4)+(Table1[[#This Row],[How many hour do you study daily?]]*10*0.3)+(Table1[[#This Row],[How many hour do you spent daily on your skill development?]]*10*0.3)</f>
        <v>67</v>
      </c>
    </row>
    <row r="594" spans="1:34" x14ac:dyDescent="0.25">
      <c r="A594">
        <v>2019</v>
      </c>
      <c r="B594" t="s">
        <v>34</v>
      </c>
      <c r="C594">
        <v>24</v>
      </c>
      <c r="D594">
        <v>2017</v>
      </c>
      <c r="E594" t="s">
        <v>35</v>
      </c>
      <c r="F594">
        <v>11</v>
      </c>
      <c r="G594" t="s">
        <v>37</v>
      </c>
      <c r="H594" t="s">
        <v>37</v>
      </c>
      <c r="I594">
        <v>6</v>
      </c>
      <c r="J594">
        <v>2</v>
      </c>
      <c r="K594" t="s">
        <v>38</v>
      </c>
      <c r="L594" t="s">
        <v>36</v>
      </c>
      <c r="M594" t="s">
        <v>36</v>
      </c>
      <c r="N594">
        <v>1</v>
      </c>
      <c r="O594" t="s">
        <v>39</v>
      </c>
      <c r="P594">
        <v>90</v>
      </c>
      <c r="Q594" t="s">
        <v>37</v>
      </c>
      <c r="R594" t="s">
        <v>37</v>
      </c>
      <c r="S594" t="s">
        <v>37</v>
      </c>
      <c r="T594" t="s">
        <v>40</v>
      </c>
      <c r="U594">
        <v>3</v>
      </c>
      <c r="V594" t="s">
        <v>40</v>
      </c>
      <c r="W594" t="s">
        <v>42</v>
      </c>
      <c r="X594" t="s">
        <v>37</v>
      </c>
      <c r="Y594" t="s">
        <v>47</v>
      </c>
      <c r="Z594" t="s">
        <v>37</v>
      </c>
      <c r="AA594">
        <v>3.94</v>
      </c>
      <c r="AB594" t="s">
        <v>37</v>
      </c>
      <c r="AC594">
        <v>3.76</v>
      </c>
      <c r="AD594">
        <v>130</v>
      </c>
      <c r="AE594">
        <v>40000</v>
      </c>
      <c r="AF594" t="str">
        <f>IF(Table1[[#This Row],[What is your current CGPA?]]&gt;=3.5,"High",IF(Table1[[#This Row],[What is your current CGPA?]]&gt;=2.5,"Medium","Low"))</f>
        <v>High</v>
      </c>
      <c r="AG594" t="str">
        <f>IF(AND(Table1[[#This Row],[Average attendance on class]]&lt;75,Table1[[#This Row],[How many hour do you study daily?]]&lt;1),"At Risk","Normal")</f>
        <v>Normal</v>
      </c>
      <c r="AH594">
        <f>(Table1[[#This Row],[Average attendance on class]]*0.4)+(Table1[[#This Row],[How many hour do you study daily?]]*10*0.3)+(Table1[[#This Row],[How many hour do you spent daily on your skill development?]]*10*0.3)</f>
        <v>63</v>
      </c>
    </row>
    <row r="595" spans="1:34" x14ac:dyDescent="0.25">
      <c r="A595">
        <v>2021</v>
      </c>
      <c r="B595" t="s">
        <v>48</v>
      </c>
      <c r="C595">
        <v>22</v>
      </c>
      <c r="D595">
        <v>2021</v>
      </c>
      <c r="E595" t="s">
        <v>35</v>
      </c>
      <c r="F595">
        <v>3</v>
      </c>
      <c r="G595" t="s">
        <v>37</v>
      </c>
      <c r="H595" t="s">
        <v>37</v>
      </c>
      <c r="I595">
        <v>4</v>
      </c>
      <c r="J595">
        <v>2</v>
      </c>
      <c r="K595" t="s">
        <v>44</v>
      </c>
      <c r="L595" t="s">
        <v>36</v>
      </c>
      <c r="M595" t="s">
        <v>36</v>
      </c>
      <c r="N595">
        <v>3</v>
      </c>
      <c r="O595" t="s">
        <v>39</v>
      </c>
      <c r="P595">
        <v>95</v>
      </c>
      <c r="Q595" t="s">
        <v>36</v>
      </c>
      <c r="R595" t="s">
        <v>37</v>
      </c>
      <c r="S595" t="s">
        <v>36</v>
      </c>
      <c r="T595" t="s">
        <v>40</v>
      </c>
      <c r="U595">
        <v>2</v>
      </c>
      <c r="V595" t="s">
        <v>40</v>
      </c>
      <c r="W595" t="s">
        <v>42</v>
      </c>
      <c r="X595" t="s">
        <v>36</v>
      </c>
      <c r="Y595" t="s">
        <v>43</v>
      </c>
      <c r="Z595" t="s">
        <v>37</v>
      </c>
      <c r="AA595">
        <v>2.87</v>
      </c>
      <c r="AB595" t="s">
        <v>37</v>
      </c>
      <c r="AC595">
        <v>2.31</v>
      </c>
      <c r="AD595">
        <v>24</v>
      </c>
      <c r="AE595">
        <v>200000</v>
      </c>
      <c r="AF595" t="str">
        <f>IF(Table1[[#This Row],[What is your current CGPA?]]&gt;=3.5,"High",IF(Table1[[#This Row],[What is your current CGPA?]]&gt;=2.5,"Medium","Low"))</f>
        <v>Low</v>
      </c>
      <c r="AG595" t="str">
        <f>IF(AND(Table1[[#This Row],[Average attendance on class]]&lt;75,Table1[[#This Row],[How many hour do you study daily?]]&lt;1),"At Risk","Normal")</f>
        <v>Normal</v>
      </c>
      <c r="AH595">
        <f>(Table1[[#This Row],[Average attendance on class]]*0.4)+(Table1[[#This Row],[How many hour do you study daily?]]*10*0.3)+(Table1[[#This Row],[How many hour do you spent daily on your skill development?]]*10*0.3)</f>
        <v>56</v>
      </c>
    </row>
    <row r="596" spans="1:34" x14ac:dyDescent="0.25">
      <c r="A596">
        <v>2021</v>
      </c>
      <c r="B596" t="s">
        <v>34</v>
      </c>
      <c r="C596">
        <v>21</v>
      </c>
      <c r="D596">
        <v>2020</v>
      </c>
      <c r="E596" t="s">
        <v>35</v>
      </c>
      <c r="F596">
        <v>5</v>
      </c>
      <c r="G596" t="s">
        <v>37</v>
      </c>
      <c r="H596" t="s">
        <v>37</v>
      </c>
      <c r="I596">
        <v>3</v>
      </c>
      <c r="J596">
        <v>3</v>
      </c>
      <c r="K596" t="s">
        <v>38</v>
      </c>
      <c r="L596" t="s">
        <v>36</v>
      </c>
      <c r="M596" t="s">
        <v>36</v>
      </c>
      <c r="N596">
        <v>2</v>
      </c>
      <c r="O596" t="s">
        <v>45</v>
      </c>
      <c r="P596">
        <v>100</v>
      </c>
      <c r="Q596" t="s">
        <v>37</v>
      </c>
      <c r="R596" t="s">
        <v>37</v>
      </c>
      <c r="S596" t="s">
        <v>36</v>
      </c>
      <c r="T596" t="s">
        <v>40</v>
      </c>
      <c r="U596">
        <v>2</v>
      </c>
      <c r="V596" t="s">
        <v>40</v>
      </c>
      <c r="W596" t="s">
        <v>42</v>
      </c>
      <c r="X596" t="s">
        <v>37</v>
      </c>
      <c r="Y596" t="s">
        <v>43</v>
      </c>
      <c r="Z596" t="s">
        <v>37</v>
      </c>
      <c r="AA596">
        <v>3.31</v>
      </c>
      <c r="AB596" t="s">
        <v>37</v>
      </c>
      <c r="AC596">
        <v>3.27</v>
      </c>
      <c r="AD596">
        <v>49</v>
      </c>
      <c r="AE596">
        <v>30000</v>
      </c>
      <c r="AF596" t="str">
        <f>IF(Table1[[#This Row],[What is your current CGPA?]]&gt;=3.5,"High",IF(Table1[[#This Row],[What is your current CGPA?]]&gt;=2.5,"Medium","Low"))</f>
        <v>Medium</v>
      </c>
      <c r="AG596" t="str">
        <f>IF(AND(Table1[[#This Row],[Average attendance on class]]&lt;75,Table1[[#This Row],[How many hour do you study daily?]]&lt;1),"At Risk","Normal")</f>
        <v>Normal</v>
      </c>
      <c r="AH596">
        <f>(Table1[[#This Row],[Average attendance on class]]*0.4)+(Table1[[#This Row],[How many hour do you study daily?]]*10*0.3)+(Table1[[#This Row],[How many hour do you spent daily on your skill development?]]*10*0.3)</f>
        <v>55</v>
      </c>
    </row>
    <row r="597" spans="1:34" x14ac:dyDescent="0.25">
      <c r="A597">
        <v>2022</v>
      </c>
      <c r="B597" t="s">
        <v>48</v>
      </c>
      <c r="C597">
        <v>19</v>
      </c>
      <c r="D597">
        <v>2020</v>
      </c>
      <c r="E597" t="s">
        <v>35</v>
      </c>
      <c r="F597">
        <v>2</v>
      </c>
      <c r="G597" t="s">
        <v>36</v>
      </c>
      <c r="H597" t="s">
        <v>36</v>
      </c>
      <c r="I597">
        <v>5</v>
      </c>
      <c r="J597">
        <v>2</v>
      </c>
      <c r="K597" t="s">
        <v>44</v>
      </c>
      <c r="L597" t="s">
        <v>36</v>
      </c>
      <c r="M597" t="s">
        <v>36</v>
      </c>
      <c r="N597">
        <v>1</v>
      </c>
      <c r="O597" t="s">
        <v>39</v>
      </c>
      <c r="P597">
        <v>99</v>
      </c>
      <c r="Q597" t="s">
        <v>37</v>
      </c>
      <c r="R597" t="s">
        <v>37</v>
      </c>
      <c r="S597" t="s">
        <v>36</v>
      </c>
      <c r="T597" t="s">
        <v>40</v>
      </c>
      <c r="U597">
        <v>1</v>
      </c>
      <c r="V597" t="s">
        <v>40</v>
      </c>
      <c r="W597" t="s">
        <v>42</v>
      </c>
      <c r="X597" t="s">
        <v>36</v>
      </c>
      <c r="Y597" t="s">
        <v>47</v>
      </c>
      <c r="Z597" t="s">
        <v>37</v>
      </c>
      <c r="AA597">
        <v>4</v>
      </c>
      <c r="AB597" t="s">
        <v>36</v>
      </c>
      <c r="AC597">
        <v>4</v>
      </c>
      <c r="AD597">
        <v>11</v>
      </c>
      <c r="AE597">
        <v>35000</v>
      </c>
      <c r="AF597" t="str">
        <f>IF(Table1[[#This Row],[What is your current CGPA?]]&gt;=3.5,"High",IF(Table1[[#This Row],[What is your current CGPA?]]&gt;=2.5,"Medium","Low"))</f>
        <v>High</v>
      </c>
      <c r="AG597" t="str">
        <f>IF(AND(Table1[[#This Row],[Average attendance on class]]&lt;75,Table1[[#This Row],[How many hour do you study daily?]]&lt;1),"At Risk","Normal")</f>
        <v>Normal</v>
      </c>
      <c r="AH597">
        <f>(Table1[[#This Row],[Average attendance on class]]*0.4)+(Table1[[#This Row],[How many hour do you study daily?]]*10*0.3)+(Table1[[#This Row],[How many hour do you spent daily on your skill development?]]*10*0.3)</f>
        <v>57.6</v>
      </c>
    </row>
    <row r="598" spans="1:34" x14ac:dyDescent="0.25">
      <c r="A598">
        <v>2022</v>
      </c>
      <c r="B598" t="s">
        <v>34</v>
      </c>
      <c r="C598">
        <v>20</v>
      </c>
      <c r="D598">
        <v>2020</v>
      </c>
      <c r="E598" t="s">
        <v>35</v>
      </c>
      <c r="F598">
        <v>2</v>
      </c>
      <c r="G598" t="s">
        <v>36</v>
      </c>
      <c r="H598" t="s">
        <v>37</v>
      </c>
      <c r="I598">
        <v>0</v>
      </c>
      <c r="J598">
        <v>0</v>
      </c>
      <c r="K598" t="s">
        <v>38</v>
      </c>
      <c r="L598" t="s">
        <v>36</v>
      </c>
      <c r="M598" t="s">
        <v>36</v>
      </c>
      <c r="N598">
        <v>4</v>
      </c>
      <c r="O598" t="s">
        <v>45</v>
      </c>
      <c r="P598">
        <v>100</v>
      </c>
      <c r="Q598" t="s">
        <v>37</v>
      </c>
      <c r="R598" t="s">
        <v>37</v>
      </c>
      <c r="S598" t="s">
        <v>37</v>
      </c>
      <c r="T598" t="s">
        <v>40</v>
      </c>
      <c r="U598">
        <v>1</v>
      </c>
      <c r="V598" t="s">
        <v>40</v>
      </c>
      <c r="W598" t="s">
        <v>42</v>
      </c>
      <c r="X598" t="s">
        <v>37</v>
      </c>
      <c r="Y598" t="s">
        <v>43</v>
      </c>
      <c r="Z598" t="s">
        <v>37</v>
      </c>
      <c r="AA598">
        <v>4</v>
      </c>
      <c r="AB598" t="s">
        <v>37</v>
      </c>
      <c r="AC598">
        <v>4</v>
      </c>
      <c r="AD598">
        <v>12</v>
      </c>
      <c r="AE598">
        <v>20000</v>
      </c>
      <c r="AF598" t="str">
        <f>IF(Table1[[#This Row],[What is your current CGPA?]]&gt;=3.5,"High",IF(Table1[[#This Row],[What is your current CGPA?]]&gt;=2.5,"Medium","Low"))</f>
        <v>High</v>
      </c>
      <c r="AG598" t="str">
        <f>IF(AND(Table1[[#This Row],[Average attendance on class]]&lt;75,Table1[[#This Row],[How many hour do you study daily?]]&lt;1),"At Risk","Normal")</f>
        <v>Normal</v>
      </c>
      <c r="AH598">
        <f>(Table1[[#This Row],[Average attendance on class]]*0.4)+(Table1[[#This Row],[How many hour do you study daily?]]*10*0.3)+(Table1[[#This Row],[How many hour do you spent daily on your skill development?]]*10*0.3)</f>
        <v>43</v>
      </c>
    </row>
    <row r="599" spans="1:34" x14ac:dyDescent="0.25">
      <c r="A599">
        <v>2021</v>
      </c>
      <c r="B599" t="s">
        <v>34</v>
      </c>
      <c r="C599">
        <v>20</v>
      </c>
      <c r="D599">
        <v>2020</v>
      </c>
      <c r="E599" t="s">
        <v>35</v>
      </c>
      <c r="F599">
        <v>3</v>
      </c>
      <c r="G599" t="s">
        <v>36</v>
      </c>
      <c r="H599" t="s">
        <v>37</v>
      </c>
      <c r="I599">
        <v>1</v>
      </c>
      <c r="J599">
        <v>1</v>
      </c>
      <c r="K599" t="s">
        <v>44</v>
      </c>
      <c r="L599" t="s">
        <v>36</v>
      </c>
      <c r="M599" t="s">
        <v>36</v>
      </c>
      <c r="N599">
        <v>2</v>
      </c>
      <c r="O599" t="s">
        <v>39</v>
      </c>
      <c r="P599">
        <v>75</v>
      </c>
      <c r="Q599" t="s">
        <v>36</v>
      </c>
      <c r="R599" t="s">
        <v>37</v>
      </c>
      <c r="S599" t="s">
        <v>36</v>
      </c>
      <c r="T599" t="s">
        <v>40</v>
      </c>
      <c r="U599">
        <v>1</v>
      </c>
      <c r="V599" t="s">
        <v>52</v>
      </c>
      <c r="W599" t="s">
        <v>42</v>
      </c>
      <c r="X599" t="s">
        <v>37</v>
      </c>
      <c r="Y599" t="s">
        <v>43</v>
      </c>
      <c r="Z599" t="s">
        <v>36</v>
      </c>
      <c r="AA599">
        <v>2.08</v>
      </c>
      <c r="AB599" t="s">
        <v>37</v>
      </c>
      <c r="AC599">
        <v>2.68</v>
      </c>
      <c r="AD599">
        <v>20</v>
      </c>
      <c r="AE599">
        <v>50000</v>
      </c>
      <c r="AF599" t="str">
        <f>IF(Table1[[#This Row],[What is your current CGPA?]]&gt;=3.5,"High",IF(Table1[[#This Row],[What is your current CGPA?]]&gt;=2.5,"Medium","Low"))</f>
        <v>Medium</v>
      </c>
      <c r="AG599" t="str">
        <f>IF(AND(Table1[[#This Row],[Average attendance on class]]&lt;75,Table1[[#This Row],[How many hour do you study daily?]]&lt;1),"At Risk","Normal")</f>
        <v>Normal</v>
      </c>
      <c r="AH599">
        <f>(Table1[[#This Row],[Average attendance on class]]*0.4)+(Table1[[#This Row],[How many hour do you study daily?]]*10*0.3)+(Table1[[#This Row],[How many hour do you spent daily on your skill development?]]*10*0.3)</f>
        <v>36</v>
      </c>
    </row>
    <row r="600" spans="1:34" x14ac:dyDescent="0.25">
      <c r="A600">
        <v>2021</v>
      </c>
      <c r="B600" t="s">
        <v>48</v>
      </c>
      <c r="C600">
        <v>22</v>
      </c>
      <c r="D600">
        <v>2020</v>
      </c>
      <c r="E600" t="s">
        <v>35</v>
      </c>
      <c r="F600">
        <v>3</v>
      </c>
      <c r="G600" t="s">
        <v>37</v>
      </c>
      <c r="H600" t="s">
        <v>36</v>
      </c>
      <c r="I600">
        <v>6</v>
      </c>
      <c r="J600">
        <v>2</v>
      </c>
      <c r="K600" t="s">
        <v>38</v>
      </c>
      <c r="L600" t="s">
        <v>36</v>
      </c>
      <c r="M600" t="s">
        <v>36</v>
      </c>
      <c r="N600">
        <v>3</v>
      </c>
      <c r="O600" t="s">
        <v>45</v>
      </c>
      <c r="P600">
        <v>80</v>
      </c>
      <c r="Q600" t="s">
        <v>36</v>
      </c>
      <c r="R600" t="s">
        <v>37</v>
      </c>
      <c r="S600" t="s">
        <v>36</v>
      </c>
      <c r="T600" t="s">
        <v>40</v>
      </c>
      <c r="U600">
        <v>2</v>
      </c>
      <c r="V600" t="s">
        <v>40</v>
      </c>
      <c r="W600" t="s">
        <v>42</v>
      </c>
      <c r="X600" t="s">
        <v>37</v>
      </c>
      <c r="Y600" t="s">
        <v>47</v>
      </c>
      <c r="Z600" t="s">
        <v>37</v>
      </c>
      <c r="AA600">
        <v>2.62</v>
      </c>
      <c r="AB600" t="s">
        <v>37</v>
      </c>
      <c r="AC600">
        <v>2.64</v>
      </c>
      <c r="AD600">
        <v>18</v>
      </c>
      <c r="AE600">
        <v>5000</v>
      </c>
      <c r="AF600" t="str">
        <f>IF(Table1[[#This Row],[What is your current CGPA?]]&gt;=3.5,"High",IF(Table1[[#This Row],[What is your current CGPA?]]&gt;=2.5,"Medium","Low"))</f>
        <v>Medium</v>
      </c>
      <c r="AG600" t="str">
        <f>IF(AND(Table1[[#This Row],[Average attendance on class]]&lt;75,Table1[[#This Row],[How many hour do you study daily?]]&lt;1),"At Risk","Normal")</f>
        <v>Normal</v>
      </c>
      <c r="AH600">
        <f>(Table1[[#This Row],[Average attendance on class]]*0.4)+(Table1[[#This Row],[How many hour do you study daily?]]*10*0.3)+(Table1[[#This Row],[How many hour do you spent daily on your skill development?]]*10*0.3)</f>
        <v>56</v>
      </c>
    </row>
    <row r="601" spans="1:34" x14ac:dyDescent="0.25">
      <c r="A601">
        <v>2022</v>
      </c>
      <c r="B601" t="s">
        <v>34</v>
      </c>
      <c r="C601">
        <v>19</v>
      </c>
      <c r="D601">
        <v>2020</v>
      </c>
      <c r="E601" t="s">
        <v>35</v>
      </c>
      <c r="F601">
        <v>1</v>
      </c>
      <c r="G601" t="s">
        <v>36</v>
      </c>
      <c r="H601" t="s">
        <v>36</v>
      </c>
      <c r="I601">
        <v>2</v>
      </c>
      <c r="J601">
        <v>1</v>
      </c>
      <c r="K601" t="s">
        <v>38</v>
      </c>
      <c r="L601" t="s">
        <v>36</v>
      </c>
      <c r="M601" t="s">
        <v>36</v>
      </c>
      <c r="N601">
        <v>8</v>
      </c>
      <c r="O601" t="s">
        <v>45</v>
      </c>
      <c r="P601">
        <v>100</v>
      </c>
      <c r="Q601" t="s">
        <v>37</v>
      </c>
      <c r="R601" t="s">
        <v>37</v>
      </c>
      <c r="S601" t="s">
        <v>36</v>
      </c>
      <c r="T601" t="s">
        <v>40</v>
      </c>
      <c r="U601">
        <v>2</v>
      </c>
      <c r="V601" t="s">
        <v>40</v>
      </c>
      <c r="W601" t="s">
        <v>42</v>
      </c>
      <c r="X601" t="s">
        <v>36</v>
      </c>
      <c r="Y601" t="s">
        <v>43</v>
      </c>
      <c r="Z601" t="s">
        <v>37</v>
      </c>
      <c r="AA601">
        <v>3.89</v>
      </c>
      <c r="AB601" t="s">
        <v>37</v>
      </c>
      <c r="AC601">
        <v>3.89</v>
      </c>
      <c r="AD601">
        <v>12</v>
      </c>
      <c r="AE601">
        <v>35000</v>
      </c>
      <c r="AF601" t="str">
        <f>IF(Table1[[#This Row],[What is your current CGPA?]]&gt;=3.5,"High",IF(Table1[[#This Row],[What is your current CGPA?]]&gt;=2.5,"Medium","Low"))</f>
        <v>High</v>
      </c>
      <c r="AG601" t="str">
        <f>IF(AND(Table1[[#This Row],[Average attendance on class]]&lt;75,Table1[[#This Row],[How many hour do you study daily?]]&lt;1),"At Risk","Normal")</f>
        <v>Normal</v>
      </c>
      <c r="AH601">
        <f>(Table1[[#This Row],[Average attendance on class]]*0.4)+(Table1[[#This Row],[How many hour do you study daily?]]*10*0.3)+(Table1[[#This Row],[How many hour do you spent daily on your skill development?]]*10*0.3)</f>
        <v>52</v>
      </c>
    </row>
    <row r="602" spans="1:34" x14ac:dyDescent="0.25">
      <c r="A602">
        <v>2018</v>
      </c>
      <c r="B602" t="s">
        <v>48</v>
      </c>
      <c r="C602">
        <v>23</v>
      </c>
      <c r="D602">
        <v>2016</v>
      </c>
      <c r="E602" t="s">
        <v>35</v>
      </c>
      <c r="F602">
        <v>14</v>
      </c>
      <c r="G602" t="s">
        <v>37</v>
      </c>
      <c r="H602" t="s">
        <v>36</v>
      </c>
      <c r="I602">
        <v>2</v>
      </c>
      <c r="J602">
        <v>1</v>
      </c>
      <c r="K602" t="s">
        <v>38</v>
      </c>
      <c r="L602" t="s">
        <v>36</v>
      </c>
      <c r="M602" t="s">
        <v>36</v>
      </c>
      <c r="N602">
        <v>8</v>
      </c>
      <c r="O602" t="s">
        <v>53</v>
      </c>
      <c r="P602">
        <v>70</v>
      </c>
      <c r="Q602" t="s">
        <v>36</v>
      </c>
      <c r="R602" t="s">
        <v>37</v>
      </c>
      <c r="S602" t="s">
        <v>36</v>
      </c>
      <c r="T602" t="s">
        <v>51</v>
      </c>
      <c r="U602">
        <v>1</v>
      </c>
      <c r="V602" t="s">
        <v>52</v>
      </c>
      <c r="W602" t="s">
        <v>50</v>
      </c>
      <c r="X602" t="s">
        <v>37</v>
      </c>
      <c r="Y602" t="s">
        <v>47</v>
      </c>
      <c r="Z602" t="s">
        <v>37</v>
      </c>
      <c r="AA602">
        <v>2.75</v>
      </c>
      <c r="AB602" t="s">
        <v>37</v>
      </c>
      <c r="AC602">
        <v>2.88</v>
      </c>
      <c r="AD602">
        <v>111</v>
      </c>
      <c r="AE602">
        <v>70000</v>
      </c>
      <c r="AF602" t="str">
        <f>IF(Table1[[#This Row],[What is your current CGPA?]]&gt;=3.5,"High",IF(Table1[[#This Row],[What is your current CGPA?]]&gt;=2.5,"Medium","Low"))</f>
        <v>Medium</v>
      </c>
      <c r="AG602" t="str">
        <f>IF(AND(Table1[[#This Row],[Average attendance on class]]&lt;75,Table1[[#This Row],[How many hour do you study daily?]]&lt;1),"At Risk","Normal")</f>
        <v>Normal</v>
      </c>
      <c r="AH602">
        <f>(Table1[[#This Row],[Average attendance on class]]*0.4)+(Table1[[#This Row],[How many hour do you study daily?]]*10*0.3)+(Table1[[#This Row],[How many hour do you spent daily on your skill development?]]*10*0.3)</f>
        <v>37</v>
      </c>
    </row>
    <row r="603" spans="1:34" x14ac:dyDescent="0.25">
      <c r="A603">
        <v>2020</v>
      </c>
      <c r="B603" t="s">
        <v>34</v>
      </c>
      <c r="C603">
        <v>22</v>
      </c>
      <c r="D603">
        <v>2018</v>
      </c>
      <c r="E603" t="s">
        <v>35</v>
      </c>
      <c r="F603">
        <v>8</v>
      </c>
      <c r="G603" t="s">
        <v>37</v>
      </c>
      <c r="H603" t="s">
        <v>37</v>
      </c>
      <c r="I603">
        <v>5</v>
      </c>
      <c r="J603">
        <v>2</v>
      </c>
      <c r="K603" t="s">
        <v>44</v>
      </c>
      <c r="L603" t="s">
        <v>37</v>
      </c>
      <c r="M603" t="s">
        <v>36</v>
      </c>
      <c r="N603">
        <v>2</v>
      </c>
      <c r="O603" t="s">
        <v>39</v>
      </c>
      <c r="P603">
        <v>98</v>
      </c>
      <c r="Q603" t="s">
        <v>37</v>
      </c>
      <c r="R603" t="s">
        <v>37</v>
      </c>
      <c r="S603" t="s">
        <v>37</v>
      </c>
      <c r="T603" t="s">
        <v>40</v>
      </c>
      <c r="U603">
        <v>3</v>
      </c>
      <c r="V603" t="s">
        <v>40</v>
      </c>
      <c r="W603" t="s">
        <v>42</v>
      </c>
      <c r="X603" t="s">
        <v>37</v>
      </c>
      <c r="Y603" t="s">
        <v>47</v>
      </c>
      <c r="Z603" t="s">
        <v>37</v>
      </c>
      <c r="AA603">
        <v>4</v>
      </c>
      <c r="AB603" t="s">
        <v>37</v>
      </c>
      <c r="AC603">
        <v>3.97</v>
      </c>
      <c r="AD603">
        <v>87</v>
      </c>
      <c r="AE603">
        <v>30000</v>
      </c>
      <c r="AF603" t="str">
        <f>IF(Table1[[#This Row],[What is your current CGPA?]]&gt;=3.5,"High",IF(Table1[[#This Row],[What is your current CGPA?]]&gt;=2.5,"Medium","Low"))</f>
        <v>High</v>
      </c>
      <c r="AG603" t="str">
        <f>IF(AND(Table1[[#This Row],[Average attendance on class]]&lt;75,Table1[[#This Row],[How many hour do you study daily?]]&lt;1),"At Risk","Normal")</f>
        <v>Normal</v>
      </c>
      <c r="AH603">
        <f>(Table1[[#This Row],[Average attendance on class]]*0.4)+(Table1[[#This Row],[How many hour do you study daily?]]*10*0.3)+(Table1[[#This Row],[How many hour do you spent daily on your skill development?]]*10*0.3)</f>
        <v>63.2</v>
      </c>
    </row>
    <row r="604" spans="1:34" x14ac:dyDescent="0.25">
      <c r="A604">
        <v>2020</v>
      </c>
      <c r="B604" t="s">
        <v>34</v>
      </c>
      <c r="C604">
        <v>22</v>
      </c>
      <c r="D604">
        <v>2018</v>
      </c>
      <c r="E604" t="s">
        <v>35</v>
      </c>
      <c r="F604">
        <v>8</v>
      </c>
      <c r="G604" t="s">
        <v>36</v>
      </c>
      <c r="H604" t="s">
        <v>37</v>
      </c>
      <c r="I604">
        <v>3</v>
      </c>
      <c r="J604">
        <v>2</v>
      </c>
      <c r="K604" t="s">
        <v>44</v>
      </c>
      <c r="L604" t="s">
        <v>36</v>
      </c>
      <c r="M604" t="s">
        <v>36</v>
      </c>
      <c r="N604">
        <v>2</v>
      </c>
      <c r="O604" t="s">
        <v>39</v>
      </c>
      <c r="P604">
        <v>95</v>
      </c>
      <c r="Q604" t="s">
        <v>37</v>
      </c>
      <c r="R604" t="s">
        <v>37</v>
      </c>
      <c r="S604" t="s">
        <v>37</v>
      </c>
      <c r="T604" t="s">
        <v>40</v>
      </c>
      <c r="U604">
        <v>2</v>
      </c>
      <c r="V604" t="s">
        <v>40</v>
      </c>
      <c r="W604" t="s">
        <v>42</v>
      </c>
      <c r="X604" t="s">
        <v>37</v>
      </c>
      <c r="Y604" t="s">
        <v>43</v>
      </c>
      <c r="Z604" t="s">
        <v>37</v>
      </c>
      <c r="AA604">
        <v>3.57</v>
      </c>
      <c r="AB604" t="s">
        <v>37</v>
      </c>
      <c r="AC604">
        <v>3.57</v>
      </c>
      <c r="AD604">
        <v>90</v>
      </c>
      <c r="AE604">
        <v>40000</v>
      </c>
      <c r="AF604" t="str">
        <f>IF(Table1[[#This Row],[What is your current CGPA?]]&gt;=3.5,"High",IF(Table1[[#This Row],[What is your current CGPA?]]&gt;=2.5,"Medium","Low"))</f>
        <v>High</v>
      </c>
      <c r="AG604" t="str">
        <f>IF(AND(Table1[[#This Row],[Average attendance on class]]&lt;75,Table1[[#This Row],[How many hour do you study daily?]]&lt;1),"At Risk","Normal")</f>
        <v>Normal</v>
      </c>
      <c r="AH604">
        <f>(Table1[[#This Row],[Average attendance on class]]*0.4)+(Table1[[#This Row],[How many hour do you study daily?]]*10*0.3)+(Table1[[#This Row],[How many hour do you spent daily on your skill development?]]*10*0.3)</f>
        <v>53</v>
      </c>
    </row>
    <row r="605" spans="1:34" x14ac:dyDescent="0.25">
      <c r="A605">
        <v>2020</v>
      </c>
      <c r="B605" t="s">
        <v>48</v>
      </c>
      <c r="C605">
        <v>22</v>
      </c>
      <c r="D605">
        <v>2018</v>
      </c>
      <c r="E605" t="s">
        <v>35</v>
      </c>
      <c r="F605">
        <v>8</v>
      </c>
      <c r="G605" t="s">
        <v>36</v>
      </c>
      <c r="H605" t="s">
        <v>37</v>
      </c>
      <c r="I605">
        <v>2</v>
      </c>
      <c r="J605">
        <v>1</v>
      </c>
      <c r="K605" t="s">
        <v>38</v>
      </c>
      <c r="L605" t="s">
        <v>36</v>
      </c>
      <c r="M605" t="s">
        <v>36</v>
      </c>
      <c r="N605">
        <v>2</v>
      </c>
      <c r="O605" t="s">
        <v>39</v>
      </c>
      <c r="P605">
        <v>98</v>
      </c>
      <c r="Q605" t="s">
        <v>37</v>
      </c>
      <c r="R605" t="s">
        <v>37</v>
      </c>
      <c r="S605" t="s">
        <v>36</v>
      </c>
      <c r="T605" t="s">
        <v>40</v>
      </c>
      <c r="U605">
        <v>0</v>
      </c>
      <c r="V605" t="s">
        <v>40</v>
      </c>
      <c r="W605" t="s">
        <v>42</v>
      </c>
      <c r="X605" t="s">
        <v>37</v>
      </c>
      <c r="Y605" t="s">
        <v>43</v>
      </c>
      <c r="Z605" t="s">
        <v>36</v>
      </c>
      <c r="AA605">
        <v>3.19</v>
      </c>
      <c r="AB605" t="s">
        <v>37</v>
      </c>
      <c r="AC605">
        <v>3.41</v>
      </c>
      <c r="AD605">
        <v>90</v>
      </c>
      <c r="AE605">
        <v>62488</v>
      </c>
      <c r="AF605" t="str">
        <f>IF(Table1[[#This Row],[What is your current CGPA?]]&gt;=3.5,"High",IF(Table1[[#This Row],[What is your current CGPA?]]&gt;=2.5,"Medium","Low"))</f>
        <v>Medium</v>
      </c>
      <c r="AG605" t="str">
        <f>IF(AND(Table1[[#This Row],[Average attendance on class]]&lt;75,Table1[[#This Row],[How many hour do you study daily?]]&lt;1),"At Risk","Normal")</f>
        <v>Normal</v>
      </c>
      <c r="AH605">
        <f>(Table1[[#This Row],[Average attendance on class]]*0.4)+(Table1[[#This Row],[How many hour do you study daily?]]*10*0.3)+(Table1[[#This Row],[How many hour do you spent daily on your skill development?]]*10*0.3)</f>
        <v>45.2</v>
      </c>
    </row>
    <row r="606" spans="1:34" x14ac:dyDescent="0.25">
      <c r="A606">
        <v>2019</v>
      </c>
      <c r="B606" t="s">
        <v>34</v>
      </c>
      <c r="C606">
        <v>23</v>
      </c>
      <c r="D606">
        <v>2018</v>
      </c>
      <c r="E606" t="s">
        <v>35</v>
      </c>
      <c r="F606">
        <v>11</v>
      </c>
      <c r="G606" t="s">
        <v>36</v>
      </c>
      <c r="H606" t="s">
        <v>37</v>
      </c>
      <c r="I606">
        <v>8</v>
      </c>
      <c r="J606">
        <v>2</v>
      </c>
      <c r="K606" t="s">
        <v>38</v>
      </c>
      <c r="L606" t="s">
        <v>36</v>
      </c>
      <c r="M606" t="s">
        <v>36</v>
      </c>
      <c r="N606">
        <v>2</v>
      </c>
      <c r="O606" t="s">
        <v>39</v>
      </c>
      <c r="P606">
        <v>99</v>
      </c>
      <c r="Q606" t="s">
        <v>37</v>
      </c>
      <c r="R606" t="s">
        <v>37</v>
      </c>
      <c r="S606" t="s">
        <v>37</v>
      </c>
      <c r="T606" t="s">
        <v>40</v>
      </c>
      <c r="U606">
        <v>3</v>
      </c>
      <c r="V606" t="s">
        <v>40</v>
      </c>
      <c r="W606" t="s">
        <v>42</v>
      </c>
      <c r="X606" t="s">
        <v>37</v>
      </c>
      <c r="Y606" t="s">
        <v>43</v>
      </c>
      <c r="Z606" t="s">
        <v>37</v>
      </c>
      <c r="AA606">
        <v>3.6</v>
      </c>
      <c r="AB606" t="s">
        <v>37</v>
      </c>
      <c r="AC606">
        <v>3.9</v>
      </c>
      <c r="AD606">
        <v>130</v>
      </c>
      <c r="AE606">
        <v>24000</v>
      </c>
      <c r="AF606" t="str">
        <f>IF(Table1[[#This Row],[What is your current CGPA?]]&gt;=3.5,"High",IF(Table1[[#This Row],[What is your current CGPA?]]&gt;=2.5,"Medium","Low"))</f>
        <v>High</v>
      </c>
      <c r="AG606" t="str">
        <f>IF(AND(Table1[[#This Row],[Average attendance on class]]&lt;75,Table1[[#This Row],[How many hour do you study daily?]]&lt;1),"At Risk","Normal")</f>
        <v>Normal</v>
      </c>
      <c r="AH606">
        <f>(Table1[[#This Row],[Average attendance on class]]*0.4)+(Table1[[#This Row],[How many hour do you study daily?]]*10*0.3)+(Table1[[#This Row],[How many hour do you spent daily on your skill development?]]*10*0.3)</f>
        <v>72.599999999999994</v>
      </c>
    </row>
    <row r="607" spans="1:34" x14ac:dyDescent="0.25">
      <c r="A607">
        <v>2020</v>
      </c>
      <c r="B607" t="s">
        <v>48</v>
      </c>
      <c r="C607">
        <v>20</v>
      </c>
      <c r="D607">
        <v>2019</v>
      </c>
      <c r="E607" t="s">
        <v>35</v>
      </c>
      <c r="F607">
        <v>7</v>
      </c>
      <c r="G607" t="s">
        <v>37</v>
      </c>
      <c r="H607" t="s">
        <v>36</v>
      </c>
      <c r="I607">
        <v>6</v>
      </c>
      <c r="J607">
        <v>2</v>
      </c>
      <c r="K607" t="s">
        <v>38</v>
      </c>
      <c r="L607" t="s">
        <v>36</v>
      </c>
      <c r="M607" t="s">
        <v>36</v>
      </c>
      <c r="N607">
        <v>6</v>
      </c>
      <c r="O607" t="s">
        <v>39</v>
      </c>
      <c r="P607">
        <v>85</v>
      </c>
      <c r="Q607" t="s">
        <v>36</v>
      </c>
      <c r="R607" t="s">
        <v>37</v>
      </c>
      <c r="S607" t="s">
        <v>36</v>
      </c>
      <c r="T607" t="s">
        <v>40</v>
      </c>
      <c r="U607">
        <v>3</v>
      </c>
      <c r="V607" t="s">
        <v>40</v>
      </c>
      <c r="W607" t="s">
        <v>42</v>
      </c>
      <c r="X607" t="s">
        <v>37</v>
      </c>
      <c r="Y607" t="s">
        <v>47</v>
      </c>
      <c r="Z607" t="s">
        <v>37</v>
      </c>
      <c r="AA607">
        <v>2.88</v>
      </c>
      <c r="AB607" t="s">
        <v>37</v>
      </c>
      <c r="AC607">
        <v>2.88</v>
      </c>
      <c r="AD607">
        <v>68</v>
      </c>
      <c r="AE607">
        <v>100000</v>
      </c>
      <c r="AF607" t="str">
        <f>IF(Table1[[#This Row],[What is your current CGPA?]]&gt;=3.5,"High",IF(Table1[[#This Row],[What is your current CGPA?]]&gt;=2.5,"Medium","Low"))</f>
        <v>Medium</v>
      </c>
      <c r="AG607" t="str">
        <f>IF(AND(Table1[[#This Row],[Average attendance on class]]&lt;75,Table1[[#This Row],[How many hour do you study daily?]]&lt;1),"At Risk","Normal")</f>
        <v>Normal</v>
      </c>
      <c r="AH607">
        <f>(Table1[[#This Row],[Average attendance on class]]*0.4)+(Table1[[#This Row],[How many hour do you study daily?]]*10*0.3)+(Table1[[#This Row],[How many hour do you spent daily on your skill development?]]*10*0.3)</f>
        <v>61</v>
      </c>
    </row>
    <row r="608" spans="1:34" x14ac:dyDescent="0.25">
      <c r="A608">
        <v>2022</v>
      </c>
      <c r="B608" t="s">
        <v>34</v>
      </c>
      <c r="C608">
        <v>20</v>
      </c>
      <c r="D608">
        <v>2020</v>
      </c>
      <c r="E608" t="s">
        <v>35</v>
      </c>
      <c r="F608">
        <v>2</v>
      </c>
      <c r="G608" t="s">
        <v>36</v>
      </c>
      <c r="H608" t="s">
        <v>37</v>
      </c>
      <c r="I608">
        <v>3</v>
      </c>
      <c r="J608">
        <v>2</v>
      </c>
      <c r="K608" t="s">
        <v>38</v>
      </c>
      <c r="L608" t="s">
        <v>36</v>
      </c>
      <c r="M608" t="s">
        <v>37</v>
      </c>
      <c r="N608">
        <v>6</v>
      </c>
      <c r="O608" t="s">
        <v>45</v>
      </c>
      <c r="P608">
        <v>90</v>
      </c>
      <c r="Q608" t="s">
        <v>36</v>
      </c>
      <c r="R608" t="s">
        <v>37</v>
      </c>
      <c r="S608" t="s">
        <v>36</v>
      </c>
      <c r="T608" t="s">
        <v>40</v>
      </c>
      <c r="U608">
        <v>2</v>
      </c>
      <c r="V608" t="s">
        <v>40</v>
      </c>
      <c r="W608" t="s">
        <v>42</v>
      </c>
      <c r="X608" t="s">
        <v>37</v>
      </c>
      <c r="Y608" t="s">
        <v>43</v>
      </c>
      <c r="Z608" t="s">
        <v>37</v>
      </c>
      <c r="AA608">
        <v>2.74</v>
      </c>
      <c r="AB608" t="s">
        <v>37</v>
      </c>
      <c r="AC608">
        <v>2.74</v>
      </c>
      <c r="AD608">
        <v>23</v>
      </c>
      <c r="AE608">
        <v>20000</v>
      </c>
      <c r="AF608" t="str">
        <f>IF(Table1[[#This Row],[What is your current CGPA?]]&gt;=3.5,"High",IF(Table1[[#This Row],[What is your current CGPA?]]&gt;=2.5,"Medium","Low"))</f>
        <v>Medium</v>
      </c>
      <c r="AG608" t="str">
        <f>IF(AND(Table1[[#This Row],[Average attendance on class]]&lt;75,Table1[[#This Row],[How many hour do you study daily?]]&lt;1),"At Risk","Normal")</f>
        <v>Normal</v>
      </c>
      <c r="AH608">
        <f>(Table1[[#This Row],[Average attendance on class]]*0.4)+(Table1[[#This Row],[How many hour do you study daily?]]*10*0.3)+(Table1[[#This Row],[How many hour do you spent daily on your skill development?]]*10*0.3)</f>
        <v>51</v>
      </c>
    </row>
    <row r="609" spans="1:34" x14ac:dyDescent="0.25">
      <c r="A609">
        <v>2021</v>
      </c>
      <c r="B609" t="s">
        <v>48</v>
      </c>
      <c r="C609">
        <v>20</v>
      </c>
      <c r="D609">
        <v>2019</v>
      </c>
      <c r="E609" t="s">
        <v>35</v>
      </c>
      <c r="F609">
        <v>3</v>
      </c>
      <c r="G609" t="s">
        <v>37</v>
      </c>
      <c r="H609" t="s">
        <v>36</v>
      </c>
      <c r="I609">
        <v>5</v>
      </c>
      <c r="J609">
        <v>3</v>
      </c>
      <c r="K609" t="s">
        <v>38</v>
      </c>
      <c r="L609" t="s">
        <v>36</v>
      </c>
      <c r="M609" t="s">
        <v>37</v>
      </c>
      <c r="N609">
        <v>3</v>
      </c>
      <c r="O609" t="s">
        <v>45</v>
      </c>
      <c r="P609">
        <v>50</v>
      </c>
      <c r="Q609" t="s">
        <v>36</v>
      </c>
      <c r="R609" t="s">
        <v>37</v>
      </c>
      <c r="S609" t="s">
        <v>37</v>
      </c>
      <c r="T609" t="s">
        <v>40</v>
      </c>
      <c r="U609">
        <v>3</v>
      </c>
      <c r="V609" t="s">
        <v>59</v>
      </c>
      <c r="W609" t="s">
        <v>42</v>
      </c>
      <c r="X609" t="s">
        <v>37</v>
      </c>
      <c r="Y609" t="s">
        <v>47</v>
      </c>
      <c r="Z609" t="s">
        <v>37</v>
      </c>
      <c r="AA609">
        <v>1.41</v>
      </c>
      <c r="AB609" t="s">
        <v>37</v>
      </c>
      <c r="AC609">
        <v>2.5499999999999998</v>
      </c>
      <c r="AD609">
        <v>25</v>
      </c>
      <c r="AE609">
        <v>10000</v>
      </c>
      <c r="AF609" t="str">
        <f>IF(Table1[[#This Row],[What is your current CGPA?]]&gt;=3.5,"High",IF(Table1[[#This Row],[What is your current CGPA?]]&gt;=2.5,"Medium","Low"))</f>
        <v>Medium</v>
      </c>
      <c r="AG609" t="str">
        <f>IF(AND(Table1[[#This Row],[Average attendance on class]]&lt;75,Table1[[#This Row],[How many hour do you study daily?]]&lt;1),"At Risk","Normal")</f>
        <v>Normal</v>
      </c>
      <c r="AH609">
        <f>(Table1[[#This Row],[Average attendance on class]]*0.4)+(Table1[[#This Row],[How many hour do you study daily?]]*10*0.3)+(Table1[[#This Row],[How many hour do you spent daily on your skill development?]]*10*0.3)</f>
        <v>44</v>
      </c>
    </row>
    <row r="610" spans="1:34" x14ac:dyDescent="0.25">
      <c r="A610">
        <v>2019</v>
      </c>
      <c r="B610" t="s">
        <v>48</v>
      </c>
      <c r="C610">
        <v>22</v>
      </c>
      <c r="D610">
        <v>2017</v>
      </c>
      <c r="E610" t="s">
        <v>35</v>
      </c>
      <c r="F610">
        <v>11</v>
      </c>
      <c r="G610" t="s">
        <v>37</v>
      </c>
      <c r="H610" t="s">
        <v>37</v>
      </c>
      <c r="I610">
        <v>5</v>
      </c>
      <c r="J610">
        <v>2</v>
      </c>
      <c r="K610" t="s">
        <v>38</v>
      </c>
      <c r="L610" t="s">
        <v>36</v>
      </c>
      <c r="M610" t="s">
        <v>36</v>
      </c>
      <c r="N610">
        <v>3</v>
      </c>
      <c r="O610" t="s">
        <v>39</v>
      </c>
      <c r="P610">
        <v>100</v>
      </c>
      <c r="Q610" t="s">
        <v>37</v>
      </c>
      <c r="R610" t="s">
        <v>37</v>
      </c>
      <c r="S610" t="s">
        <v>36</v>
      </c>
      <c r="T610" t="s">
        <v>40</v>
      </c>
      <c r="U610">
        <v>2</v>
      </c>
      <c r="V610" t="s">
        <v>52</v>
      </c>
      <c r="W610" t="s">
        <v>42</v>
      </c>
      <c r="X610" t="s">
        <v>37</v>
      </c>
      <c r="Y610" t="s">
        <v>43</v>
      </c>
      <c r="Z610" t="s">
        <v>37</v>
      </c>
      <c r="AA610">
        <v>3.42</v>
      </c>
      <c r="AB610" t="s">
        <v>37</v>
      </c>
      <c r="AC610">
        <v>3.32</v>
      </c>
      <c r="AD610">
        <v>122</v>
      </c>
      <c r="AE610">
        <v>40000</v>
      </c>
      <c r="AF610" t="str">
        <f>IF(Table1[[#This Row],[What is your current CGPA?]]&gt;=3.5,"High",IF(Table1[[#This Row],[What is your current CGPA?]]&gt;=2.5,"Medium","Low"))</f>
        <v>Medium</v>
      </c>
      <c r="AG610" t="str">
        <f>IF(AND(Table1[[#This Row],[Average attendance on class]]&lt;75,Table1[[#This Row],[How many hour do you study daily?]]&lt;1),"At Risk","Normal")</f>
        <v>Normal</v>
      </c>
      <c r="AH610">
        <f>(Table1[[#This Row],[Average attendance on class]]*0.4)+(Table1[[#This Row],[How many hour do you study daily?]]*10*0.3)+(Table1[[#This Row],[How many hour do you spent daily on your skill development?]]*10*0.3)</f>
        <v>61</v>
      </c>
    </row>
    <row r="611" spans="1:34" x14ac:dyDescent="0.25">
      <c r="A611">
        <v>2019</v>
      </c>
      <c r="B611" t="s">
        <v>48</v>
      </c>
      <c r="C611">
        <v>22</v>
      </c>
      <c r="D611">
        <v>2017</v>
      </c>
      <c r="E611" t="s">
        <v>35</v>
      </c>
      <c r="F611">
        <v>11</v>
      </c>
      <c r="G611" t="s">
        <v>37</v>
      </c>
      <c r="H611" t="s">
        <v>37</v>
      </c>
      <c r="I611">
        <v>5</v>
      </c>
      <c r="J611">
        <v>2</v>
      </c>
      <c r="K611" t="s">
        <v>38</v>
      </c>
      <c r="L611" t="s">
        <v>36</v>
      </c>
      <c r="M611" t="s">
        <v>36</v>
      </c>
      <c r="N611">
        <v>3</v>
      </c>
      <c r="O611" t="s">
        <v>39</v>
      </c>
      <c r="P611">
        <v>99</v>
      </c>
      <c r="Q611" t="s">
        <v>37</v>
      </c>
      <c r="R611" t="s">
        <v>37</v>
      </c>
      <c r="S611" t="s">
        <v>36</v>
      </c>
      <c r="T611" t="s">
        <v>40</v>
      </c>
      <c r="U611">
        <v>2</v>
      </c>
      <c r="V611" t="s">
        <v>52</v>
      </c>
      <c r="W611" t="s">
        <v>42</v>
      </c>
      <c r="X611" t="s">
        <v>37</v>
      </c>
      <c r="Y611" t="s">
        <v>43</v>
      </c>
      <c r="Z611" t="s">
        <v>37</v>
      </c>
      <c r="AA611">
        <v>3.1</v>
      </c>
      <c r="AB611" t="s">
        <v>37</v>
      </c>
      <c r="AC611">
        <v>3.08</v>
      </c>
      <c r="AD611">
        <v>118</v>
      </c>
      <c r="AE611">
        <v>40000</v>
      </c>
      <c r="AF611" t="str">
        <f>IF(Table1[[#This Row],[What is your current CGPA?]]&gt;=3.5,"High",IF(Table1[[#This Row],[What is your current CGPA?]]&gt;=2.5,"Medium","Low"))</f>
        <v>Medium</v>
      </c>
      <c r="AG611" t="str">
        <f>IF(AND(Table1[[#This Row],[Average attendance on class]]&lt;75,Table1[[#This Row],[How many hour do you study daily?]]&lt;1),"At Risk","Normal")</f>
        <v>Normal</v>
      </c>
      <c r="AH611">
        <f>(Table1[[#This Row],[Average attendance on class]]*0.4)+(Table1[[#This Row],[How many hour do you study daily?]]*10*0.3)+(Table1[[#This Row],[How many hour do you spent daily on your skill development?]]*10*0.3)</f>
        <v>60.6</v>
      </c>
    </row>
    <row r="612" spans="1:34" x14ac:dyDescent="0.25">
      <c r="A612">
        <v>2020</v>
      </c>
      <c r="B612" t="s">
        <v>34</v>
      </c>
      <c r="C612">
        <v>21</v>
      </c>
      <c r="D612">
        <v>2019</v>
      </c>
      <c r="E612" t="s">
        <v>35</v>
      </c>
      <c r="F612">
        <v>8</v>
      </c>
      <c r="G612" t="s">
        <v>36</v>
      </c>
      <c r="H612" t="s">
        <v>37</v>
      </c>
      <c r="I612">
        <v>2</v>
      </c>
      <c r="J612">
        <v>1</v>
      </c>
      <c r="K612" t="s">
        <v>44</v>
      </c>
      <c r="L612" t="s">
        <v>36</v>
      </c>
      <c r="M612" t="s">
        <v>36</v>
      </c>
      <c r="N612">
        <v>1</v>
      </c>
      <c r="O612" t="s">
        <v>53</v>
      </c>
      <c r="P612">
        <v>90</v>
      </c>
      <c r="Q612" t="s">
        <v>37</v>
      </c>
      <c r="R612" t="s">
        <v>37</v>
      </c>
      <c r="S612" t="s">
        <v>37</v>
      </c>
      <c r="T612" t="s">
        <v>40</v>
      </c>
      <c r="U612">
        <v>2</v>
      </c>
      <c r="V612" t="s">
        <v>52</v>
      </c>
      <c r="W612" t="s">
        <v>42</v>
      </c>
      <c r="X612" t="s">
        <v>37</v>
      </c>
      <c r="Y612" t="s">
        <v>43</v>
      </c>
      <c r="Z612" t="s">
        <v>37</v>
      </c>
      <c r="AA612">
        <v>3.96</v>
      </c>
      <c r="AB612" t="s">
        <v>37</v>
      </c>
      <c r="AC612">
        <v>3.86</v>
      </c>
      <c r="AD612">
        <v>87</v>
      </c>
      <c r="AE612">
        <v>120000</v>
      </c>
      <c r="AF612" t="str">
        <f>IF(Table1[[#This Row],[What is your current CGPA?]]&gt;=3.5,"High",IF(Table1[[#This Row],[What is your current CGPA?]]&gt;=2.5,"Medium","Low"))</f>
        <v>High</v>
      </c>
      <c r="AG612" t="str">
        <f>IF(AND(Table1[[#This Row],[Average attendance on class]]&lt;75,Table1[[#This Row],[How many hour do you study daily?]]&lt;1),"At Risk","Normal")</f>
        <v>Normal</v>
      </c>
      <c r="AH612">
        <f>(Table1[[#This Row],[Average attendance on class]]*0.4)+(Table1[[#This Row],[How many hour do you study daily?]]*10*0.3)+(Table1[[#This Row],[How many hour do you spent daily on your skill development?]]*10*0.3)</f>
        <v>48</v>
      </c>
    </row>
    <row r="613" spans="1:34" x14ac:dyDescent="0.25">
      <c r="A613">
        <v>2022</v>
      </c>
      <c r="B613" t="s">
        <v>34</v>
      </c>
      <c r="C613">
        <v>20</v>
      </c>
      <c r="D613">
        <v>2020</v>
      </c>
      <c r="E613" t="s">
        <v>35</v>
      </c>
      <c r="F613">
        <v>2</v>
      </c>
      <c r="G613" t="s">
        <v>36</v>
      </c>
      <c r="H613" t="s">
        <v>37</v>
      </c>
      <c r="I613">
        <v>3</v>
      </c>
      <c r="J613">
        <v>2</v>
      </c>
      <c r="K613" t="s">
        <v>44</v>
      </c>
      <c r="L613" t="s">
        <v>36</v>
      </c>
      <c r="M613" t="s">
        <v>36</v>
      </c>
      <c r="N613">
        <v>2</v>
      </c>
      <c r="O613" t="s">
        <v>39</v>
      </c>
      <c r="P613">
        <v>70</v>
      </c>
      <c r="Q613" t="s">
        <v>37</v>
      </c>
      <c r="R613" t="s">
        <v>37</v>
      </c>
      <c r="S613" t="s">
        <v>36</v>
      </c>
      <c r="T613" t="s">
        <v>40</v>
      </c>
      <c r="U613">
        <v>1</v>
      </c>
      <c r="V613" t="s">
        <v>41</v>
      </c>
      <c r="W613" t="s">
        <v>42</v>
      </c>
      <c r="X613" t="s">
        <v>37</v>
      </c>
      <c r="Y613" t="s">
        <v>43</v>
      </c>
      <c r="Z613" t="s">
        <v>37</v>
      </c>
      <c r="AA613">
        <v>3.29</v>
      </c>
      <c r="AB613" t="s">
        <v>37</v>
      </c>
      <c r="AC613">
        <v>3.29</v>
      </c>
      <c r="AD613">
        <v>11</v>
      </c>
      <c r="AE613">
        <v>40000</v>
      </c>
      <c r="AF613" t="str">
        <f>IF(Table1[[#This Row],[What is your current CGPA?]]&gt;=3.5,"High",IF(Table1[[#This Row],[What is your current CGPA?]]&gt;=2.5,"Medium","Low"))</f>
        <v>Medium</v>
      </c>
      <c r="AG613" t="str">
        <f>IF(AND(Table1[[#This Row],[Average attendance on class]]&lt;75,Table1[[#This Row],[How many hour do you study daily?]]&lt;1),"At Risk","Normal")</f>
        <v>Normal</v>
      </c>
      <c r="AH613">
        <f>(Table1[[#This Row],[Average attendance on class]]*0.4)+(Table1[[#This Row],[How many hour do you study daily?]]*10*0.3)+(Table1[[#This Row],[How many hour do you spent daily on your skill development?]]*10*0.3)</f>
        <v>40</v>
      </c>
    </row>
    <row r="614" spans="1:34" x14ac:dyDescent="0.25">
      <c r="A614">
        <v>2022</v>
      </c>
      <c r="B614" t="s">
        <v>48</v>
      </c>
      <c r="C614">
        <v>22</v>
      </c>
      <c r="D614">
        <v>2017</v>
      </c>
      <c r="E614" t="s">
        <v>35</v>
      </c>
      <c r="F614">
        <v>1</v>
      </c>
      <c r="G614" t="s">
        <v>36</v>
      </c>
      <c r="H614" t="s">
        <v>36</v>
      </c>
      <c r="I614">
        <v>3</v>
      </c>
      <c r="J614">
        <v>3</v>
      </c>
      <c r="K614" t="s">
        <v>38</v>
      </c>
      <c r="L614" t="s">
        <v>36</v>
      </c>
      <c r="M614" t="s">
        <v>36</v>
      </c>
      <c r="N614">
        <v>3</v>
      </c>
      <c r="O614" t="s">
        <v>45</v>
      </c>
      <c r="P614">
        <v>100</v>
      </c>
      <c r="Q614" t="s">
        <v>37</v>
      </c>
      <c r="R614" t="s">
        <v>37</v>
      </c>
      <c r="S614" t="s">
        <v>37</v>
      </c>
      <c r="T614" t="s">
        <v>40</v>
      </c>
      <c r="U614">
        <v>2</v>
      </c>
      <c r="V614" t="s">
        <v>40</v>
      </c>
      <c r="W614" t="s">
        <v>42</v>
      </c>
      <c r="X614" t="s">
        <v>37</v>
      </c>
      <c r="Y614" t="s">
        <v>47</v>
      </c>
      <c r="Z614" t="s">
        <v>37</v>
      </c>
      <c r="AA614">
        <v>3.75</v>
      </c>
      <c r="AB614" t="s">
        <v>37</v>
      </c>
      <c r="AC614">
        <v>3.75</v>
      </c>
      <c r="AD614">
        <v>12</v>
      </c>
      <c r="AE614">
        <v>50000</v>
      </c>
      <c r="AF614" t="str">
        <f>IF(Table1[[#This Row],[What is your current CGPA?]]&gt;=3.5,"High",IF(Table1[[#This Row],[What is your current CGPA?]]&gt;=2.5,"Medium","Low"))</f>
        <v>High</v>
      </c>
      <c r="AG614" t="str">
        <f>IF(AND(Table1[[#This Row],[Average attendance on class]]&lt;75,Table1[[#This Row],[How many hour do you study daily?]]&lt;1),"At Risk","Normal")</f>
        <v>Normal</v>
      </c>
      <c r="AH614">
        <f>(Table1[[#This Row],[Average attendance on class]]*0.4)+(Table1[[#This Row],[How many hour do you study daily?]]*10*0.3)+(Table1[[#This Row],[How many hour do you spent daily on your skill development?]]*10*0.3)</f>
        <v>55</v>
      </c>
    </row>
    <row r="615" spans="1:34" x14ac:dyDescent="0.25">
      <c r="A615">
        <v>2020</v>
      </c>
      <c r="B615" t="s">
        <v>48</v>
      </c>
      <c r="C615">
        <v>21</v>
      </c>
      <c r="D615">
        <v>2019</v>
      </c>
      <c r="E615" t="s">
        <v>35</v>
      </c>
      <c r="F615">
        <v>8</v>
      </c>
      <c r="G615" t="s">
        <v>36</v>
      </c>
      <c r="H615" t="s">
        <v>37</v>
      </c>
      <c r="I615">
        <v>5</v>
      </c>
      <c r="J615">
        <v>2</v>
      </c>
      <c r="K615" t="s">
        <v>38</v>
      </c>
      <c r="L615" t="s">
        <v>36</v>
      </c>
      <c r="M615" t="s">
        <v>36</v>
      </c>
      <c r="N615">
        <v>2</v>
      </c>
      <c r="O615" t="s">
        <v>39</v>
      </c>
      <c r="P615">
        <v>100</v>
      </c>
      <c r="Q615" t="s">
        <v>37</v>
      </c>
      <c r="R615" t="s">
        <v>37</v>
      </c>
      <c r="S615" t="s">
        <v>36</v>
      </c>
      <c r="T615" t="s">
        <v>40</v>
      </c>
      <c r="U615">
        <v>2</v>
      </c>
      <c r="V615" t="s">
        <v>40</v>
      </c>
      <c r="W615" t="s">
        <v>42</v>
      </c>
      <c r="X615" t="s">
        <v>37</v>
      </c>
      <c r="Y615" t="s">
        <v>43</v>
      </c>
      <c r="Z615" t="s">
        <v>37</v>
      </c>
      <c r="AA615">
        <v>3.66</v>
      </c>
      <c r="AB615" t="s">
        <v>37</v>
      </c>
      <c r="AC615">
        <v>3.8</v>
      </c>
      <c r="AD615">
        <v>87</v>
      </c>
      <c r="AE615">
        <v>50000</v>
      </c>
      <c r="AF615" t="str">
        <f>IF(Table1[[#This Row],[What is your current CGPA?]]&gt;=3.5,"High",IF(Table1[[#This Row],[What is your current CGPA?]]&gt;=2.5,"Medium","Low"))</f>
        <v>High</v>
      </c>
      <c r="AG615" t="str">
        <f>IF(AND(Table1[[#This Row],[Average attendance on class]]&lt;75,Table1[[#This Row],[How many hour do you study daily?]]&lt;1),"At Risk","Normal")</f>
        <v>Normal</v>
      </c>
      <c r="AH615">
        <f>(Table1[[#This Row],[Average attendance on class]]*0.4)+(Table1[[#This Row],[How many hour do you study daily?]]*10*0.3)+(Table1[[#This Row],[How many hour do you spent daily on your skill development?]]*10*0.3)</f>
        <v>61</v>
      </c>
    </row>
    <row r="616" spans="1:34" x14ac:dyDescent="0.25">
      <c r="A616">
        <v>2022</v>
      </c>
      <c r="B616" t="s">
        <v>48</v>
      </c>
      <c r="C616">
        <v>20</v>
      </c>
      <c r="D616">
        <v>2019</v>
      </c>
      <c r="E616" t="s">
        <v>35</v>
      </c>
      <c r="F616">
        <v>1</v>
      </c>
      <c r="G616" t="s">
        <v>36</v>
      </c>
      <c r="H616" t="s">
        <v>36</v>
      </c>
      <c r="I616">
        <v>2</v>
      </c>
      <c r="J616">
        <v>3</v>
      </c>
      <c r="K616" t="s">
        <v>38</v>
      </c>
      <c r="L616" t="s">
        <v>36</v>
      </c>
      <c r="M616" t="s">
        <v>36</v>
      </c>
      <c r="N616">
        <v>1</v>
      </c>
      <c r="O616" t="s">
        <v>45</v>
      </c>
      <c r="P616">
        <v>97</v>
      </c>
      <c r="Q616" t="s">
        <v>37</v>
      </c>
      <c r="R616" t="s">
        <v>37</v>
      </c>
      <c r="S616" t="s">
        <v>36</v>
      </c>
      <c r="T616" t="s">
        <v>40</v>
      </c>
      <c r="U616">
        <v>2</v>
      </c>
      <c r="V616" t="s">
        <v>51</v>
      </c>
      <c r="W616" t="s">
        <v>42</v>
      </c>
      <c r="X616" t="s">
        <v>36</v>
      </c>
      <c r="Y616" t="s">
        <v>47</v>
      </c>
      <c r="Z616" t="s">
        <v>37</v>
      </c>
      <c r="AA616">
        <v>0</v>
      </c>
      <c r="AB616" t="s">
        <v>37</v>
      </c>
      <c r="AC616">
        <v>0</v>
      </c>
      <c r="AD616">
        <v>0</v>
      </c>
      <c r="AE616">
        <v>45000</v>
      </c>
      <c r="AF616" t="str">
        <f>IF(Table1[[#This Row],[What is your current CGPA?]]&gt;=3.5,"High",IF(Table1[[#This Row],[What is your current CGPA?]]&gt;=2.5,"Medium","Low"))</f>
        <v>Low</v>
      </c>
      <c r="AG616" t="str">
        <f>IF(AND(Table1[[#This Row],[Average attendance on class]]&lt;75,Table1[[#This Row],[How many hour do you study daily?]]&lt;1),"At Risk","Normal")</f>
        <v>Normal</v>
      </c>
      <c r="AH616">
        <f>(Table1[[#This Row],[Average attendance on class]]*0.4)+(Table1[[#This Row],[How many hour do you study daily?]]*10*0.3)+(Table1[[#This Row],[How many hour do you spent daily on your skill development?]]*10*0.3)</f>
        <v>50.800000000000004</v>
      </c>
    </row>
    <row r="617" spans="1:34" x14ac:dyDescent="0.25">
      <c r="A617">
        <v>2019</v>
      </c>
      <c r="B617" t="s">
        <v>34</v>
      </c>
      <c r="C617">
        <v>21</v>
      </c>
      <c r="D617">
        <v>2019</v>
      </c>
      <c r="E617" t="s">
        <v>35</v>
      </c>
      <c r="F617">
        <v>8</v>
      </c>
      <c r="G617" t="s">
        <v>36</v>
      </c>
      <c r="H617" t="s">
        <v>37</v>
      </c>
      <c r="I617">
        <v>4</v>
      </c>
      <c r="J617">
        <v>2</v>
      </c>
      <c r="K617" t="s">
        <v>38</v>
      </c>
      <c r="L617" t="s">
        <v>36</v>
      </c>
      <c r="M617" t="s">
        <v>36</v>
      </c>
      <c r="N617">
        <v>1</v>
      </c>
      <c r="O617" t="s">
        <v>39</v>
      </c>
      <c r="P617">
        <v>90</v>
      </c>
      <c r="Q617" t="s">
        <v>37</v>
      </c>
      <c r="R617" t="s">
        <v>37</v>
      </c>
      <c r="S617" t="s">
        <v>36</v>
      </c>
      <c r="T617" t="s">
        <v>61</v>
      </c>
      <c r="U617">
        <v>2</v>
      </c>
      <c r="V617" t="s">
        <v>51</v>
      </c>
      <c r="W617" t="s">
        <v>42</v>
      </c>
      <c r="X617" t="s">
        <v>37</v>
      </c>
      <c r="Y617" t="s">
        <v>43</v>
      </c>
      <c r="Z617" t="s">
        <v>37</v>
      </c>
      <c r="AA617">
        <v>3.88</v>
      </c>
      <c r="AB617" t="s">
        <v>37</v>
      </c>
      <c r="AC617">
        <v>3.71</v>
      </c>
      <c r="AD617">
        <v>92</v>
      </c>
      <c r="AE617">
        <v>30000</v>
      </c>
      <c r="AF617" t="str">
        <f>IF(Table1[[#This Row],[What is your current CGPA?]]&gt;=3.5,"High",IF(Table1[[#This Row],[What is your current CGPA?]]&gt;=2.5,"Medium","Low"))</f>
        <v>High</v>
      </c>
      <c r="AG617" t="str">
        <f>IF(AND(Table1[[#This Row],[Average attendance on class]]&lt;75,Table1[[#This Row],[How many hour do you study daily?]]&lt;1),"At Risk","Normal")</f>
        <v>Normal</v>
      </c>
      <c r="AH617">
        <f>(Table1[[#This Row],[Average attendance on class]]*0.4)+(Table1[[#This Row],[How many hour do you study daily?]]*10*0.3)+(Table1[[#This Row],[How many hour do you spent daily on your skill development?]]*10*0.3)</f>
        <v>54</v>
      </c>
    </row>
    <row r="618" spans="1:34" x14ac:dyDescent="0.25">
      <c r="A618">
        <v>2020</v>
      </c>
      <c r="B618" t="s">
        <v>34</v>
      </c>
      <c r="C618">
        <v>22</v>
      </c>
      <c r="D618">
        <v>2018</v>
      </c>
      <c r="E618" t="s">
        <v>35</v>
      </c>
      <c r="F618">
        <v>8</v>
      </c>
      <c r="G618" t="s">
        <v>36</v>
      </c>
      <c r="H618" t="s">
        <v>36</v>
      </c>
      <c r="I618">
        <v>2</v>
      </c>
      <c r="J618">
        <v>1</v>
      </c>
      <c r="K618" t="s">
        <v>44</v>
      </c>
      <c r="L618" t="s">
        <v>36</v>
      </c>
      <c r="M618" t="s">
        <v>36</v>
      </c>
      <c r="N618">
        <v>1</v>
      </c>
      <c r="O618" t="s">
        <v>39</v>
      </c>
      <c r="P618">
        <v>90</v>
      </c>
      <c r="Q618" t="s">
        <v>37</v>
      </c>
      <c r="R618" t="s">
        <v>37</v>
      </c>
      <c r="S618" t="s">
        <v>37</v>
      </c>
      <c r="T618" t="s">
        <v>40</v>
      </c>
      <c r="U618">
        <v>2</v>
      </c>
      <c r="V618" t="s">
        <v>40</v>
      </c>
      <c r="W618" t="s">
        <v>42</v>
      </c>
      <c r="X618" t="s">
        <v>36</v>
      </c>
      <c r="Y618" t="s">
        <v>43</v>
      </c>
      <c r="Z618" t="s">
        <v>37</v>
      </c>
      <c r="AA618">
        <v>4</v>
      </c>
      <c r="AB618" t="s">
        <v>37</v>
      </c>
      <c r="AC618">
        <v>3.89</v>
      </c>
      <c r="AD618">
        <v>75</v>
      </c>
      <c r="AE618">
        <v>30000</v>
      </c>
      <c r="AF618" t="str">
        <f>IF(Table1[[#This Row],[What is your current CGPA?]]&gt;=3.5,"High",IF(Table1[[#This Row],[What is your current CGPA?]]&gt;=2.5,"Medium","Low"))</f>
        <v>High</v>
      </c>
      <c r="AG618" t="str">
        <f>IF(AND(Table1[[#This Row],[Average attendance on class]]&lt;75,Table1[[#This Row],[How many hour do you study daily?]]&lt;1),"At Risk","Normal")</f>
        <v>Normal</v>
      </c>
      <c r="AH618">
        <f>(Table1[[#This Row],[Average attendance on class]]*0.4)+(Table1[[#This Row],[How many hour do you study daily?]]*10*0.3)+(Table1[[#This Row],[How many hour do you spent daily on your skill development?]]*10*0.3)</f>
        <v>48</v>
      </c>
    </row>
    <row r="619" spans="1:34" x14ac:dyDescent="0.25">
      <c r="A619">
        <v>2019</v>
      </c>
      <c r="B619" t="s">
        <v>34</v>
      </c>
      <c r="C619">
        <v>21</v>
      </c>
      <c r="D619">
        <v>2018</v>
      </c>
      <c r="E619" t="s">
        <v>35</v>
      </c>
      <c r="F619">
        <v>8</v>
      </c>
      <c r="G619" t="s">
        <v>36</v>
      </c>
      <c r="H619" t="s">
        <v>36</v>
      </c>
      <c r="I619">
        <v>2</v>
      </c>
      <c r="J619">
        <v>2</v>
      </c>
      <c r="K619" t="s">
        <v>38</v>
      </c>
      <c r="L619" t="s">
        <v>37</v>
      </c>
      <c r="M619" t="s">
        <v>36</v>
      </c>
      <c r="N619">
        <v>3</v>
      </c>
      <c r="O619" t="s">
        <v>39</v>
      </c>
      <c r="P619">
        <v>90</v>
      </c>
      <c r="Q619" t="s">
        <v>37</v>
      </c>
      <c r="R619" t="s">
        <v>37</v>
      </c>
      <c r="S619" t="s">
        <v>36</v>
      </c>
      <c r="T619" t="s">
        <v>40</v>
      </c>
      <c r="U619">
        <v>2</v>
      </c>
      <c r="V619" t="s">
        <v>40</v>
      </c>
      <c r="W619" t="s">
        <v>42</v>
      </c>
      <c r="X619" t="s">
        <v>36</v>
      </c>
      <c r="Y619" t="s">
        <v>43</v>
      </c>
      <c r="Z619" t="s">
        <v>37</v>
      </c>
      <c r="AA619">
        <v>3.64</v>
      </c>
      <c r="AB619" t="s">
        <v>37</v>
      </c>
      <c r="AC619">
        <v>3.42</v>
      </c>
      <c r="AD619">
        <v>100</v>
      </c>
      <c r="AE619">
        <v>18000</v>
      </c>
      <c r="AF619" t="str">
        <f>IF(Table1[[#This Row],[What is your current CGPA?]]&gt;=3.5,"High",IF(Table1[[#This Row],[What is your current CGPA?]]&gt;=2.5,"Medium","Low"))</f>
        <v>Medium</v>
      </c>
      <c r="AG619" t="str">
        <f>IF(AND(Table1[[#This Row],[Average attendance on class]]&lt;75,Table1[[#This Row],[How many hour do you study daily?]]&lt;1),"At Risk","Normal")</f>
        <v>Normal</v>
      </c>
      <c r="AH619">
        <f>(Table1[[#This Row],[Average attendance on class]]*0.4)+(Table1[[#This Row],[How many hour do you study daily?]]*10*0.3)+(Table1[[#This Row],[How many hour do you spent daily on your skill development?]]*10*0.3)</f>
        <v>48</v>
      </c>
    </row>
    <row r="620" spans="1:34" x14ac:dyDescent="0.25">
      <c r="A620">
        <v>2018</v>
      </c>
      <c r="B620" t="s">
        <v>34</v>
      </c>
      <c r="C620">
        <v>25</v>
      </c>
      <c r="D620">
        <v>2016</v>
      </c>
      <c r="E620" t="s">
        <v>35</v>
      </c>
      <c r="F620">
        <v>13</v>
      </c>
      <c r="G620" t="s">
        <v>36</v>
      </c>
      <c r="H620" t="s">
        <v>36</v>
      </c>
      <c r="I620">
        <v>2</v>
      </c>
      <c r="J620">
        <v>2</v>
      </c>
      <c r="K620" t="s">
        <v>44</v>
      </c>
      <c r="L620" t="s">
        <v>36</v>
      </c>
      <c r="M620" t="s">
        <v>36</v>
      </c>
      <c r="N620">
        <v>3</v>
      </c>
      <c r="O620" t="s">
        <v>39</v>
      </c>
      <c r="P620">
        <v>90</v>
      </c>
      <c r="Q620" t="s">
        <v>36</v>
      </c>
      <c r="R620" t="s">
        <v>36</v>
      </c>
      <c r="S620" t="s">
        <v>36</v>
      </c>
      <c r="T620" t="s">
        <v>40</v>
      </c>
      <c r="U620">
        <v>2</v>
      </c>
      <c r="V620" t="s">
        <v>40</v>
      </c>
      <c r="W620" t="s">
        <v>42</v>
      </c>
      <c r="X620" t="s">
        <v>37</v>
      </c>
      <c r="Y620" t="s">
        <v>47</v>
      </c>
      <c r="Z620" t="s">
        <v>37</v>
      </c>
      <c r="AA620">
        <v>2.4</v>
      </c>
      <c r="AB620" t="s">
        <v>37</v>
      </c>
      <c r="AC620">
        <v>2.41</v>
      </c>
      <c r="AD620">
        <v>86</v>
      </c>
      <c r="AE620">
        <v>50000</v>
      </c>
      <c r="AF620" t="str">
        <f>IF(Table1[[#This Row],[What is your current CGPA?]]&gt;=3.5,"High",IF(Table1[[#This Row],[What is your current CGPA?]]&gt;=2.5,"Medium","Low"))</f>
        <v>Low</v>
      </c>
      <c r="AG620" t="str">
        <f>IF(AND(Table1[[#This Row],[Average attendance on class]]&lt;75,Table1[[#This Row],[How many hour do you study daily?]]&lt;1),"At Risk","Normal")</f>
        <v>Normal</v>
      </c>
      <c r="AH620">
        <f>(Table1[[#This Row],[Average attendance on class]]*0.4)+(Table1[[#This Row],[How many hour do you study daily?]]*10*0.3)+(Table1[[#This Row],[How many hour do you spent daily on your skill development?]]*10*0.3)</f>
        <v>48</v>
      </c>
    </row>
    <row r="621" spans="1:34" x14ac:dyDescent="0.25">
      <c r="A621">
        <v>2021</v>
      </c>
      <c r="B621" t="s">
        <v>48</v>
      </c>
      <c r="C621">
        <v>20</v>
      </c>
      <c r="D621">
        <v>2020</v>
      </c>
      <c r="E621" t="s">
        <v>35</v>
      </c>
      <c r="F621">
        <v>2</v>
      </c>
      <c r="G621" t="s">
        <v>37</v>
      </c>
      <c r="H621" t="s">
        <v>37</v>
      </c>
      <c r="I621">
        <v>2</v>
      </c>
      <c r="J621">
        <v>1</v>
      </c>
      <c r="K621" t="s">
        <v>38</v>
      </c>
      <c r="L621" t="s">
        <v>36</v>
      </c>
      <c r="M621" t="s">
        <v>37</v>
      </c>
      <c r="N621">
        <v>3</v>
      </c>
      <c r="O621" t="s">
        <v>45</v>
      </c>
      <c r="P621">
        <v>90</v>
      </c>
      <c r="Q621" t="s">
        <v>37</v>
      </c>
      <c r="R621" t="s">
        <v>37</v>
      </c>
      <c r="S621" t="s">
        <v>37</v>
      </c>
      <c r="T621" t="s">
        <v>40</v>
      </c>
      <c r="U621">
        <v>2</v>
      </c>
      <c r="V621" t="s">
        <v>40</v>
      </c>
      <c r="W621" t="s">
        <v>42</v>
      </c>
      <c r="X621" t="s">
        <v>36</v>
      </c>
      <c r="Y621" t="s">
        <v>43</v>
      </c>
      <c r="Z621" t="s">
        <v>36</v>
      </c>
      <c r="AA621">
        <v>2.67</v>
      </c>
      <c r="AB621" t="s">
        <v>37</v>
      </c>
      <c r="AC621">
        <v>2.67</v>
      </c>
      <c r="AD621">
        <v>12</v>
      </c>
      <c r="AE621">
        <v>25000</v>
      </c>
      <c r="AF621" t="str">
        <f>IF(Table1[[#This Row],[What is your current CGPA?]]&gt;=3.5,"High",IF(Table1[[#This Row],[What is your current CGPA?]]&gt;=2.5,"Medium","Low"))</f>
        <v>Medium</v>
      </c>
      <c r="AG621" t="str">
        <f>IF(AND(Table1[[#This Row],[Average attendance on class]]&lt;75,Table1[[#This Row],[How many hour do you study daily?]]&lt;1),"At Risk","Normal")</f>
        <v>Normal</v>
      </c>
      <c r="AH621">
        <f>(Table1[[#This Row],[Average attendance on class]]*0.4)+(Table1[[#This Row],[How many hour do you study daily?]]*10*0.3)+(Table1[[#This Row],[How many hour do you spent daily on your skill development?]]*10*0.3)</f>
        <v>48</v>
      </c>
    </row>
    <row r="622" spans="1:34" x14ac:dyDescent="0.25">
      <c r="A622">
        <v>2021</v>
      </c>
      <c r="B622" t="s">
        <v>48</v>
      </c>
      <c r="C622">
        <v>22</v>
      </c>
      <c r="D622">
        <v>2018</v>
      </c>
      <c r="E622" t="s">
        <v>35</v>
      </c>
      <c r="F622">
        <v>2</v>
      </c>
      <c r="G622" t="s">
        <v>36</v>
      </c>
      <c r="H622" t="s">
        <v>37</v>
      </c>
      <c r="I622">
        <v>4</v>
      </c>
      <c r="J622">
        <v>2</v>
      </c>
      <c r="K622" t="s">
        <v>38</v>
      </c>
      <c r="L622" t="s">
        <v>36</v>
      </c>
      <c r="M622" t="s">
        <v>36</v>
      </c>
      <c r="N622">
        <v>3</v>
      </c>
      <c r="O622" t="s">
        <v>45</v>
      </c>
      <c r="P622">
        <v>80</v>
      </c>
      <c r="Q622" t="s">
        <v>36</v>
      </c>
      <c r="R622" t="s">
        <v>37</v>
      </c>
      <c r="S622" t="s">
        <v>36</v>
      </c>
      <c r="T622" t="s">
        <v>40</v>
      </c>
      <c r="U622">
        <v>3</v>
      </c>
      <c r="V622" t="s">
        <v>40</v>
      </c>
      <c r="W622" t="s">
        <v>56</v>
      </c>
      <c r="X622" t="s">
        <v>37</v>
      </c>
      <c r="Y622" t="s">
        <v>47</v>
      </c>
      <c r="Z622" t="s">
        <v>36</v>
      </c>
      <c r="AA622">
        <v>2.86</v>
      </c>
      <c r="AB622" t="s">
        <v>37</v>
      </c>
      <c r="AC622">
        <v>2.86</v>
      </c>
      <c r="AD622">
        <v>15</v>
      </c>
      <c r="AE622">
        <v>50000</v>
      </c>
      <c r="AF622" t="str">
        <f>IF(Table1[[#This Row],[What is your current CGPA?]]&gt;=3.5,"High",IF(Table1[[#This Row],[What is your current CGPA?]]&gt;=2.5,"Medium","Low"))</f>
        <v>Medium</v>
      </c>
      <c r="AG622" t="str">
        <f>IF(AND(Table1[[#This Row],[Average attendance on class]]&lt;75,Table1[[#This Row],[How many hour do you study daily?]]&lt;1),"At Risk","Normal")</f>
        <v>Normal</v>
      </c>
      <c r="AH622">
        <f>(Table1[[#This Row],[Average attendance on class]]*0.4)+(Table1[[#This Row],[How many hour do you study daily?]]*10*0.3)+(Table1[[#This Row],[How many hour do you spent daily on your skill development?]]*10*0.3)</f>
        <v>53</v>
      </c>
    </row>
    <row r="623" spans="1:34" x14ac:dyDescent="0.25">
      <c r="A623">
        <v>2021</v>
      </c>
      <c r="B623" t="s">
        <v>34</v>
      </c>
      <c r="C623">
        <v>20</v>
      </c>
      <c r="D623">
        <v>2020</v>
      </c>
      <c r="E623" t="s">
        <v>35</v>
      </c>
      <c r="F623">
        <v>3</v>
      </c>
      <c r="G623" t="s">
        <v>36</v>
      </c>
      <c r="H623" t="s">
        <v>37</v>
      </c>
      <c r="I623">
        <v>1</v>
      </c>
      <c r="J623">
        <v>1</v>
      </c>
      <c r="K623" t="s">
        <v>44</v>
      </c>
      <c r="L623" t="s">
        <v>36</v>
      </c>
      <c r="M623" t="s">
        <v>36</v>
      </c>
      <c r="N623">
        <v>2</v>
      </c>
      <c r="O623" t="s">
        <v>39</v>
      </c>
      <c r="P623">
        <v>80</v>
      </c>
      <c r="Q623" t="s">
        <v>37</v>
      </c>
      <c r="R623" t="s">
        <v>37</v>
      </c>
      <c r="S623" t="s">
        <v>37</v>
      </c>
      <c r="T623" t="s">
        <v>40</v>
      </c>
      <c r="U623">
        <v>1</v>
      </c>
      <c r="V623" t="s">
        <v>40</v>
      </c>
      <c r="W623" t="s">
        <v>42</v>
      </c>
      <c r="X623" t="s">
        <v>36</v>
      </c>
      <c r="Y623" t="s">
        <v>43</v>
      </c>
      <c r="Z623" t="s">
        <v>36</v>
      </c>
      <c r="AA623">
        <v>2.63</v>
      </c>
      <c r="AB623" t="s">
        <v>37</v>
      </c>
      <c r="AC623">
        <v>3.07</v>
      </c>
      <c r="AD623">
        <v>27</v>
      </c>
      <c r="AE623">
        <v>25000</v>
      </c>
      <c r="AF623" t="str">
        <f>IF(Table1[[#This Row],[What is your current CGPA?]]&gt;=3.5,"High",IF(Table1[[#This Row],[What is your current CGPA?]]&gt;=2.5,"Medium","Low"))</f>
        <v>Medium</v>
      </c>
      <c r="AG623" t="str">
        <f>IF(AND(Table1[[#This Row],[Average attendance on class]]&lt;75,Table1[[#This Row],[How many hour do you study daily?]]&lt;1),"At Risk","Normal")</f>
        <v>Normal</v>
      </c>
      <c r="AH623">
        <f>(Table1[[#This Row],[Average attendance on class]]*0.4)+(Table1[[#This Row],[How many hour do you study daily?]]*10*0.3)+(Table1[[#This Row],[How many hour do you spent daily on your skill development?]]*10*0.3)</f>
        <v>38</v>
      </c>
    </row>
    <row r="624" spans="1:34" x14ac:dyDescent="0.25">
      <c r="A624">
        <v>2020</v>
      </c>
      <c r="B624" t="s">
        <v>48</v>
      </c>
      <c r="C624">
        <v>21</v>
      </c>
      <c r="D624">
        <v>2018</v>
      </c>
      <c r="E624" t="s">
        <v>35</v>
      </c>
      <c r="F624">
        <v>8</v>
      </c>
      <c r="G624" t="s">
        <v>37</v>
      </c>
      <c r="H624" t="s">
        <v>36</v>
      </c>
      <c r="I624">
        <v>3</v>
      </c>
      <c r="J624">
        <v>2</v>
      </c>
      <c r="K624" t="s">
        <v>44</v>
      </c>
      <c r="L624" t="s">
        <v>36</v>
      </c>
      <c r="M624" t="s">
        <v>36</v>
      </c>
      <c r="N624">
        <v>1</v>
      </c>
      <c r="O624" t="s">
        <v>39</v>
      </c>
      <c r="P624">
        <v>96</v>
      </c>
      <c r="Q624" t="s">
        <v>37</v>
      </c>
      <c r="R624" t="s">
        <v>37</v>
      </c>
      <c r="S624" t="s">
        <v>36</v>
      </c>
      <c r="T624" t="s">
        <v>40</v>
      </c>
      <c r="U624">
        <v>2</v>
      </c>
      <c r="V624" t="s">
        <v>52</v>
      </c>
      <c r="W624" t="s">
        <v>42</v>
      </c>
      <c r="X624" t="s">
        <v>37</v>
      </c>
      <c r="Y624" t="s">
        <v>47</v>
      </c>
      <c r="Z624" t="s">
        <v>36</v>
      </c>
      <c r="AA624">
        <v>3.48</v>
      </c>
      <c r="AB624" t="s">
        <v>37</v>
      </c>
      <c r="AC624">
        <v>3.74</v>
      </c>
      <c r="AD624">
        <v>87</v>
      </c>
      <c r="AE624">
        <v>20000</v>
      </c>
      <c r="AF624" t="str">
        <f>IF(Table1[[#This Row],[What is your current CGPA?]]&gt;=3.5,"High",IF(Table1[[#This Row],[What is your current CGPA?]]&gt;=2.5,"Medium","Low"))</f>
        <v>High</v>
      </c>
      <c r="AG624" t="str">
        <f>IF(AND(Table1[[#This Row],[Average attendance on class]]&lt;75,Table1[[#This Row],[How many hour do you study daily?]]&lt;1),"At Risk","Normal")</f>
        <v>Normal</v>
      </c>
      <c r="AH624">
        <f>(Table1[[#This Row],[Average attendance on class]]*0.4)+(Table1[[#This Row],[How many hour do you study daily?]]*10*0.3)+(Table1[[#This Row],[How many hour do you spent daily on your skill development?]]*10*0.3)</f>
        <v>53.400000000000006</v>
      </c>
    </row>
    <row r="625" spans="1:34" x14ac:dyDescent="0.25">
      <c r="A625">
        <v>2022</v>
      </c>
      <c r="B625" t="s">
        <v>34</v>
      </c>
      <c r="C625">
        <v>19</v>
      </c>
      <c r="D625">
        <v>2020</v>
      </c>
      <c r="E625" t="s">
        <v>35</v>
      </c>
      <c r="F625">
        <v>2</v>
      </c>
      <c r="G625" t="s">
        <v>36</v>
      </c>
      <c r="H625" t="s">
        <v>36</v>
      </c>
      <c r="I625">
        <v>1</v>
      </c>
      <c r="J625">
        <v>1</v>
      </c>
      <c r="K625" t="s">
        <v>38</v>
      </c>
      <c r="L625" t="s">
        <v>36</v>
      </c>
      <c r="M625" t="s">
        <v>36</v>
      </c>
      <c r="N625">
        <v>4</v>
      </c>
      <c r="O625" t="s">
        <v>39</v>
      </c>
      <c r="P625">
        <v>99</v>
      </c>
      <c r="Q625" t="s">
        <v>37</v>
      </c>
      <c r="R625" t="s">
        <v>37</v>
      </c>
      <c r="S625" t="s">
        <v>37</v>
      </c>
      <c r="T625" t="s">
        <v>40</v>
      </c>
      <c r="U625">
        <v>1</v>
      </c>
      <c r="V625" t="s">
        <v>40</v>
      </c>
      <c r="W625" t="s">
        <v>42</v>
      </c>
      <c r="X625" t="s">
        <v>37</v>
      </c>
      <c r="Y625" t="s">
        <v>47</v>
      </c>
      <c r="Z625" t="s">
        <v>37</v>
      </c>
      <c r="AA625">
        <v>3.75</v>
      </c>
      <c r="AB625" t="s">
        <v>37</v>
      </c>
      <c r="AC625">
        <v>3.75</v>
      </c>
      <c r="AD625">
        <v>12</v>
      </c>
      <c r="AE625">
        <v>30000</v>
      </c>
      <c r="AF625" t="str">
        <f>IF(Table1[[#This Row],[What is your current CGPA?]]&gt;=3.5,"High",IF(Table1[[#This Row],[What is your current CGPA?]]&gt;=2.5,"Medium","Low"))</f>
        <v>High</v>
      </c>
      <c r="AG625" t="str">
        <f>IF(AND(Table1[[#This Row],[Average attendance on class]]&lt;75,Table1[[#This Row],[How many hour do you study daily?]]&lt;1),"At Risk","Normal")</f>
        <v>Normal</v>
      </c>
      <c r="AH625">
        <f>(Table1[[#This Row],[Average attendance on class]]*0.4)+(Table1[[#This Row],[How many hour do you study daily?]]*10*0.3)+(Table1[[#This Row],[How many hour do you spent daily on your skill development?]]*10*0.3)</f>
        <v>45.6</v>
      </c>
    </row>
    <row r="626" spans="1:34" x14ac:dyDescent="0.25">
      <c r="A626">
        <v>2019</v>
      </c>
      <c r="B626" t="s">
        <v>34</v>
      </c>
      <c r="C626">
        <v>21</v>
      </c>
      <c r="D626">
        <v>2019</v>
      </c>
      <c r="E626" t="s">
        <v>35</v>
      </c>
      <c r="F626">
        <v>8</v>
      </c>
      <c r="G626" t="s">
        <v>36</v>
      </c>
      <c r="H626" t="s">
        <v>36</v>
      </c>
      <c r="I626">
        <v>2</v>
      </c>
      <c r="J626">
        <v>1</v>
      </c>
      <c r="K626" t="s">
        <v>38</v>
      </c>
      <c r="L626" t="s">
        <v>36</v>
      </c>
      <c r="M626" t="s">
        <v>36</v>
      </c>
      <c r="N626">
        <v>1</v>
      </c>
      <c r="O626" t="s">
        <v>39</v>
      </c>
      <c r="P626">
        <v>95</v>
      </c>
      <c r="Q626" t="s">
        <v>37</v>
      </c>
      <c r="R626" t="s">
        <v>37</v>
      </c>
      <c r="S626" t="s">
        <v>36</v>
      </c>
      <c r="T626" t="s">
        <v>40</v>
      </c>
      <c r="U626">
        <v>2</v>
      </c>
      <c r="V626" t="s">
        <v>40</v>
      </c>
      <c r="W626" t="s">
        <v>42</v>
      </c>
      <c r="X626" t="s">
        <v>36</v>
      </c>
      <c r="Y626" t="s">
        <v>47</v>
      </c>
      <c r="Z626" t="s">
        <v>37</v>
      </c>
      <c r="AA626">
        <v>3.94</v>
      </c>
      <c r="AB626" t="s">
        <v>37</v>
      </c>
      <c r="AC626">
        <v>3.88</v>
      </c>
      <c r="AD626">
        <v>90</v>
      </c>
      <c r="AE626">
        <v>30000</v>
      </c>
      <c r="AF626" t="str">
        <f>IF(Table1[[#This Row],[What is your current CGPA?]]&gt;=3.5,"High",IF(Table1[[#This Row],[What is your current CGPA?]]&gt;=2.5,"Medium","Low"))</f>
        <v>High</v>
      </c>
      <c r="AG626" t="str">
        <f>IF(AND(Table1[[#This Row],[Average attendance on class]]&lt;75,Table1[[#This Row],[How many hour do you study daily?]]&lt;1),"At Risk","Normal")</f>
        <v>Normal</v>
      </c>
      <c r="AH626">
        <f>(Table1[[#This Row],[Average attendance on class]]*0.4)+(Table1[[#This Row],[How many hour do you study daily?]]*10*0.3)+(Table1[[#This Row],[How many hour do you spent daily on your skill development?]]*10*0.3)</f>
        <v>50</v>
      </c>
    </row>
    <row r="627" spans="1:34" x14ac:dyDescent="0.25">
      <c r="A627">
        <v>2022</v>
      </c>
      <c r="B627" t="s">
        <v>48</v>
      </c>
      <c r="C627">
        <v>21</v>
      </c>
      <c r="D627">
        <v>2019</v>
      </c>
      <c r="E627" t="s">
        <v>35</v>
      </c>
      <c r="F627">
        <v>1</v>
      </c>
      <c r="G627" t="s">
        <v>36</v>
      </c>
      <c r="H627" t="s">
        <v>36</v>
      </c>
      <c r="I627">
        <v>2</v>
      </c>
      <c r="J627">
        <v>1</v>
      </c>
      <c r="K627" t="s">
        <v>38</v>
      </c>
      <c r="L627" t="s">
        <v>36</v>
      </c>
      <c r="M627" t="s">
        <v>37</v>
      </c>
      <c r="N627">
        <v>5</v>
      </c>
      <c r="O627" t="s">
        <v>39</v>
      </c>
      <c r="P627">
        <v>100</v>
      </c>
      <c r="Q627" t="s">
        <v>37</v>
      </c>
      <c r="R627" t="s">
        <v>37</v>
      </c>
      <c r="S627" t="s">
        <v>36</v>
      </c>
      <c r="T627" t="s">
        <v>51</v>
      </c>
      <c r="U627">
        <v>1</v>
      </c>
      <c r="V627" t="s">
        <v>40</v>
      </c>
      <c r="W627" t="s">
        <v>42</v>
      </c>
      <c r="X627" t="s">
        <v>37</v>
      </c>
      <c r="Y627" t="s">
        <v>47</v>
      </c>
      <c r="Z627" t="s">
        <v>37</v>
      </c>
      <c r="AA627">
        <v>0</v>
      </c>
      <c r="AB627" t="s">
        <v>37</v>
      </c>
      <c r="AC627">
        <v>0</v>
      </c>
      <c r="AD627">
        <v>0</v>
      </c>
      <c r="AE627">
        <v>40000</v>
      </c>
      <c r="AF627" t="str">
        <f>IF(Table1[[#This Row],[What is your current CGPA?]]&gt;=3.5,"High",IF(Table1[[#This Row],[What is your current CGPA?]]&gt;=2.5,"Medium","Low"))</f>
        <v>Low</v>
      </c>
      <c r="AG627" t="str">
        <f>IF(AND(Table1[[#This Row],[Average attendance on class]]&lt;75,Table1[[#This Row],[How many hour do you study daily?]]&lt;1),"At Risk","Normal")</f>
        <v>Normal</v>
      </c>
      <c r="AH627">
        <f>(Table1[[#This Row],[Average attendance on class]]*0.4)+(Table1[[#This Row],[How many hour do you study daily?]]*10*0.3)+(Table1[[#This Row],[How many hour do you spent daily on your skill development?]]*10*0.3)</f>
        <v>49</v>
      </c>
    </row>
    <row r="628" spans="1:34" x14ac:dyDescent="0.25">
      <c r="A628">
        <v>2022</v>
      </c>
      <c r="B628" t="s">
        <v>48</v>
      </c>
      <c r="C628">
        <v>20</v>
      </c>
      <c r="D628">
        <v>2020</v>
      </c>
      <c r="E628" t="s">
        <v>35</v>
      </c>
      <c r="F628">
        <v>1</v>
      </c>
      <c r="G628" t="s">
        <v>36</v>
      </c>
      <c r="H628" t="s">
        <v>37</v>
      </c>
      <c r="I628">
        <v>2</v>
      </c>
      <c r="J628">
        <v>1</v>
      </c>
      <c r="K628" t="s">
        <v>38</v>
      </c>
      <c r="L628" t="s">
        <v>36</v>
      </c>
      <c r="M628" t="s">
        <v>36</v>
      </c>
      <c r="N628">
        <v>2</v>
      </c>
      <c r="O628" t="s">
        <v>45</v>
      </c>
      <c r="P628">
        <v>99</v>
      </c>
      <c r="Q628" t="s">
        <v>37</v>
      </c>
      <c r="R628" t="s">
        <v>37</v>
      </c>
      <c r="S628" t="s">
        <v>36</v>
      </c>
      <c r="T628" t="s">
        <v>40</v>
      </c>
      <c r="U628">
        <v>2</v>
      </c>
      <c r="V628" t="s">
        <v>40</v>
      </c>
      <c r="W628" t="s">
        <v>42</v>
      </c>
      <c r="X628" t="s">
        <v>37</v>
      </c>
      <c r="Y628" t="s">
        <v>47</v>
      </c>
      <c r="Z628" t="s">
        <v>37</v>
      </c>
      <c r="AA628">
        <v>4</v>
      </c>
      <c r="AB628" t="s">
        <v>37</v>
      </c>
      <c r="AC628">
        <v>4</v>
      </c>
      <c r="AD628">
        <v>13</v>
      </c>
      <c r="AE628">
        <v>62488</v>
      </c>
      <c r="AF628" t="str">
        <f>IF(Table1[[#This Row],[What is your current CGPA?]]&gt;=3.5,"High",IF(Table1[[#This Row],[What is your current CGPA?]]&gt;=2.5,"Medium","Low"))</f>
        <v>High</v>
      </c>
      <c r="AG628" t="str">
        <f>IF(AND(Table1[[#This Row],[Average attendance on class]]&lt;75,Table1[[#This Row],[How many hour do you study daily?]]&lt;1),"At Risk","Normal")</f>
        <v>Normal</v>
      </c>
      <c r="AH628">
        <f>(Table1[[#This Row],[Average attendance on class]]*0.4)+(Table1[[#This Row],[How many hour do you study daily?]]*10*0.3)+(Table1[[#This Row],[How many hour do you spent daily on your skill development?]]*10*0.3)</f>
        <v>51.6</v>
      </c>
    </row>
    <row r="629" spans="1:34" x14ac:dyDescent="0.25">
      <c r="A629">
        <v>2020</v>
      </c>
      <c r="B629" t="s">
        <v>48</v>
      </c>
      <c r="C629">
        <v>21</v>
      </c>
      <c r="D629">
        <v>2018</v>
      </c>
      <c r="E629" t="s">
        <v>35</v>
      </c>
      <c r="F629">
        <v>8</v>
      </c>
      <c r="G629" t="s">
        <v>36</v>
      </c>
      <c r="H629" t="s">
        <v>37</v>
      </c>
      <c r="I629">
        <v>2</v>
      </c>
      <c r="J629">
        <v>2</v>
      </c>
      <c r="K629" t="s">
        <v>38</v>
      </c>
      <c r="L629" t="s">
        <v>36</v>
      </c>
      <c r="M629" t="s">
        <v>36</v>
      </c>
      <c r="N629">
        <v>2</v>
      </c>
      <c r="O629" t="s">
        <v>39</v>
      </c>
      <c r="P629">
        <v>80</v>
      </c>
      <c r="Q629" t="s">
        <v>37</v>
      </c>
      <c r="R629" t="s">
        <v>37</v>
      </c>
      <c r="S629" t="s">
        <v>36</v>
      </c>
      <c r="T629" t="s">
        <v>40</v>
      </c>
      <c r="U629">
        <v>1</v>
      </c>
      <c r="V629" t="s">
        <v>40</v>
      </c>
      <c r="W629" t="s">
        <v>57</v>
      </c>
      <c r="X629" t="s">
        <v>37</v>
      </c>
      <c r="Y629" t="s">
        <v>47</v>
      </c>
      <c r="Z629" t="s">
        <v>36</v>
      </c>
      <c r="AA629">
        <v>3.5</v>
      </c>
      <c r="AB629" t="s">
        <v>37</v>
      </c>
      <c r="AC629">
        <v>3.63</v>
      </c>
      <c r="AD629">
        <v>87</v>
      </c>
      <c r="AE629">
        <v>90000</v>
      </c>
      <c r="AF629" t="str">
        <f>IF(Table1[[#This Row],[What is your current CGPA?]]&gt;=3.5,"High",IF(Table1[[#This Row],[What is your current CGPA?]]&gt;=2.5,"Medium","Low"))</f>
        <v>High</v>
      </c>
      <c r="AG629" t="str">
        <f>IF(AND(Table1[[#This Row],[Average attendance on class]]&lt;75,Table1[[#This Row],[How many hour do you study daily?]]&lt;1),"At Risk","Normal")</f>
        <v>Normal</v>
      </c>
      <c r="AH629">
        <f>(Table1[[#This Row],[Average attendance on class]]*0.4)+(Table1[[#This Row],[How many hour do you study daily?]]*10*0.3)+(Table1[[#This Row],[How many hour do you spent daily on your skill development?]]*10*0.3)</f>
        <v>41</v>
      </c>
    </row>
    <row r="630" spans="1:34" x14ac:dyDescent="0.25">
      <c r="A630">
        <v>2022</v>
      </c>
      <c r="B630" t="s">
        <v>34</v>
      </c>
      <c r="C630">
        <v>19</v>
      </c>
      <c r="D630">
        <v>2020</v>
      </c>
      <c r="E630" t="s">
        <v>35</v>
      </c>
      <c r="F630">
        <v>2</v>
      </c>
      <c r="G630" t="s">
        <v>36</v>
      </c>
      <c r="H630" t="s">
        <v>37</v>
      </c>
      <c r="I630">
        <v>3</v>
      </c>
      <c r="J630">
        <v>1</v>
      </c>
      <c r="K630" t="s">
        <v>44</v>
      </c>
      <c r="L630" t="s">
        <v>36</v>
      </c>
      <c r="M630" t="s">
        <v>36</v>
      </c>
      <c r="N630">
        <v>2</v>
      </c>
      <c r="O630" t="s">
        <v>45</v>
      </c>
      <c r="P630">
        <v>85</v>
      </c>
      <c r="Q630" t="s">
        <v>37</v>
      </c>
      <c r="R630" t="s">
        <v>37</v>
      </c>
      <c r="S630" t="s">
        <v>37</v>
      </c>
      <c r="T630" t="s">
        <v>61</v>
      </c>
      <c r="U630">
        <v>1</v>
      </c>
      <c r="V630" t="s">
        <v>40</v>
      </c>
      <c r="W630" t="s">
        <v>42</v>
      </c>
      <c r="X630" t="s">
        <v>37</v>
      </c>
      <c r="Y630" t="s">
        <v>47</v>
      </c>
      <c r="Z630" t="s">
        <v>37</v>
      </c>
      <c r="AA630">
        <v>1.91</v>
      </c>
      <c r="AB630" t="s">
        <v>37</v>
      </c>
      <c r="AC630">
        <v>1.75</v>
      </c>
      <c r="AD630">
        <v>6</v>
      </c>
      <c r="AE630">
        <v>300000</v>
      </c>
      <c r="AF630" t="str">
        <f>IF(Table1[[#This Row],[What is your current CGPA?]]&gt;=3.5,"High",IF(Table1[[#This Row],[What is your current CGPA?]]&gt;=2.5,"Medium","Low"))</f>
        <v>Low</v>
      </c>
      <c r="AG630" t="str">
        <f>IF(AND(Table1[[#This Row],[Average attendance on class]]&lt;75,Table1[[#This Row],[How many hour do you study daily?]]&lt;1),"At Risk","Normal")</f>
        <v>Normal</v>
      </c>
      <c r="AH630">
        <f>(Table1[[#This Row],[Average attendance on class]]*0.4)+(Table1[[#This Row],[How many hour do you study daily?]]*10*0.3)+(Table1[[#This Row],[How many hour do you spent daily on your skill development?]]*10*0.3)</f>
        <v>46</v>
      </c>
    </row>
    <row r="631" spans="1:34" x14ac:dyDescent="0.25">
      <c r="A631">
        <v>2022</v>
      </c>
      <c r="B631" t="s">
        <v>34</v>
      </c>
      <c r="C631">
        <v>20</v>
      </c>
      <c r="D631">
        <v>2021</v>
      </c>
      <c r="E631" t="s">
        <v>35</v>
      </c>
      <c r="F631">
        <v>2</v>
      </c>
      <c r="G631" t="s">
        <v>36</v>
      </c>
      <c r="H631" t="s">
        <v>36</v>
      </c>
      <c r="I631">
        <v>2</v>
      </c>
      <c r="J631">
        <v>2</v>
      </c>
      <c r="K631" t="s">
        <v>38</v>
      </c>
      <c r="L631" t="s">
        <v>36</v>
      </c>
      <c r="M631" t="s">
        <v>36</v>
      </c>
      <c r="N631">
        <v>1</v>
      </c>
      <c r="O631" t="s">
        <v>45</v>
      </c>
      <c r="P631">
        <v>90</v>
      </c>
      <c r="Q631" t="s">
        <v>37</v>
      </c>
      <c r="R631" t="s">
        <v>37</v>
      </c>
      <c r="S631" t="s">
        <v>37</v>
      </c>
      <c r="T631" t="s">
        <v>101</v>
      </c>
      <c r="U631">
        <v>1</v>
      </c>
      <c r="V631" t="s">
        <v>40</v>
      </c>
      <c r="W631" t="s">
        <v>42</v>
      </c>
      <c r="X631" t="s">
        <v>37</v>
      </c>
      <c r="Y631" t="s">
        <v>47</v>
      </c>
      <c r="Z631" t="s">
        <v>37</v>
      </c>
      <c r="AA631">
        <v>3.85</v>
      </c>
      <c r="AB631" t="s">
        <v>37</v>
      </c>
      <c r="AC631">
        <v>3.85</v>
      </c>
      <c r="AD631">
        <v>11</v>
      </c>
      <c r="AE631">
        <v>30000</v>
      </c>
      <c r="AF631" t="str">
        <f>IF(Table1[[#This Row],[What is your current CGPA?]]&gt;=3.5,"High",IF(Table1[[#This Row],[What is your current CGPA?]]&gt;=2.5,"Medium","Low"))</f>
        <v>High</v>
      </c>
      <c r="AG631" t="str">
        <f>IF(AND(Table1[[#This Row],[Average attendance on class]]&lt;75,Table1[[#This Row],[How many hour do you study daily?]]&lt;1),"At Risk","Normal")</f>
        <v>Normal</v>
      </c>
      <c r="AH631">
        <f>(Table1[[#This Row],[Average attendance on class]]*0.4)+(Table1[[#This Row],[How many hour do you study daily?]]*10*0.3)+(Table1[[#This Row],[How many hour do you spent daily on your skill development?]]*10*0.3)</f>
        <v>45</v>
      </c>
    </row>
    <row r="632" spans="1:34" x14ac:dyDescent="0.25">
      <c r="A632">
        <v>2020</v>
      </c>
      <c r="B632" t="s">
        <v>34</v>
      </c>
      <c r="C632">
        <v>22</v>
      </c>
      <c r="D632">
        <v>2019</v>
      </c>
      <c r="E632" t="s">
        <v>35</v>
      </c>
      <c r="F632">
        <v>8</v>
      </c>
      <c r="G632" t="s">
        <v>37</v>
      </c>
      <c r="H632" t="s">
        <v>36</v>
      </c>
      <c r="I632">
        <v>1</v>
      </c>
      <c r="J632">
        <v>1</v>
      </c>
      <c r="K632" t="s">
        <v>38</v>
      </c>
      <c r="L632" t="s">
        <v>36</v>
      </c>
      <c r="M632" t="s">
        <v>36</v>
      </c>
      <c r="N632">
        <v>2</v>
      </c>
      <c r="O632" t="s">
        <v>45</v>
      </c>
      <c r="P632">
        <v>95</v>
      </c>
      <c r="Q632" t="s">
        <v>37</v>
      </c>
      <c r="R632" t="s">
        <v>37</v>
      </c>
      <c r="S632" t="s">
        <v>36</v>
      </c>
      <c r="T632" t="s">
        <v>102</v>
      </c>
      <c r="U632">
        <v>2</v>
      </c>
      <c r="V632" t="s">
        <v>52</v>
      </c>
      <c r="W632" t="s">
        <v>42</v>
      </c>
      <c r="X632" t="s">
        <v>36</v>
      </c>
      <c r="Y632" t="s">
        <v>43</v>
      </c>
      <c r="Z632" t="s">
        <v>37</v>
      </c>
      <c r="AA632">
        <v>1.97</v>
      </c>
      <c r="AB632" t="s">
        <v>37</v>
      </c>
      <c r="AC632">
        <v>2.77</v>
      </c>
      <c r="AD632">
        <v>85</v>
      </c>
      <c r="AE632">
        <v>40000</v>
      </c>
      <c r="AF632" t="str">
        <f>IF(Table1[[#This Row],[What is your current CGPA?]]&gt;=3.5,"High",IF(Table1[[#This Row],[What is your current CGPA?]]&gt;=2.5,"Medium","Low"))</f>
        <v>Medium</v>
      </c>
      <c r="AG632" t="str">
        <f>IF(AND(Table1[[#This Row],[Average attendance on class]]&lt;75,Table1[[#This Row],[How many hour do you study daily?]]&lt;1),"At Risk","Normal")</f>
        <v>Normal</v>
      </c>
      <c r="AH632">
        <f>(Table1[[#This Row],[Average attendance on class]]*0.4)+(Table1[[#This Row],[How many hour do you study daily?]]*10*0.3)+(Table1[[#This Row],[How many hour do you spent daily on your skill development?]]*10*0.3)</f>
        <v>47</v>
      </c>
    </row>
    <row r="633" spans="1:34" x14ac:dyDescent="0.25">
      <c r="A633">
        <v>2022</v>
      </c>
      <c r="B633" t="s">
        <v>34</v>
      </c>
      <c r="C633">
        <v>20</v>
      </c>
      <c r="D633">
        <v>2020</v>
      </c>
      <c r="E633" t="s">
        <v>35</v>
      </c>
      <c r="F633">
        <v>2</v>
      </c>
      <c r="G633" t="s">
        <v>36</v>
      </c>
      <c r="H633" t="s">
        <v>36</v>
      </c>
      <c r="I633">
        <v>2</v>
      </c>
      <c r="J633">
        <v>1</v>
      </c>
      <c r="K633" t="s">
        <v>38</v>
      </c>
      <c r="L633" t="s">
        <v>36</v>
      </c>
      <c r="M633" t="s">
        <v>36</v>
      </c>
      <c r="N633">
        <v>2</v>
      </c>
      <c r="O633" t="s">
        <v>39</v>
      </c>
      <c r="P633">
        <v>98</v>
      </c>
      <c r="Q633" t="s">
        <v>37</v>
      </c>
      <c r="R633" t="s">
        <v>37</v>
      </c>
      <c r="S633" t="s">
        <v>36</v>
      </c>
      <c r="T633" t="s">
        <v>40</v>
      </c>
      <c r="U633">
        <v>3</v>
      </c>
      <c r="V633" t="s">
        <v>40</v>
      </c>
      <c r="W633" t="s">
        <v>42</v>
      </c>
      <c r="X633" t="s">
        <v>37</v>
      </c>
      <c r="Y633" t="s">
        <v>47</v>
      </c>
      <c r="Z633" t="s">
        <v>37</v>
      </c>
      <c r="AA633">
        <v>3.51</v>
      </c>
      <c r="AB633" t="s">
        <v>37</v>
      </c>
      <c r="AC633">
        <v>3.51</v>
      </c>
      <c r="AD633">
        <v>11</v>
      </c>
      <c r="AE633">
        <v>40000</v>
      </c>
      <c r="AF633" t="str">
        <f>IF(Table1[[#This Row],[What is your current CGPA?]]&gt;=3.5,"High",IF(Table1[[#This Row],[What is your current CGPA?]]&gt;=2.5,"Medium","Low"))</f>
        <v>High</v>
      </c>
      <c r="AG633" t="str">
        <f>IF(AND(Table1[[#This Row],[Average attendance on class]]&lt;75,Table1[[#This Row],[How many hour do you study daily?]]&lt;1),"At Risk","Normal")</f>
        <v>Normal</v>
      </c>
      <c r="AH633">
        <f>(Table1[[#This Row],[Average attendance on class]]*0.4)+(Table1[[#This Row],[How many hour do you study daily?]]*10*0.3)+(Table1[[#This Row],[How many hour do you spent daily on your skill development?]]*10*0.3)</f>
        <v>54.2</v>
      </c>
    </row>
    <row r="634" spans="1:34" x14ac:dyDescent="0.25">
      <c r="A634">
        <v>2022</v>
      </c>
      <c r="B634" t="s">
        <v>34</v>
      </c>
      <c r="C634">
        <v>21</v>
      </c>
      <c r="D634">
        <v>2019</v>
      </c>
      <c r="E634" t="s">
        <v>35</v>
      </c>
      <c r="F634">
        <v>2</v>
      </c>
      <c r="G634" t="s">
        <v>37</v>
      </c>
      <c r="H634" t="s">
        <v>37</v>
      </c>
      <c r="I634">
        <v>3</v>
      </c>
      <c r="J634">
        <v>2</v>
      </c>
      <c r="K634" t="s">
        <v>38</v>
      </c>
      <c r="L634" t="s">
        <v>36</v>
      </c>
      <c r="M634" t="s">
        <v>36</v>
      </c>
      <c r="N634">
        <v>2</v>
      </c>
      <c r="O634" t="s">
        <v>45</v>
      </c>
      <c r="P634">
        <v>95</v>
      </c>
      <c r="Q634" t="s">
        <v>37</v>
      </c>
      <c r="R634" t="s">
        <v>37</v>
      </c>
      <c r="S634" t="s">
        <v>36</v>
      </c>
      <c r="T634" t="s">
        <v>40</v>
      </c>
      <c r="U634">
        <v>2</v>
      </c>
      <c r="V634" t="s">
        <v>49</v>
      </c>
      <c r="W634" t="s">
        <v>42</v>
      </c>
      <c r="X634" t="s">
        <v>37</v>
      </c>
      <c r="Y634" t="s">
        <v>43</v>
      </c>
      <c r="Z634" t="s">
        <v>37</v>
      </c>
      <c r="AA634">
        <v>3.85</v>
      </c>
      <c r="AB634" t="s">
        <v>37</v>
      </c>
      <c r="AC634">
        <v>3.85</v>
      </c>
      <c r="AD634">
        <v>11</v>
      </c>
      <c r="AE634">
        <v>20000</v>
      </c>
      <c r="AF634" t="str">
        <f>IF(Table1[[#This Row],[What is your current CGPA?]]&gt;=3.5,"High",IF(Table1[[#This Row],[What is your current CGPA?]]&gt;=2.5,"Medium","Low"))</f>
        <v>High</v>
      </c>
      <c r="AG634" t="str">
        <f>IF(AND(Table1[[#This Row],[Average attendance on class]]&lt;75,Table1[[#This Row],[How many hour do you study daily?]]&lt;1),"At Risk","Normal")</f>
        <v>Normal</v>
      </c>
      <c r="AH634">
        <f>(Table1[[#This Row],[Average attendance on class]]*0.4)+(Table1[[#This Row],[How many hour do you study daily?]]*10*0.3)+(Table1[[#This Row],[How many hour do you spent daily on your skill development?]]*10*0.3)</f>
        <v>53</v>
      </c>
    </row>
    <row r="635" spans="1:34" x14ac:dyDescent="0.25">
      <c r="A635">
        <v>2022</v>
      </c>
      <c r="B635" t="s">
        <v>48</v>
      </c>
      <c r="C635">
        <v>20</v>
      </c>
      <c r="D635">
        <v>2020</v>
      </c>
      <c r="E635" t="s">
        <v>35</v>
      </c>
      <c r="F635">
        <v>2</v>
      </c>
      <c r="G635" t="s">
        <v>36</v>
      </c>
      <c r="H635" t="s">
        <v>36</v>
      </c>
      <c r="I635">
        <v>3</v>
      </c>
      <c r="J635">
        <v>3</v>
      </c>
      <c r="K635" t="s">
        <v>38</v>
      </c>
      <c r="L635" t="s">
        <v>36</v>
      </c>
      <c r="M635" t="s">
        <v>36</v>
      </c>
      <c r="N635">
        <v>5</v>
      </c>
      <c r="O635" t="s">
        <v>45</v>
      </c>
      <c r="P635">
        <v>90</v>
      </c>
      <c r="Q635" t="s">
        <v>37</v>
      </c>
      <c r="R635" t="s">
        <v>37</v>
      </c>
      <c r="S635" t="s">
        <v>36</v>
      </c>
      <c r="T635" t="s">
        <v>40</v>
      </c>
      <c r="U635">
        <v>2</v>
      </c>
      <c r="V635" t="s">
        <v>40</v>
      </c>
      <c r="W635" t="s">
        <v>42</v>
      </c>
      <c r="X635" t="s">
        <v>37</v>
      </c>
      <c r="Y635" t="s">
        <v>47</v>
      </c>
      <c r="Z635" t="s">
        <v>37</v>
      </c>
      <c r="AA635">
        <v>4</v>
      </c>
      <c r="AB635" t="s">
        <v>37</v>
      </c>
      <c r="AC635">
        <v>4</v>
      </c>
      <c r="AD635">
        <v>11</v>
      </c>
      <c r="AE635">
        <v>50000</v>
      </c>
      <c r="AF635" t="str">
        <f>IF(Table1[[#This Row],[What is your current CGPA?]]&gt;=3.5,"High",IF(Table1[[#This Row],[What is your current CGPA?]]&gt;=2.5,"Medium","Low"))</f>
        <v>High</v>
      </c>
      <c r="AG635" t="str">
        <f>IF(AND(Table1[[#This Row],[Average attendance on class]]&lt;75,Table1[[#This Row],[How many hour do you study daily?]]&lt;1),"At Risk","Normal")</f>
        <v>Normal</v>
      </c>
      <c r="AH635">
        <f>(Table1[[#This Row],[Average attendance on class]]*0.4)+(Table1[[#This Row],[How many hour do you study daily?]]*10*0.3)+(Table1[[#This Row],[How many hour do you spent daily on your skill development?]]*10*0.3)</f>
        <v>51</v>
      </c>
    </row>
    <row r="636" spans="1:34" x14ac:dyDescent="0.25">
      <c r="A636">
        <v>2022</v>
      </c>
      <c r="B636" t="s">
        <v>34</v>
      </c>
      <c r="C636">
        <v>19</v>
      </c>
      <c r="D636">
        <v>2020</v>
      </c>
      <c r="E636" t="s">
        <v>35</v>
      </c>
      <c r="F636">
        <v>2</v>
      </c>
      <c r="G636" t="s">
        <v>37</v>
      </c>
      <c r="H636" t="s">
        <v>37</v>
      </c>
      <c r="I636">
        <v>4</v>
      </c>
      <c r="J636">
        <v>2</v>
      </c>
      <c r="K636" t="s">
        <v>38</v>
      </c>
      <c r="L636" t="s">
        <v>36</v>
      </c>
      <c r="M636" t="s">
        <v>36</v>
      </c>
      <c r="N636">
        <v>1</v>
      </c>
      <c r="O636" t="s">
        <v>45</v>
      </c>
      <c r="P636">
        <v>90</v>
      </c>
      <c r="Q636" t="s">
        <v>37</v>
      </c>
      <c r="R636" t="s">
        <v>37</v>
      </c>
      <c r="S636" t="s">
        <v>36</v>
      </c>
      <c r="T636" t="s">
        <v>40</v>
      </c>
      <c r="U636">
        <v>1</v>
      </c>
      <c r="V636" t="s">
        <v>49</v>
      </c>
      <c r="W636" t="s">
        <v>42</v>
      </c>
      <c r="X636" t="s">
        <v>37</v>
      </c>
      <c r="Y636" t="s">
        <v>43</v>
      </c>
      <c r="Z636" t="s">
        <v>37</v>
      </c>
      <c r="AA636">
        <v>3.21</v>
      </c>
      <c r="AB636" t="s">
        <v>37</v>
      </c>
      <c r="AC636">
        <v>3.21</v>
      </c>
      <c r="AD636">
        <v>11</v>
      </c>
      <c r="AE636">
        <v>40000</v>
      </c>
      <c r="AF636" t="str">
        <f>IF(Table1[[#This Row],[What is your current CGPA?]]&gt;=3.5,"High",IF(Table1[[#This Row],[What is your current CGPA?]]&gt;=2.5,"Medium","Low"))</f>
        <v>Medium</v>
      </c>
      <c r="AG636" t="str">
        <f>IF(AND(Table1[[#This Row],[Average attendance on class]]&lt;75,Table1[[#This Row],[How many hour do you study daily?]]&lt;1),"At Risk","Normal")</f>
        <v>Normal</v>
      </c>
      <c r="AH636">
        <f>(Table1[[#This Row],[Average attendance on class]]*0.4)+(Table1[[#This Row],[How many hour do you study daily?]]*10*0.3)+(Table1[[#This Row],[How many hour do you spent daily on your skill development?]]*10*0.3)</f>
        <v>51</v>
      </c>
    </row>
    <row r="637" spans="1:34" x14ac:dyDescent="0.25">
      <c r="A637">
        <v>2020</v>
      </c>
      <c r="B637" t="s">
        <v>48</v>
      </c>
      <c r="C637">
        <v>22</v>
      </c>
      <c r="D637">
        <v>2019</v>
      </c>
      <c r="E637" t="s">
        <v>35</v>
      </c>
      <c r="F637">
        <v>8</v>
      </c>
      <c r="G637" t="s">
        <v>36</v>
      </c>
      <c r="H637" t="s">
        <v>37</v>
      </c>
      <c r="I637">
        <v>3</v>
      </c>
      <c r="J637">
        <v>2</v>
      </c>
      <c r="K637" t="s">
        <v>38</v>
      </c>
      <c r="L637" t="s">
        <v>36</v>
      </c>
      <c r="M637" t="s">
        <v>36</v>
      </c>
      <c r="N637">
        <v>2</v>
      </c>
      <c r="O637" t="s">
        <v>39</v>
      </c>
      <c r="P637">
        <v>95</v>
      </c>
      <c r="Q637" t="s">
        <v>37</v>
      </c>
      <c r="R637" t="s">
        <v>37</v>
      </c>
      <c r="S637" t="s">
        <v>36</v>
      </c>
      <c r="T637" t="s">
        <v>40</v>
      </c>
      <c r="U637">
        <v>2</v>
      </c>
      <c r="V637" t="s">
        <v>59</v>
      </c>
      <c r="W637" t="s">
        <v>42</v>
      </c>
      <c r="X637" t="s">
        <v>36</v>
      </c>
      <c r="Y637" t="s">
        <v>47</v>
      </c>
      <c r="Z637" t="s">
        <v>37</v>
      </c>
      <c r="AA637">
        <v>3.15</v>
      </c>
      <c r="AB637" t="s">
        <v>37</v>
      </c>
      <c r="AC637">
        <v>3.65</v>
      </c>
      <c r="AD637">
        <v>84</v>
      </c>
      <c r="AE637">
        <v>50000</v>
      </c>
      <c r="AF637" t="str">
        <f>IF(Table1[[#This Row],[What is your current CGPA?]]&gt;=3.5,"High",IF(Table1[[#This Row],[What is your current CGPA?]]&gt;=2.5,"Medium","Low"))</f>
        <v>High</v>
      </c>
      <c r="AG637" t="str">
        <f>IF(AND(Table1[[#This Row],[Average attendance on class]]&lt;75,Table1[[#This Row],[How many hour do you study daily?]]&lt;1),"At Risk","Normal")</f>
        <v>Normal</v>
      </c>
      <c r="AH637">
        <f>(Table1[[#This Row],[Average attendance on class]]*0.4)+(Table1[[#This Row],[How many hour do you study daily?]]*10*0.3)+(Table1[[#This Row],[How many hour do you spent daily on your skill development?]]*10*0.3)</f>
        <v>53</v>
      </c>
    </row>
    <row r="638" spans="1:34" x14ac:dyDescent="0.25">
      <c r="A638">
        <v>2022</v>
      </c>
      <c r="B638" t="s">
        <v>34</v>
      </c>
      <c r="C638">
        <v>21</v>
      </c>
      <c r="D638">
        <v>2020</v>
      </c>
      <c r="E638" t="s">
        <v>35</v>
      </c>
      <c r="F638">
        <v>2</v>
      </c>
      <c r="G638" t="s">
        <v>36</v>
      </c>
      <c r="H638" t="s">
        <v>37</v>
      </c>
      <c r="I638">
        <v>4</v>
      </c>
      <c r="J638">
        <v>3</v>
      </c>
      <c r="K638" t="s">
        <v>38</v>
      </c>
      <c r="L638" t="s">
        <v>36</v>
      </c>
      <c r="M638" t="s">
        <v>36</v>
      </c>
      <c r="N638">
        <v>1</v>
      </c>
      <c r="O638" t="s">
        <v>45</v>
      </c>
      <c r="P638">
        <v>80</v>
      </c>
      <c r="Q638" t="s">
        <v>36</v>
      </c>
      <c r="R638" t="s">
        <v>36</v>
      </c>
      <c r="S638" t="s">
        <v>36</v>
      </c>
      <c r="T638" t="s">
        <v>40</v>
      </c>
      <c r="U638">
        <v>1</v>
      </c>
      <c r="V638" t="s">
        <v>40</v>
      </c>
      <c r="W638" t="s">
        <v>50</v>
      </c>
      <c r="X638" t="s">
        <v>36</v>
      </c>
      <c r="Y638" t="s">
        <v>43</v>
      </c>
      <c r="Z638" t="s">
        <v>36</v>
      </c>
      <c r="AA638">
        <v>3.1</v>
      </c>
      <c r="AB638" t="s">
        <v>37</v>
      </c>
      <c r="AC638">
        <v>3.1</v>
      </c>
      <c r="AD638">
        <v>14</v>
      </c>
      <c r="AE638">
        <v>20000</v>
      </c>
      <c r="AF638" t="str">
        <f>IF(Table1[[#This Row],[What is your current CGPA?]]&gt;=3.5,"High",IF(Table1[[#This Row],[What is your current CGPA?]]&gt;=2.5,"Medium","Low"))</f>
        <v>Medium</v>
      </c>
      <c r="AG638" t="str">
        <f>IF(AND(Table1[[#This Row],[Average attendance on class]]&lt;75,Table1[[#This Row],[How many hour do you study daily?]]&lt;1),"At Risk","Normal")</f>
        <v>Normal</v>
      </c>
      <c r="AH638">
        <f>(Table1[[#This Row],[Average attendance on class]]*0.4)+(Table1[[#This Row],[How many hour do you study daily?]]*10*0.3)+(Table1[[#This Row],[How many hour do you spent daily on your skill development?]]*10*0.3)</f>
        <v>47</v>
      </c>
    </row>
    <row r="639" spans="1:34" x14ac:dyDescent="0.25">
      <c r="A639">
        <v>2019</v>
      </c>
      <c r="B639" t="s">
        <v>34</v>
      </c>
      <c r="C639">
        <v>23</v>
      </c>
      <c r="D639">
        <v>2016</v>
      </c>
      <c r="E639" t="s">
        <v>35</v>
      </c>
      <c r="F639">
        <v>10</v>
      </c>
      <c r="G639" t="s">
        <v>36</v>
      </c>
      <c r="H639" t="s">
        <v>37</v>
      </c>
      <c r="I639">
        <v>1</v>
      </c>
      <c r="J639">
        <v>1</v>
      </c>
      <c r="K639" t="s">
        <v>38</v>
      </c>
      <c r="L639" t="s">
        <v>36</v>
      </c>
      <c r="M639" t="s">
        <v>36</v>
      </c>
      <c r="N639">
        <v>2</v>
      </c>
      <c r="O639" t="s">
        <v>39</v>
      </c>
      <c r="P639">
        <v>90</v>
      </c>
      <c r="Q639" t="s">
        <v>37</v>
      </c>
      <c r="R639" t="s">
        <v>37</v>
      </c>
      <c r="S639" t="s">
        <v>36</v>
      </c>
      <c r="T639" t="s">
        <v>103</v>
      </c>
      <c r="U639">
        <v>3</v>
      </c>
      <c r="V639" t="s">
        <v>52</v>
      </c>
      <c r="W639" t="s">
        <v>42</v>
      </c>
      <c r="X639" t="s">
        <v>37</v>
      </c>
      <c r="Y639" t="s">
        <v>43</v>
      </c>
      <c r="Z639" t="s">
        <v>37</v>
      </c>
      <c r="AA639">
        <v>3.22</v>
      </c>
      <c r="AB639" t="s">
        <v>37</v>
      </c>
      <c r="AC639">
        <v>3.47</v>
      </c>
      <c r="AD639">
        <v>95</v>
      </c>
      <c r="AE639">
        <v>13500</v>
      </c>
      <c r="AF639" t="str">
        <f>IF(Table1[[#This Row],[What is your current CGPA?]]&gt;=3.5,"High",IF(Table1[[#This Row],[What is your current CGPA?]]&gt;=2.5,"Medium","Low"))</f>
        <v>Medium</v>
      </c>
      <c r="AG639" t="str">
        <f>IF(AND(Table1[[#This Row],[Average attendance on class]]&lt;75,Table1[[#This Row],[How many hour do you study daily?]]&lt;1),"At Risk","Normal")</f>
        <v>Normal</v>
      </c>
      <c r="AH639">
        <f>(Table1[[#This Row],[Average attendance on class]]*0.4)+(Table1[[#This Row],[How many hour do you study daily?]]*10*0.3)+(Table1[[#This Row],[How many hour do you spent daily on your skill development?]]*10*0.3)</f>
        <v>48</v>
      </c>
    </row>
    <row r="640" spans="1:34" x14ac:dyDescent="0.25">
      <c r="A640">
        <v>2021</v>
      </c>
      <c r="B640" t="s">
        <v>48</v>
      </c>
      <c r="C640">
        <v>22</v>
      </c>
      <c r="D640">
        <v>2019</v>
      </c>
      <c r="E640" t="s">
        <v>35</v>
      </c>
      <c r="F640">
        <v>3</v>
      </c>
      <c r="G640" t="s">
        <v>36</v>
      </c>
      <c r="H640" t="s">
        <v>36</v>
      </c>
      <c r="I640">
        <v>3</v>
      </c>
      <c r="J640">
        <v>2</v>
      </c>
      <c r="K640" t="s">
        <v>38</v>
      </c>
      <c r="L640" t="s">
        <v>36</v>
      </c>
      <c r="M640" t="s">
        <v>36</v>
      </c>
      <c r="N640">
        <v>4</v>
      </c>
      <c r="O640" t="s">
        <v>39</v>
      </c>
      <c r="P640">
        <v>70</v>
      </c>
      <c r="Q640" t="s">
        <v>37</v>
      </c>
      <c r="R640" t="s">
        <v>37</v>
      </c>
      <c r="S640" t="s">
        <v>37</v>
      </c>
      <c r="T640" t="s">
        <v>40</v>
      </c>
      <c r="U640">
        <v>2</v>
      </c>
      <c r="V640" t="s">
        <v>52</v>
      </c>
      <c r="W640" t="s">
        <v>42</v>
      </c>
      <c r="X640" t="s">
        <v>37</v>
      </c>
      <c r="Y640" t="s">
        <v>47</v>
      </c>
      <c r="Z640" t="s">
        <v>37</v>
      </c>
      <c r="AA640">
        <v>3.52</v>
      </c>
      <c r="AB640" t="s">
        <v>37</v>
      </c>
      <c r="AC640">
        <v>3.77</v>
      </c>
      <c r="AD640">
        <v>23</v>
      </c>
      <c r="AE640">
        <v>25000</v>
      </c>
      <c r="AF640" t="str">
        <f>IF(Table1[[#This Row],[What is your current CGPA?]]&gt;=3.5,"High",IF(Table1[[#This Row],[What is your current CGPA?]]&gt;=2.5,"Medium","Low"))</f>
        <v>High</v>
      </c>
      <c r="AG640" t="str">
        <f>IF(AND(Table1[[#This Row],[Average attendance on class]]&lt;75,Table1[[#This Row],[How many hour do you study daily?]]&lt;1),"At Risk","Normal")</f>
        <v>Normal</v>
      </c>
      <c r="AH640">
        <f>(Table1[[#This Row],[Average attendance on class]]*0.4)+(Table1[[#This Row],[How many hour do you study daily?]]*10*0.3)+(Table1[[#This Row],[How many hour do you spent daily on your skill development?]]*10*0.3)</f>
        <v>43</v>
      </c>
    </row>
    <row r="641" spans="1:34" x14ac:dyDescent="0.25">
      <c r="A641">
        <v>2021</v>
      </c>
      <c r="B641" t="s">
        <v>48</v>
      </c>
      <c r="C641">
        <v>20</v>
      </c>
      <c r="D641">
        <v>2020</v>
      </c>
      <c r="E641" t="s">
        <v>35</v>
      </c>
      <c r="F641">
        <v>3</v>
      </c>
      <c r="G641" t="s">
        <v>36</v>
      </c>
      <c r="H641" t="s">
        <v>37</v>
      </c>
      <c r="I641">
        <v>2</v>
      </c>
      <c r="J641">
        <v>2</v>
      </c>
      <c r="K641" t="s">
        <v>38</v>
      </c>
      <c r="L641" t="s">
        <v>36</v>
      </c>
      <c r="M641" t="s">
        <v>36</v>
      </c>
      <c r="N641">
        <v>2</v>
      </c>
      <c r="O641" t="s">
        <v>39</v>
      </c>
      <c r="P641">
        <v>85</v>
      </c>
      <c r="Q641" t="s">
        <v>37</v>
      </c>
      <c r="R641" t="s">
        <v>37</v>
      </c>
      <c r="S641" t="s">
        <v>36</v>
      </c>
      <c r="T641" t="s">
        <v>40</v>
      </c>
      <c r="U641">
        <v>1</v>
      </c>
      <c r="V641" t="s">
        <v>40</v>
      </c>
      <c r="W641" t="s">
        <v>42</v>
      </c>
      <c r="X641" t="s">
        <v>37</v>
      </c>
      <c r="Y641" t="s">
        <v>47</v>
      </c>
      <c r="Z641" t="s">
        <v>37</v>
      </c>
      <c r="AA641">
        <v>3.24</v>
      </c>
      <c r="AB641" t="s">
        <v>37</v>
      </c>
      <c r="AC641">
        <v>3.32</v>
      </c>
      <c r="AD641">
        <v>23</v>
      </c>
      <c r="AE641">
        <v>80000</v>
      </c>
      <c r="AF641" t="str">
        <f>IF(Table1[[#This Row],[What is your current CGPA?]]&gt;=3.5,"High",IF(Table1[[#This Row],[What is your current CGPA?]]&gt;=2.5,"Medium","Low"))</f>
        <v>Medium</v>
      </c>
      <c r="AG641" t="str">
        <f>IF(AND(Table1[[#This Row],[Average attendance on class]]&lt;75,Table1[[#This Row],[How many hour do you study daily?]]&lt;1),"At Risk","Normal")</f>
        <v>Normal</v>
      </c>
      <c r="AH641">
        <f>(Table1[[#This Row],[Average attendance on class]]*0.4)+(Table1[[#This Row],[How many hour do you study daily?]]*10*0.3)+(Table1[[#This Row],[How many hour do you spent daily on your skill development?]]*10*0.3)</f>
        <v>43</v>
      </c>
    </row>
    <row r="642" spans="1:34" x14ac:dyDescent="0.25">
      <c r="A642">
        <v>2019</v>
      </c>
      <c r="B642" t="s">
        <v>34</v>
      </c>
      <c r="C642">
        <v>23</v>
      </c>
      <c r="D642">
        <v>2017</v>
      </c>
      <c r="E642" t="s">
        <v>35</v>
      </c>
      <c r="F642">
        <v>11</v>
      </c>
      <c r="G642" t="s">
        <v>37</v>
      </c>
      <c r="H642" t="s">
        <v>36</v>
      </c>
      <c r="I642">
        <v>10</v>
      </c>
      <c r="J642">
        <v>3</v>
      </c>
      <c r="K642" t="s">
        <v>38</v>
      </c>
      <c r="L642" t="s">
        <v>36</v>
      </c>
      <c r="M642" t="s">
        <v>36</v>
      </c>
      <c r="N642">
        <v>2</v>
      </c>
      <c r="O642" t="s">
        <v>39</v>
      </c>
      <c r="P642">
        <v>90</v>
      </c>
      <c r="Q642" t="s">
        <v>37</v>
      </c>
      <c r="R642" t="s">
        <v>37</v>
      </c>
      <c r="S642" t="s">
        <v>37</v>
      </c>
      <c r="T642" t="s">
        <v>40</v>
      </c>
      <c r="U642">
        <v>4</v>
      </c>
      <c r="V642" t="s">
        <v>40</v>
      </c>
      <c r="W642" t="s">
        <v>42</v>
      </c>
      <c r="X642" t="s">
        <v>36</v>
      </c>
      <c r="Y642" t="s">
        <v>43</v>
      </c>
      <c r="Z642" t="s">
        <v>36</v>
      </c>
      <c r="AA642">
        <v>3.94</v>
      </c>
      <c r="AB642" t="s">
        <v>36</v>
      </c>
      <c r="AC642">
        <v>3.95</v>
      </c>
      <c r="AD642">
        <v>126</v>
      </c>
      <c r="AE642">
        <v>25000</v>
      </c>
      <c r="AF642" t="str">
        <f>IF(Table1[[#This Row],[What is your current CGPA?]]&gt;=3.5,"High",IF(Table1[[#This Row],[What is your current CGPA?]]&gt;=2.5,"Medium","Low"))</f>
        <v>High</v>
      </c>
      <c r="AG642" t="str">
        <f>IF(AND(Table1[[#This Row],[Average attendance on class]]&lt;75,Table1[[#This Row],[How many hour do you study daily?]]&lt;1),"At Risk","Normal")</f>
        <v>Normal</v>
      </c>
      <c r="AH642">
        <f>(Table1[[#This Row],[Average attendance on class]]*0.4)+(Table1[[#This Row],[How many hour do you study daily?]]*10*0.3)+(Table1[[#This Row],[How many hour do you spent daily on your skill development?]]*10*0.3)</f>
        <v>78</v>
      </c>
    </row>
    <row r="643" spans="1:34" x14ac:dyDescent="0.25">
      <c r="A643">
        <v>2020</v>
      </c>
      <c r="B643" t="s">
        <v>48</v>
      </c>
      <c r="C643">
        <v>22</v>
      </c>
      <c r="D643">
        <v>2018</v>
      </c>
      <c r="E643" t="s">
        <v>35</v>
      </c>
      <c r="F643">
        <v>8</v>
      </c>
      <c r="G643" t="s">
        <v>37</v>
      </c>
      <c r="H643" t="s">
        <v>37</v>
      </c>
      <c r="I643">
        <v>4</v>
      </c>
      <c r="J643">
        <v>1</v>
      </c>
      <c r="K643" t="s">
        <v>44</v>
      </c>
      <c r="L643" t="s">
        <v>36</v>
      </c>
      <c r="M643" t="s">
        <v>36</v>
      </c>
      <c r="N643">
        <v>7</v>
      </c>
      <c r="O643" t="s">
        <v>39</v>
      </c>
      <c r="P643">
        <v>80</v>
      </c>
      <c r="Q643" t="s">
        <v>37</v>
      </c>
      <c r="R643" t="s">
        <v>37</v>
      </c>
      <c r="S643" t="s">
        <v>37</v>
      </c>
      <c r="T643" t="s">
        <v>104</v>
      </c>
      <c r="U643">
        <v>1</v>
      </c>
      <c r="V643" t="s">
        <v>52</v>
      </c>
      <c r="W643" t="s">
        <v>42</v>
      </c>
      <c r="X643" t="s">
        <v>36</v>
      </c>
      <c r="Y643" t="s">
        <v>47</v>
      </c>
      <c r="Z643" t="s">
        <v>37</v>
      </c>
      <c r="AA643">
        <v>2.5</v>
      </c>
      <c r="AB643" t="s">
        <v>37</v>
      </c>
      <c r="AC643">
        <v>2.85</v>
      </c>
      <c r="AD643">
        <v>90</v>
      </c>
      <c r="AE643">
        <v>70000</v>
      </c>
      <c r="AF643" t="str">
        <f>IF(Table1[[#This Row],[What is your current CGPA?]]&gt;=3.5,"High",IF(Table1[[#This Row],[What is your current CGPA?]]&gt;=2.5,"Medium","Low"))</f>
        <v>Medium</v>
      </c>
      <c r="AG643" t="str">
        <f>IF(AND(Table1[[#This Row],[Average attendance on class]]&lt;75,Table1[[#This Row],[How many hour do you study daily?]]&lt;1),"At Risk","Normal")</f>
        <v>Normal</v>
      </c>
      <c r="AH643">
        <f>(Table1[[#This Row],[Average attendance on class]]*0.4)+(Table1[[#This Row],[How many hour do you study daily?]]*10*0.3)+(Table1[[#This Row],[How many hour do you spent daily on your skill development?]]*10*0.3)</f>
        <v>47</v>
      </c>
    </row>
    <row r="644" spans="1:34" x14ac:dyDescent="0.25">
      <c r="A644">
        <v>2020</v>
      </c>
      <c r="B644" t="s">
        <v>48</v>
      </c>
      <c r="C644">
        <v>21</v>
      </c>
      <c r="D644">
        <v>2018</v>
      </c>
      <c r="E644" t="s">
        <v>35</v>
      </c>
      <c r="F644">
        <v>8</v>
      </c>
      <c r="G644" t="s">
        <v>37</v>
      </c>
      <c r="H644" t="s">
        <v>36</v>
      </c>
      <c r="I644">
        <v>3</v>
      </c>
      <c r="J644">
        <v>1</v>
      </c>
      <c r="K644" t="s">
        <v>38</v>
      </c>
      <c r="L644" t="s">
        <v>36</v>
      </c>
      <c r="M644" t="s">
        <v>36</v>
      </c>
      <c r="N644">
        <v>3</v>
      </c>
      <c r="O644" t="s">
        <v>45</v>
      </c>
      <c r="P644">
        <v>88</v>
      </c>
      <c r="Q644" t="s">
        <v>37</v>
      </c>
      <c r="R644" t="s">
        <v>37</v>
      </c>
      <c r="S644" t="s">
        <v>37</v>
      </c>
      <c r="T644" t="s">
        <v>105</v>
      </c>
      <c r="U644">
        <v>5</v>
      </c>
      <c r="V644" t="s">
        <v>51</v>
      </c>
      <c r="W644" t="s">
        <v>42</v>
      </c>
      <c r="X644" t="s">
        <v>37</v>
      </c>
      <c r="Y644" t="s">
        <v>43</v>
      </c>
      <c r="Z644" t="s">
        <v>36</v>
      </c>
      <c r="AA644">
        <v>2.65</v>
      </c>
      <c r="AB644" t="s">
        <v>37</v>
      </c>
      <c r="AC644">
        <v>2.85</v>
      </c>
      <c r="AD644">
        <v>70</v>
      </c>
      <c r="AE644">
        <v>35000</v>
      </c>
      <c r="AF644" t="str">
        <f>IF(Table1[[#This Row],[What is your current CGPA?]]&gt;=3.5,"High",IF(Table1[[#This Row],[What is your current CGPA?]]&gt;=2.5,"Medium","Low"))</f>
        <v>Medium</v>
      </c>
      <c r="AG644" t="str">
        <f>IF(AND(Table1[[#This Row],[Average attendance on class]]&lt;75,Table1[[#This Row],[How many hour do you study daily?]]&lt;1),"At Risk","Normal")</f>
        <v>Normal</v>
      </c>
      <c r="AH644">
        <f>(Table1[[#This Row],[Average attendance on class]]*0.4)+(Table1[[#This Row],[How many hour do you study daily?]]*10*0.3)+(Table1[[#This Row],[How many hour do you spent daily on your skill development?]]*10*0.3)</f>
        <v>59.2</v>
      </c>
    </row>
    <row r="645" spans="1:34" x14ac:dyDescent="0.25">
      <c r="A645">
        <v>2021</v>
      </c>
      <c r="B645" t="s">
        <v>34</v>
      </c>
      <c r="C645">
        <v>20</v>
      </c>
      <c r="D645">
        <v>2020</v>
      </c>
      <c r="E645" t="s">
        <v>35</v>
      </c>
      <c r="F645">
        <v>2</v>
      </c>
      <c r="G645" t="s">
        <v>36</v>
      </c>
      <c r="H645" t="s">
        <v>36</v>
      </c>
      <c r="I645">
        <v>1</v>
      </c>
      <c r="J645">
        <v>4</v>
      </c>
      <c r="K645" t="s">
        <v>44</v>
      </c>
      <c r="L645" t="s">
        <v>36</v>
      </c>
      <c r="M645" t="s">
        <v>37</v>
      </c>
      <c r="N645">
        <v>6</v>
      </c>
      <c r="O645" t="s">
        <v>39</v>
      </c>
      <c r="P645">
        <v>80</v>
      </c>
      <c r="Q645" t="s">
        <v>37</v>
      </c>
      <c r="R645" t="s">
        <v>37</v>
      </c>
      <c r="S645" t="s">
        <v>37</v>
      </c>
      <c r="T645" t="s">
        <v>40</v>
      </c>
      <c r="U645">
        <v>1</v>
      </c>
      <c r="V645" t="s">
        <v>40</v>
      </c>
      <c r="W645" t="s">
        <v>42</v>
      </c>
      <c r="X645" t="s">
        <v>37</v>
      </c>
      <c r="Y645" t="s">
        <v>47</v>
      </c>
      <c r="Z645" t="s">
        <v>37</v>
      </c>
      <c r="AA645">
        <v>2.91</v>
      </c>
      <c r="AB645" t="s">
        <v>37</v>
      </c>
      <c r="AC645">
        <v>2.91</v>
      </c>
      <c r="AD645">
        <v>11</v>
      </c>
      <c r="AE645">
        <v>25000</v>
      </c>
      <c r="AF645" t="str">
        <f>IF(Table1[[#This Row],[What is your current CGPA?]]&gt;=3.5,"High",IF(Table1[[#This Row],[What is your current CGPA?]]&gt;=2.5,"Medium","Low"))</f>
        <v>Medium</v>
      </c>
      <c r="AG645" t="str">
        <f>IF(AND(Table1[[#This Row],[Average attendance on class]]&lt;75,Table1[[#This Row],[How many hour do you study daily?]]&lt;1),"At Risk","Normal")</f>
        <v>Normal</v>
      </c>
      <c r="AH645">
        <f>(Table1[[#This Row],[Average attendance on class]]*0.4)+(Table1[[#This Row],[How many hour do you study daily?]]*10*0.3)+(Table1[[#This Row],[How many hour do you spent daily on your skill development?]]*10*0.3)</f>
        <v>38</v>
      </c>
    </row>
    <row r="646" spans="1:34" x14ac:dyDescent="0.25">
      <c r="A646">
        <v>2015</v>
      </c>
      <c r="B646" t="s">
        <v>34</v>
      </c>
      <c r="C646">
        <v>26</v>
      </c>
      <c r="D646">
        <v>2014</v>
      </c>
      <c r="E646" t="s">
        <v>35</v>
      </c>
      <c r="F646">
        <v>22</v>
      </c>
      <c r="G646" t="s">
        <v>37</v>
      </c>
      <c r="H646" t="s">
        <v>36</v>
      </c>
      <c r="I646">
        <v>5</v>
      </c>
      <c r="J646">
        <v>4</v>
      </c>
      <c r="K646" t="s">
        <v>38</v>
      </c>
      <c r="L646" t="s">
        <v>36</v>
      </c>
      <c r="M646" t="s">
        <v>36</v>
      </c>
      <c r="N646">
        <v>1</v>
      </c>
      <c r="O646" t="s">
        <v>39</v>
      </c>
      <c r="P646">
        <v>100</v>
      </c>
      <c r="Q646" t="s">
        <v>36</v>
      </c>
      <c r="R646" t="s">
        <v>36</v>
      </c>
      <c r="S646" t="s">
        <v>36</v>
      </c>
      <c r="T646" t="s">
        <v>40</v>
      </c>
      <c r="U646">
        <v>1</v>
      </c>
      <c r="V646" t="s">
        <v>40</v>
      </c>
      <c r="W646" t="s">
        <v>42</v>
      </c>
      <c r="X646" t="s">
        <v>37</v>
      </c>
      <c r="Y646" t="s">
        <v>43</v>
      </c>
      <c r="Z646" t="s">
        <v>37</v>
      </c>
      <c r="AA646">
        <v>3.22</v>
      </c>
      <c r="AB646" t="s">
        <v>37</v>
      </c>
      <c r="AC646">
        <v>2.83</v>
      </c>
      <c r="AD646">
        <v>103</v>
      </c>
      <c r="AE646">
        <v>25000</v>
      </c>
      <c r="AF646" t="str">
        <f>IF(Table1[[#This Row],[What is your current CGPA?]]&gt;=3.5,"High",IF(Table1[[#This Row],[What is your current CGPA?]]&gt;=2.5,"Medium","Low"))</f>
        <v>Medium</v>
      </c>
      <c r="AG646" t="str">
        <f>IF(AND(Table1[[#This Row],[Average attendance on class]]&lt;75,Table1[[#This Row],[How many hour do you study daily?]]&lt;1),"At Risk","Normal")</f>
        <v>Normal</v>
      </c>
      <c r="AH646">
        <f>(Table1[[#This Row],[Average attendance on class]]*0.4)+(Table1[[#This Row],[How many hour do you study daily?]]*10*0.3)+(Table1[[#This Row],[How many hour do you spent daily on your skill development?]]*10*0.3)</f>
        <v>58</v>
      </c>
    </row>
    <row r="647" spans="1:34" x14ac:dyDescent="0.25">
      <c r="A647">
        <v>2020</v>
      </c>
      <c r="B647" t="s">
        <v>34</v>
      </c>
      <c r="C647">
        <v>21</v>
      </c>
      <c r="D647">
        <v>2019</v>
      </c>
      <c r="E647" t="s">
        <v>35</v>
      </c>
      <c r="F647">
        <v>7</v>
      </c>
      <c r="G647" t="s">
        <v>36</v>
      </c>
      <c r="H647" t="s">
        <v>36</v>
      </c>
      <c r="I647">
        <v>1</v>
      </c>
      <c r="J647">
        <v>1</v>
      </c>
      <c r="K647" t="s">
        <v>38</v>
      </c>
      <c r="L647" t="s">
        <v>36</v>
      </c>
      <c r="M647" t="s">
        <v>36</v>
      </c>
      <c r="N647">
        <v>1</v>
      </c>
      <c r="O647" t="s">
        <v>45</v>
      </c>
      <c r="P647">
        <v>100</v>
      </c>
      <c r="Q647" t="s">
        <v>37</v>
      </c>
      <c r="R647" t="s">
        <v>37</v>
      </c>
      <c r="S647" t="s">
        <v>37</v>
      </c>
      <c r="T647" t="s">
        <v>40</v>
      </c>
      <c r="U647">
        <v>1</v>
      </c>
      <c r="V647" t="s">
        <v>40</v>
      </c>
      <c r="W647" t="s">
        <v>42</v>
      </c>
      <c r="X647" t="s">
        <v>36</v>
      </c>
      <c r="Y647" t="s">
        <v>47</v>
      </c>
      <c r="Z647" t="s">
        <v>37</v>
      </c>
      <c r="AA647">
        <v>3.67</v>
      </c>
      <c r="AB647" t="s">
        <v>37</v>
      </c>
      <c r="AC647">
        <v>3.48</v>
      </c>
      <c r="AD647">
        <v>75</v>
      </c>
      <c r="AE647">
        <v>62488</v>
      </c>
      <c r="AF647" t="str">
        <f>IF(Table1[[#This Row],[What is your current CGPA?]]&gt;=3.5,"High",IF(Table1[[#This Row],[What is your current CGPA?]]&gt;=2.5,"Medium","Low"))</f>
        <v>Medium</v>
      </c>
      <c r="AG647" t="str">
        <f>IF(AND(Table1[[#This Row],[Average attendance on class]]&lt;75,Table1[[#This Row],[How many hour do you study daily?]]&lt;1),"At Risk","Normal")</f>
        <v>Normal</v>
      </c>
      <c r="AH647">
        <f>(Table1[[#This Row],[Average attendance on class]]*0.4)+(Table1[[#This Row],[How many hour do you study daily?]]*10*0.3)+(Table1[[#This Row],[How many hour do you spent daily on your skill development?]]*10*0.3)</f>
        <v>46</v>
      </c>
    </row>
    <row r="648" spans="1:34" x14ac:dyDescent="0.25">
      <c r="A648">
        <v>2022</v>
      </c>
      <c r="B648" t="s">
        <v>48</v>
      </c>
      <c r="C648">
        <v>21</v>
      </c>
      <c r="D648">
        <v>2019</v>
      </c>
      <c r="E648" t="s">
        <v>35</v>
      </c>
      <c r="F648">
        <v>2</v>
      </c>
      <c r="G648" t="s">
        <v>36</v>
      </c>
      <c r="H648" t="s">
        <v>37</v>
      </c>
      <c r="I648">
        <v>1</v>
      </c>
      <c r="J648">
        <v>2</v>
      </c>
      <c r="K648" t="s">
        <v>38</v>
      </c>
      <c r="L648" t="s">
        <v>36</v>
      </c>
      <c r="M648" t="s">
        <v>36</v>
      </c>
      <c r="N648">
        <v>2</v>
      </c>
      <c r="O648" t="s">
        <v>39</v>
      </c>
      <c r="P648">
        <v>99</v>
      </c>
      <c r="Q648" t="s">
        <v>37</v>
      </c>
      <c r="R648" t="s">
        <v>37</v>
      </c>
      <c r="S648" t="s">
        <v>37</v>
      </c>
      <c r="T648" t="s">
        <v>40</v>
      </c>
      <c r="U648">
        <v>2</v>
      </c>
      <c r="V648" t="s">
        <v>40</v>
      </c>
      <c r="W648" t="s">
        <v>42</v>
      </c>
      <c r="X648" t="s">
        <v>37</v>
      </c>
      <c r="Y648" t="s">
        <v>43</v>
      </c>
      <c r="Z648" t="s">
        <v>37</v>
      </c>
      <c r="AA648">
        <v>4</v>
      </c>
      <c r="AB648" t="s">
        <v>37</v>
      </c>
      <c r="AC648">
        <v>4</v>
      </c>
      <c r="AD648">
        <v>12</v>
      </c>
      <c r="AE648">
        <v>30000</v>
      </c>
      <c r="AF648" t="str">
        <f>IF(Table1[[#This Row],[What is your current CGPA?]]&gt;=3.5,"High",IF(Table1[[#This Row],[What is your current CGPA?]]&gt;=2.5,"Medium","Low"))</f>
        <v>High</v>
      </c>
      <c r="AG648" t="str">
        <f>IF(AND(Table1[[#This Row],[Average attendance on class]]&lt;75,Table1[[#This Row],[How many hour do you study daily?]]&lt;1),"At Risk","Normal")</f>
        <v>Normal</v>
      </c>
      <c r="AH648">
        <f>(Table1[[#This Row],[Average attendance on class]]*0.4)+(Table1[[#This Row],[How many hour do you study daily?]]*10*0.3)+(Table1[[#This Row],[How many hour do you spent daily on your skill development?]]*10*0.3)</f>
        <v>48.6</v>
      </c>
    </row>
    <row r="649" spans="1:34" x14ac:dyDescent="0.25">
      <c r="A649">
        <v>2022</v>
      </c>
      <c r="B649" t="s">
        <v>34</v>
      </c>
      <c r="C649">
        <v>21</v>
      </c>
      <c r="D649">
        <v>2020</v>
      </c>
      <c r="E649" t="s">
        <v>35</v>
      </c>
      <c r="F649">
        <v>2</v>
      </c>
      <c r="G649" t="s">
        <v>36</v>
      </c>
      <c r="H649" t="s">
        <v>36</v>
      </c>
      <c r="I649">
        <v>3</v>
      </c>
      <c r="J649">
        <v>1</v>
      </c>
      <c r="K649" t="s">
        <v>38</v>
      </c>
      <c r="L649" t="s">
        <v>36</v>
      </c>
      <c r="M649" t="s">
        <v>36</v>
      </c>
      <c r="N649">
        <v>5</v>
      </c>
      <c r="O649" t="s">
        <v>45</v>
      </c>
      <c r="P649">
        <v>95</v>
      </c>
      <c r="Q649" t="s">
        <v>37</v>
      </c>
      <c r="R649" t="s">
        <v>37</v>
      </c>
      <c r="S649" t="s">
        <v>36</v>
      </c>
      <c r="T649" t="s">
        <v>40</v>
      </c>
      <c r="U649">
        <v>1</v>
      </c>
      <c r="V649" t="s">
        <v>52</v>
      </c>
      <c r="W649" t="s">
        <v>42</v>
      </c>
      <c r="X649" t="s">
        <v>36</v>
      </c>
      <c r="Y649" t="s">
        <v>47</v>
      </c>
      <c r="Z649" t="s">
        <v>37</v>
      </c>
      <c r="AA649">
        <v>3.92</v>
      </c>
      <c r="AB649" t="s">
        <v>37</v>
      </c>
      <c r="AC649">
        <v>3.92</v>
      </c>
      <c r="AD649">
        <v>12</v>
      </c>
      <c r="AE649">
        <v>35000</v>
      </c>
      <c r="AF649" t="str">
        <f>IF(Table1[[#This Row],[What is your current CGPA?]]&gt;=3.5,"High",IF(Table1[[#This Row],[What is your current CGPA?]]&gt;=2.5,"Medium","Low"))</f>
        <v>High</v>
      </c>
      <c r="AG649" t="str">
        <f>IF(AND(Table1[[#This Row],[Average attendance on class]]&lt;75,Table1[[#This Row],[How many hour do you study daily?]]&lt;1),"At Risk","Normal")</f>
        <v>Normal</v>
      </c>
      <c r="AH649">
        <f>(Table1[[#This Row],[Average attendance on class]]*0.4)+(Table1[[#This Row],[How many hour do you study daily?]]*10*0.3)+(Table1[[#This Row],[How many hour do you spent daily on your skill development?]]*10*0.3)</f>
        <v>50</v>
      </c>
    </row>
    <row r="650" spans="1:34" x14ac:dyDescent="0.25">
      <c r="A650">
        <v>2019</v>
      </c>
      <c r="B650" t="s">
        <v>34</v>
      </c>
      <c r="C650">
        <v>23</v>
      </c>
      <c r="D650">
        <v>2018</v>
      </c>
      <c r="E650" t="s">
        <v>35</v>
      </c>
      <c r="F650">
        <v>11</v>
      </c>
      <c r="G650" t="s">
        <v>37</v>
      </c>
      <c r="H650" t="s">
        <v>37</v>
      </c>
      <c r="I650">
        <v>6</v>
      </c>
      <c r="J650">
        <v>2</v>
      </c>
      <c r="K650" t="s">
        <v>44</v>
      </c>
      <c r="L650" t="s">
        <v>36</v>
      </c>
      <c r="M650" t="s">
        <v>36</v>
      </c>
      <c r="N650">
        <v>6</v>
      </c>
      <c r="O650" t="s">
        <v>53</v>
      </c>
      <c r="P650">
        <v>90</v>
      </c>
      <c r="Q650" t="s">
        <v>37</v>
      </c>
      <c r="R650" t="s">
        <v>37</v>
      </c>
      <c r="S650" t="s">
        <v>36</v>
      </c>
      <c r="T650" t="s">
        <v>40</v>
      </c>
      <c r="U650">
        <v>5</v>
      </c>
      <c r="V650" t="s">
        <v>62</v>
      </c>
      <c r="W650" t="s">
        <v>42</v>
      </c>
      <c r="X650" t="s">
        <v>37</v>
      </c>
      <c r="Y650" t="s">
        <v>43</v>
      </c>
      <c r="Z650" t="s">
        <v>37</v>
      </c>
      <c r="AA650">
        <v>3.02</v>
      </c>
      <c r="AB650" t="s">
        <v>37</v>
      </c>
      <c r="AC650">
        <v>3.05</v>
      </c>
      <c r="AD650">
        <v>123</v>
      </c>
      <c r="AE650">
        <v>40000</v>
      </c>
      <c r="AF650" t="str">
        <f>IF(Table1[[#This Row],[What is your current CGPA?]]&gt;=3.5,"High",IF(Table1[[#This Row],[What is your current CGPA?]]&gt;=2.5,"Medium","Low"))</f>
        <v>Medium</v>
      </c>
      <c r="AG650" t="str">
        <f>IF(AND(Table1[[#This Row],[Average attendance on class]]&lt;75,Table1[[#This Row],[How many hour do you study daily?]]&lt;1),"At Risk","Normal")</f>
        <v>Normal</v>
      </c>
      <c r="AH650">
        <f>(Table1[[#This Row],[Average attendance on class]]*0.4)+(Table1[[#This Row],[How many hour do you study daily?]]*10*0.3)+(Table1[[#This Row],[How many hour do you spent daily on your skill development?]]*10*0.3)</f>
        <v>69</v>
      </c>
    </row>
    <row r="651" spans="1:34" x14ac:dyDescent="0.25">
      <c r="A651">
        <v>2020</v>
      </c>
      <c r="B651" t="s">
        <v>48</v>
      </c>
      <c r="C651">
        <v>21</v>
      </c>
      <c r="D651">
        <v>2019</v>
      </c>
      <c r="E651" t="s">
        <v>35</v>
      </c>
      <c r="F651">
        <v>8</v>
      </c>
      <c r="G651" t="s">
        <v>37</v>
      </c>
      <c r="H651" t="s">
        <v>36</v>
      </c>
      <c r="I651">
        <v>13</v>
      </c>
      <c r="J651">
        <v>2</v>
      </c>
      <c r="K651" t="s">
        <v>44</v>
      </c>
      <c r="L651" t="s">
        <v>36</v>
      </c>
      <c r="M651" t="s">
        <v>36</v>
      </c>
      <c r="N651">
        <v>1</v>
      </c>
      <c r="O651" t="s">
        <v>53</v>
      </c>
      <c r="P651">
        <v>100</v>
      </c>
      <c r="Q651" t="s">
        <v>37</v>
      </c>
      <c r="R651" t="s">
        <v>37</v>
      </c>
      <c r="S651" t="s">
        <v>37</v>
      </c>
      <c r="T651" t="s">
        <v>40</v>
      </c>
      <c r="U651">
        <v>2</v>
      </c>
      <c r="V651" t="s">
        <v>51</v>
      </c>
      <c r="W651" t="s">
        <v>42</v>
      </c>
      <c r="X651" t="s">
        <v>37</v>
      </c>
      <c r="Y651" t="s">
        <v>47</v>
      </c>
      <c r="Z651" t="s">
        <v>37</v>
      </c>
      <c r="AA651">
        <v>3.77</v>
      </c>
      <c r="AB651" t="s">
        <v>37</v>
      </c>
      <c r="AC651">
        <v>3.69</v>
      </c>
      <c r="AD651">
        <v>88</v>
      </c>
      <c r="AE651">
        <v>5000</v>
      </c>
      <c r="AF651" t="str">
        <f>IF(Table1[[#This Row],[What is your current CGPA?]]&gt;=3.5,"High",IF(Table1[[#This Row],[What is your current CGPA?]]&gt;=2.5,"Medium","Low"))</f>
        <v>High</v>
      </c>
      <c r="AG651" t="str">
        <f>IF(AND(Table1[[#This Row],[Average attendance on class]]&lt;75,Table1[[#This Row],[How many hour do you study daily?]]&lt;1),"At Risk","Normal")</f>
        <v>Normal</v>
      </c>
      <c r="AH651">
        <f>(Table1[[#This Row],[Average attendance on class]]*0.4)+(Table1[[#This Row],[How many hour do you study daily?]]*10*0.3)+(Table1[[#This Row],[How many hour do you spent daily on your skill development?]]*10*0.3)</f>
        <v>85</v>
      </c>
    </row>
    <row r="652" spans="1:34" x14ac:dyDescent="0.25">
      <c r="A652">
        <v>2021</v>
      </c>
      <c r="B652" t="s">
        <v>34</v>
      </c>
      <c r="C652">
        <v>21</v>
      </c>
      <c r="D652">
        <v>2020</v>
      </c>
      <c r="E652" t="s">
        <v>35</v>
      </c>
      <c r="F652">
        <v>4</v>
      </c>
      <c r="G652" t="s">
        <v>37</v>
      </c>
      <c r="H652" t="s">
        <v>36</v>
      </c>
      <c r="I652">
        <v>2</v>
      </c>
      <c r="J652">
        <v>1</v>
      </c>
      <c r="K652" t="s">
        <v>38</v>
      </c>
      <c r="L652" t="s">
        <v>36</v>
      </c>
      <c r="M652" t="s">
        <v>36</v>
      </c>
      <c r="N652">
        <v>3</v>
      </c>
      <c r="O652" t="s">
        <v>39</v>
      </c>
      <c r="P652">
        <v>96</v>
      </c>
      <c r="Q652" t="s">
        <v>37</v>
      </c>
      <c r="R652" t="s">
        <v>37</v>
      </c>
      <c r="S652" t="s">
        <v>36</v>
      </c>
      <c r="T652" t="s">
        <v>40</v>
      </c>
      <c r="U652">
        <v>1</v>
      </c>
      <c r="V652" t="s">
        <v>40</v>
      </c>
      <c r="W652" t="s">
        <v>42</v>
      </c>
      <c r="X652" t="s">
        <v>36</v>
      </c>
      <c r="Y652" t="s">
        <v>47</v>
      </c>
      <c r="Z652" t="s">
        <v>37</v>
      </c>
      <c r="AA652">
        <v>3.89</v>
      </c>
      <c r="AB652" t="s">
        <v>37</v>
      </c>
      <c r="AC652">
        <v>3.7</v>
      </c>
      <c r="AD652">
        <v>35</v>
      </c>
      <c r="AE652">
        <v>90000</v>
      </c>
      <c r="AF652" t="str">
        <f>IF(Table1[[#This Row],[What is your current CGPA?]]&gt;=3.5,"High",IF(Table1[[#This Row],[What is your current CGPA?]]&gt;=2.5,"Medium","Low"))</f>
        <v>High</v>
      </c>
      <c r="AG652" t="str">
        <f>IF(AND(Table1[[#This Row],[Average attendance on class]]&lt;75,Table1[[#This Row],[How many hour do you study daily?]]&lt;1),"At Risk","Normal")</f>
        <v>Normal</v>
      </c>
      <c r="AH652">
        <f>(Table1[[#This Row],[Average attendance on class]]*0.4)+(Table1[[#This Row],[How many hour do you study daily?]]*10*0.3)+(Table1[[#This Row],[How many hour do you spent daily on your skill development?]]*10*0.3)</f>
        <v>47.400000000000006</v>
      </c>
    </row>
    <row r="653" spans="1:34" x14ac:dyDescent="0.25">
      <c r="A653">
        <v>2014</v>
      </c>
      <c r="B653" t="s">
        <v>48</v>
      </c>
      <c r="C653">
        <v>25</v>
      </c>
      <c r="D653">
        <v>2013</v>
      </c>
      <c r="E653" t="s">
        <v>35</v>
      </c>
      <c r="F653">
        <v>15</v>
      </c>
      <c r="G653" t="s">
        <v>37</v>
      </c>
      <c r="H653" t="s">
        <v>36</v>
      </c>
      <c r="I653">
        <v>4</v>
      </c>
      <c r="J653">
        <v>3</v>
      </c>
      <c r="K653" t="s">
        <v>38</v>
      </c>
      <c r="L653" t="s">
        <v>36</v>
      </c>
      <c r="M653" t="s">
        <v>36</v>
      </c>
      <c r="N653">
        <v>1</v>
      </c>
      <c r="O653" t="s">
        <v>39</v>
      </c>
      <c r="P653">
        <v>90</v>
      </c>
      <c r="Q653" t="s">
        <v>36</v>
      </c>
      <c r="R653" t="s">
        <v>37</v>
      </c>
      <c r="S653" t="s">
        <v>36</v>
      </c>
      <c r="T653" t="s">
        <v>51</v>
      </c>
      <c r="U653">
        <v>2</v>
      </c>
      <c r="V653" t="s">
        <v>40</v>
      </c>
      <c r="W653" t="s">
        <v>56</v>
      </c>
      <c r="X653" t="s">
        <v>37</v>
      </c>
      <c r="Y653" t="s">
        <v>47</v>
      </c>
      <c r="Z653" t="s">
        <v>37</v>
      </c>
      <c r="AA653">
        <v>3.06</v>
      </c>
      <c r="AB653" t="s">
        <v>37</v>
      </c>
      <c r="AC653">
        <v>2.86</v>
      </c>
      <c r="AD653">
        <v>140</v>
      </c>
      <c r="AE653">
        <v>40000</v>
      </c>
      <c r="AF653" t="str">
        <f>IF(Table1[[#This Row],[What is your current CGPA?]]&gt;=3.5,"High",IF(Table1[[#This Row],[What is your current CGPA?]]&gt;=2.5,"Medium","Low"))</f>
        <v>Medium</v>
      </c>
      <c r="AG653" t="str">
        <f>IF(AND(Table1[[#This Row],[Average attendance on class]]&lt;75,Table1[[#This Row],[How many hour do you study daily?]]&lt;1),"At Risk","Normal")</f>
        <v>Normal</v>
      </c>
      <c r="AH653">
        <f>(Table1[[#This Row],[Average attendance on class]]*0.4)+(Table1[[#This Row],[How many hour do you study daily?]]*10*0.3)+(Table1[[#This Row],[How many hour do you spent daily on your skill development?]]*10*0.3)</f>
        <v>54</v>
      </c>
    </row>
    <row r="654" spans="1:34" x14ac:dyDescent="0.25">
      <c r="A654">
        <v>2019</v>
      </c>
      <c r="B654" t="s">
        <v>34</v>
      </c>
      <c r="C654">
        <v>21</v>
      </c>
      <c r="D654">
        <v>2019</v>
      </c>
      <c r="E654" t="s">
        <v>35</v>
      </c>
      <c r="F654">
        <v>8</v>
      </c>
      <c r="G654" t="s">
        <v>37</v>
      </c>
      <c r="H654" t="s">
        <v>36</v>
      </c>
      <c r="I654">
        <v>1</v>
      </c>
      <c r="J654">
        <v>2</v>
      </c>
      <c r="K654" t="s">
        <v>44</v>
      </c>
      <c r="L654" t="s">
        <v>36</v>
      </c>
      <c r="M654" t="s">
        <v>36</v>
      </c>
      <c r="N654">
        <v>4</v>
      </c>
      <c r="O654" t="s">
        <v>39</v>
      </c>
      <c r="P654">
        <v>57</v>
      </c>
      <c r="Q654" t="s">
        <v>36</v>
      </c>
      <c r="R654" t="s">
        <v>37</v>
      </c>
      <c r="S654" t="s">
        <v>37</v>
      </c>
      <c r="T654" t="s">
        <v>40</v>
      </c>
      <c r="U654">
        <v>3</v>
      </c>
      <c r="V654" t="s">
        <v>40</v>
      </c>
      <c r="W654" t="s">
        <v>42</v>
      </c>
      <c r="X654" t="s">
        <v>36</v>
      </c>
      <c r="Y654" t="s">
        <v>47</v>
      </c>
      <c r="Z654" t="s">
        <v>36</v>
      </c>
      <c r="AA654">
        <v>3.66</v>
      </c>
      <c r="AB654" t="s">
        <v>37</v>
      </c>
      <c r="AC654">
        <v>3.01</v>
      </c>
      <c r="AD654">
        <v>77</v>
      </c>
      <c r="AE654">
        <v>45000</v>
      </c>
      <c r="AF654" t="str">
        <f>IF(Table1[[#This Row],[What is your current CGPA?]]&gt;=3.5,"High",IF(Table1[[#This Row],[What is your current CGPA?]]&gt;=2.5,"Medium","Low"))</f>
        <v>Medium</v>
      </c>
      <c r="AG654" t="str">
        <f>IF(AND(Table1[[#This Row],[Average attendance on class]]&lt;75,Table1[[#This Row],[How many hour do you study daily?]]&lt;1),"At Risk","Normal")</f>
        <v>Normal</v>
      </c>
      <c r="AH654">
        <f>(Table1[[#This Row],[Average attendance on class]]*0.4)+(Table1[[#This Row],[How many hour do you study daily?]]*10*0.3)+(Table1[[#This Row],[How many hour do you spent daily on your skill development?]]*10*0.3)</f>
        <v>34.799999999999997</v>
      </c>
    </row>
    <row r="655" spans="1:34" x14ac:dyDescent="0.25">
      <c r="A655">
        <v>2020</v>
      </c>
      <c r="B655" t="s">
        <v>48</v>
      </c>
      <c r="C655">
        <v>22</v>
      </c>
      <c r="D655">
        <v>2018</v>
      </c>
      <c r="E655" t="s">
        <v>35</v>
      </c>
      <c r="F655">
        <v>8</v>
      </c>
      <c r="G655" t="s">
        <v>36</v>
      </c>
      <c r="H655" t="s">
        <v>36</v>
      </c>
      <c r="I655">
        <v>3</v>
      </c>
      <c r="J655">
        <v>1</v>
      </c>
      <c r="K655" t="s">
        <v>38</v>
      </c>
      <c r="L655" t="s">
        <v>36</v>
      </c>
      <c r="M655" t="s">
        <v>36</v>
      </c>
      <c r="N655">
        <v>3</v>
      </c>
      <c r="O655" t="s">
        <v>45</v>
      </c>
      <c r="P655">
        <v>100</v>
      </c>
      <c r="Q655" t="s">
        <v>36</v>
      </c>
      <c r="R655" t="s">
        <v>37</v>
      </c>
      <c r="S655" t="s">
        <v>36</v>
      </c>
      <c r="T655" t="s">
        <v>51</v>
      </c>
      <c r="U655">
        <v>4</v>
      </c>
      <c r="V655" t="s">
        <v>51</v>
      </c>
      <c r="W655" t="s">
        <v>42</v>
      </c>
      <c r="X655" t="s">
        <v>37</v>
      </c>
      <c r="Y655" t="s">
        <v>43</v>
      </c>
      <c r="Z655" t="s">
        <v>37</v>
      </c>
      <c r="AA655">
        <v>2.15</v>
      </c>
      <c r="AB655" t="s">
        <v>37</v>
      </c>
      <c r="AC655">
        <v>2.54</v>
      </c>
      <c r="AD655">
        <v>70</v>
      </c>
      <c r="AE655">
        <v>25000</v>
      </c>
      <c r="AF655" t="str">
        <f>IF(Table1[[#This Row],[What is your current CGPA?]]&gt;=3.5,"High",IF(Table1[[#This Row],[What is your current CGPA?]]&gt;=2.5,"Medium","Low"))</f>
        <v>Medium</v>
      </c>
      <c r="AG655" t="str">
        <f>IF(AND(Table1[[#This Row],[Average attendance on class]]&lt;75,Table1[[#This Row],[How many hour do you study daily?]]&lt;1),"At Risk","Normal")</f>
        <v>Normal</v>
      </c>
      <c r="AH655">
        <f>(Table1[[#This Row],[Average attendance on class]]*0.4)+(Table1[[#This Row],[How many hour do you study daily?]]*10*0.3)+(Table1[[#This Row],[How many hour do you spent daily on your skill development?]]*10*0.3)</f>
        <v>61</v>
      </c>
    </row>
    <row r="656" spans="1:34" x14ac:dyDescent="0.25">
      <c r="A656">
        <v>2017</v>
      </c>
      <c r="B656" t="s">
        <v>34</v>
      </c>
      <c r="C656">
        <v>24</v>
      </c>
      <c r="D656">
        <v>2017</v>
      </c>
      <c r="E656" t="s">
        <v>35</v>
      </c>
      <c r="F656">
        <v>9</v>
      </c>
      <c r="G656" t="s">
        <v>36</v>
      </c>
      <c r="H656" t="s">
        <v>36</v>
      </c>
      <c r="I656">
        <v>1</v>
      </c>
      <c r="J656">
        <v>1</v>
      </c>
      <c r="K656" t="s">
        <v>44</v>
      </c>
      <c r="L656" t="s">
        <v>36</v>
      </c>
      <c r="M656" t="s">
        <v>36</v>
      </c>
      <c r="N656">
        <v>1</v>
      </c>
      <c r="O656" t="s">
        <v>39</v>
      </c>
      <c r="P656">
        <v>85</v>
      </c>
      <c r="Q656" t="s">
        <v>37</v>
      </c>
      <c r="R656" t="s">
        <v>37</v>
      </c>
      <c r="S656" t="s">
        <v>37</v>
      </c>
      <c r="T656" t="s">
        <v>40</v>
      </c>
      <c r="U656">
        <v>2</v>
      </c>
      <c r="V656" t="s">
        <v>40</v>
      </c>
      <c r="W656" t="s">
        <v>42</v>
      </c>
      <c r="X656" t="s">
        <v>37</v>
      </c>
      <c r="Y656" t="s">
        <v>47</v>
      </c>
      <c r="Z656" t="s">
        <v>37</v>
      </c>
      <c r="AA656">
        <v>3.39</v>
      </c>
      <c r="AB656" t="s">
        <v>37</v>
      </c>
      <c r="AC656">
        <v>3.29</v>
      </c>
      <c r="AD656">
        <v>90</v>
      </c>
      <c r="AE656">
        <v>40000</v>
      </c>
      <c r="AF656" t="str">
        <f>IF(Table1[[#This Row],[What is your current CGPA?]]&gt;=3.5,"High",IF(Table1[[#This Row],[What is your current CGPA?]]&gt;=2.5,"Medium","Low"))</f>
        <v>Medium</v>
      </c>
      <c r="AG656" t="str">
        <f>IF(AND(Table1[[#This Row],[Average attendance on class]]&lt;75,Table1[[#This Row],[How many hour do you study daily?]]&lt;1),"At Risk","Normal")</f>
        <v>Normal</v>
      </c>
      <c r="AH656">
        <f>(Table1[[#This Row],[Average attendance on class]]*0.4)+(Table1[[#This Row],[How many hour do you study daily?]]*10*0.3)+(Table1[[#This Row],[How many hour do you spent daily on your skill development?]]*10*0.3)</f>
        <v>43</v>
      </c>
    </row>
    <row r="657" spans="1:34" x14ac:dyDescent="0.25">
      <c r="A657">
        <v>2019</v>
      </c>
      <c r="B657" t="s">
        <v>48</v>
      </c>
      <c r="C657">
        <v>22</v>
      </c>
      <c r="D657">
        <v>2018</v>
      </c>
      <c r="E657" t="s">
        <v>35</v>
      </c>
      <c r="F657">
        <v>11</v>
      </c>
      <c r="G657" t="s">
        <v>37</v>
      </c>
      <c r="H657" t="s">
        <v>37</v>
      </c>
      <c r="I657">
        <v>2</v>
      </c>
      <c r="J657">
        <v>1</v>
      </c>
      <c r="K657" t="s">
        <v>38</v>
      </c>
      <c r="L657" t="s">
        <v>36</v>
      </c>
      <c r="M657" t="s">
        <v>36</v>
      </c>
      <c r="N657">
        <v>2</v>
      </c>
      <c r="O657" t="s">
        <v>39</v>
      </c>
      <c r="P657">
        <v>95</v>
      </c>
      <c r="Q657" t="s">
        <v>37</v>
      </c>
      <c r="R657" t="s">
        <v>37</v>
      </c>
      <c r="S657" t="s">
        <v>36</v>
      </c>
      <c r="T657" t="s">
        <v>40</v>
      </c>
      <c r="U657">
        <v>1</v>
      </c>
      <c r="V657" t="s">
        <v>40</v>
      </c>
      <c r="W657" t="s">
        <v>42</v>
      </c>
      <c r="X657" t="s">
        <v>37</v>
      </c>
      <c r="Y657" t="s">
        <v>47</v>
      </c>
      <c r="Z657" t="s">
        <v>37</v>
      </c>
      <c r="AA657">
        <v>3.78</v>
      </c>
      <c r="AB657" t="s">
        <v>37</v>
      </c>
      <c r="AC657">
        <v>3.54</v>
      </c>
      <c r="AD657">
        <v>125</v>
      </c>
      <c r="AE657">
        <v>60000</v>
      </c>
      <c r="AF657" t="str">
        <f>IF(Table1[[#This Row],[What is your current CGPA?]]&gt;=3.5,"High",IF(Table1[[#This Row],[What is your current CGPA?]]&gt;=2.5,"Medium","Low"))</f>
        <v>High</v>
      </c>
      <c r="AG657" t="str">
        <f>IF(AND(Table1[[#This Row],[Average attendance on class]]&lt;75,Table1[[#This Row],[How many hour do you study daily?]]&lt;1),"At Risk","Normal")</f>
        <v>Normal</v>
      </c>
      <c r="AH657">
        <f>(Table1[[#This Row],[Average attendance on class]]*0.4)+(Table1[[#This Row],[How many hour do you study daily?]]*10*0.3)+(Table1[[#This Row],[How many hour do you spent daily on your skill development?]]*10*0.3)</f>
        <v>47</v>
      </c>
    </row>
    <row r="658" spans="1:34" x14ac:dyDescent="0.25">
      <c r="A658">
        <v>2017</v>
      </c>
      <c r="B658" t="s">
        <v>34</v>
      </c>
      <c r="C658">
        <v>25</v>
      </c>
      <c r="D658">
        <v>2016</v>
      </c>
      <c r="E658" t="s">
        <v>35</v>
      </c>
      <c r="F658">
        <v>16</v>
      </c>
      <c r="G658" t="s">
        <v>37</v>
      </c>
      <c r="H658" t="s">
        <v>36</v>
      </c>
      <c r="I658">
        <v>6</v>
      </c>
      <c r="J658">
        <v>3</v>
      </c>
      <c r="K658" t="s">
        <v>44</v>
      </c>
      <c r="L658" t="s">
        <v>36</v>
      </c>
      <c r="M658" t="s">
        <v>36</v>
      </c>
      <c r="N658">
        <v>4</v>
      </c>
      <c r="O658" t="s">
        <v>39</v>
      </c>
      <c r="P658">
        <v>90</v>
      </c>
      <c r="Q658" t="s">
        <v>37</v>
      </c>
      <c r="R658" t="s">
        <v>37</v>
      </c>
      <c r="S658" t="s">
        <v>36</v>
      </c>
      <c r="T658" t="s">
        <v>40</v>
      </c>
      <c r="U658">
        <v>4</v>
      </c>
      <c r="V658" t="s">
        <v>40</v>
      </c>
      <c r="W658" t="s">
        <v>42</v>
      </c>
      <c r="X658" t="s">
        <v>36</v>
      </c>
      <c r="Y658" t="s">
        <v>47</v>
      </c>
      <c r="Z658" t="s">
        <v>37</v>
      </c>
      <c r="AA658">
        <v>3.51</v>
      </c>
      <c r="AB658" t="s">
        <v>37</v>
      </c>
      <c r="AC658">
        <v>3.51</v>
      </c>
      <c r="AD658">
        <v>143</v>
      </c>
      <c r="AE658">
        <v>100000</v>
      </c>
      <c r="AF658" t="str">
        <f>IF(Table1[[#This Row],[What is your current CGPA?]]&gt;=3.5,"High",IF(Table1[[#This Row],[What is your current CGPA?]]&gt;=2.5,"Medium","Low"))</f>
        <v>High</v>
      </c>
      <c r="AG658" t="str">
        <f>IF(AND(Table1[[#This Row],[Average attendance on class]]&lt;75,Table1[[#This Row],[How many hour do you study daily?]]&lt;1),"At Risk","Normal")</f>
        <v>Normal</v>
      </c>
      <c r="AH658">
        <f>(Table1[[#This Row],[Average attendance on class]]*0.4)+(Table1[[#This Row],[How many hour do you study daily?]]*10*0.3)+(Table1[[#This Row],[How many hour do you spent daily on your skill development?]]*10*0.3)</f>
        <v>66</v>
      </c>
    </row>
    <row r="659" spans="1:34" x14ac:dyDescent="0.25">
      <c r="A659">
        <v>2020</v>
      </c>
      <c r="B659" t="s">
        <v>34</v>
      </c>
      <c r="C659">
        <v>22</v>
      </c>
      <c r="D659">
        <v>2016</v>
      </c>
      <c r="E659" t="s">
        <v>35</v>
      </c>
      <c r="F659">
        <v>7</v>
      </c>
      <c r="G659" t="s">
        <v>37</v>
      </c>
      <c r="H659" t="s">
        <v>36</v>
      </c>
      <c r="I659">
        <v>1</v>
      </c>
      <c r="J659">
        <v>1</v>
      </c>
      <c r="K659" t="s">
        <v>38</v>
      </c>
      <c r="L659" t="s">
        <v>36</v>
      </c>
      <c r="M659" t="s">
        <v>36</v>
      </c>
      <c r="N659">
        <v>2</v>
      </c>
      <c r="O659" t="s">
        <v>39</v>
      </c>
      <c r="P659">
        <v>60</v>
      </c>
      <c r="Q659" t="s">
        <v>37</v>
      </c>
      <c r="R659" t="s">
        <v>37</v>
      </c>
      <c r="S659" t="s">
        <v>36</v>
      </c>
      <c r="T659" t="s">
        <v>40</v>
      </c>
      <c r="U659">
        <v>1</v>
      </c>
      <c r="V659" t="s">
        <v>59</v>
      </c>
      <c r="W659" t="s">
        <v>42</v>
      </c>
      <c r="X659" t="s">
        <v>37</v>
      </c>
      <c r="Y659" t="s">
        <v>43</v>
      </c>
      <c r="Z659" t="s">
        <v>36</v>
      </c>
      <c r="AA659">
        <v>2.92</v>
      </c>
      <c r="AB659" t="s">
        <v>37</v>
      </c>
      <c r="AC659">
        <v>2.9</v>
      </c>
      <c r="AD659">
        <v>58</v>
      </c>
      <c r="AE659">
        <v>62488</v>
      </c>
      <c r="AF659" t="str">
        <f>IF(Table1[[#This Row],[What is your current CGPA?]]&gt;=3.5,"High",IF(Table1[[#This Row],[What is your current CGPA?]]&gt;=2.5,"Medium","Low"))</f>
        <v>Medium</v>
      </c>
      <c r="AG659" t="str">
        <f>IF(AND(Table1[[#This Row],[Average attendance on class]]&lt;75,Table1[[#This Row],[How many hour do you study daily?]]&lt;1),"At Risk","Normal")</f>
        <v>Normal</v>
      </c>
      <c r="AH659">
        <f>(Table1[[#This Row],[Average attendance on class]]*0.4)+(Table1[[#This Row],[How many hour do you study daily?]]*10*0.3)+(Table1[[#This Row],[How many hour do you spent daily on your skill development?]]*10*0.3)</f>
        <v>30</v>
      </c>
    </row>
    <row r="660" spans="1:34" x14ac:dyDescent="0.25">
      <c r="A660">
        <v>2019</v>
      </c>
      <c r="B660" t="s">
        <v>48</v>
      </c>
      <c r="C660">
        <v>21</v>
      </c>
      <c r="D660">
        <v>2019</v>
      </c>
      <c r="E660" t="s">
        <v>35</v>
      </c>
      <c r="F660">
        <v>8</v>
      </c>
      <c r="G660" t="s">
        <v>37</v>
      </c>
      <c r="H660" t="s">
        <v>36</v>
      </c>
      <c r="I660">
        <v>5</v>
      </c>
      <c r="J660">
        <v>2</v>
      </c>
      <c r="K660" t="s">
        <v>38</v>
      </c>
      <c r="L660" t="s">
        <v>36</v>
      </c>
      <c r="M660" t="s">
        <v>36</v>
      </c>
      <c r="N660">
        <v>3</v>
      </c>
      <c r="O660" t="s">
        <v>53</v>
      </c>
      <c r="P660">
        <v>90</v>
      </c>
      <c r="Q660" t="s">
        <v>36</v>
      </c>
      <c r="R660" t="s">
        <v>37</v>
      </c>
      <c r="S660" t="s">
        <v>36</v>
      </c>
      <c r="T660" t="s">
        <v>51</v>
      </c>
      <c r="U660">
        <v>2</v>
      </c>
      <c r="V660" t="s">
        <v>51</v>
      </c>
      <c r="W660" t="s">
        <v>57</v>
      </c>
      <c r="X660" t="s">
        <v>36</v>
      </c>
      <c r="Y660" t="s">
        <v>43</v>
      </c>
      <c r="Z660" t="s">
        <v>37</v>
      </c>
      <c r="AA660">
        <v>2.13</v>
      </c>
      <c r="AB660" t="s">
        <v>37</v>
      </c>
      <c r="AC660">
        <v>2.4500000000000002</v>
      </c>
      <c r="AD660">
        <v>87</v>
      </c>
      <c r="AE660">
        <v>40000</v>
      </c>
      <c r="AF660" t="str">
        <f>IF(Table1[[#This Row],[What is your current CGPA?]]&gt;=3.5,"High",IF(Table1[[#This Row],[What is your current CGPA?]]&gt;=2.5,"Medium","Low"))</f>
        <v>Low</v>
      </c>
      <c r="AG660" t="str">
        <f>IF(AND(Table1[[#This Row],[Average attendance on class]]&lt;75,Table1[[#This Row],[How many hour do you study daily?]]&lt;1),"At Risk","Normal")</f>
        <v>Normal</v>
      </c>
      <c r="AH660">
        <f>(Table1[[#This Row],[Average attendance on class]]*0.4)+(Table1[[#This Row],[How many hour do you study daily?]]*10*0.3)+(Table1[[#This Row],[How many hour do you spent daily on your skill development?]]*10*0.3)</f>
        <v>57</v>
      </c>
    </row>
    <row r="661" spans="1:34" x14ac:dyDescent="0.25">
      <c r="A661">
        <v>2020</v>
      </c>
      <c r="B661" t="s">
        <v>34</v>
      </c>
      <c r="C661">
        <v>22</v>
      </c>
      <c r="D661">
        <v>2019</v>
      </c>
      <c r="E661" t="s">
        <v>35</v>
      </c>
      <c r="F661">
        <v>7</v>
      </c>
      <c r="G661" t="s">
        <v>37</v>
      </c>
      <c r="H661" t="s">
        <v>37</v>
      </c>
      <c r="I661">
        <v>2</v>
      </c>
      <c r="J661">
        <v>1</v>
      </c>
      <c r="K661" t="s">
        <v>38</v>
      </c>
      <c r="L661" t="s">
        <v>36</v>
      </c>
      <c r="M661" t="s">
        <v>36</v>
      </c>
      <c r="N661">
        <v>2</v>
      </c>
      <c r="O661" t="s">
        <v>39</v>
      </c>
      <c r="P661">
        <v>80</v>
      </c>
      <c r="Q661" t="s">
        <v>37</v>
      </c>
      <c r="R661" t="s">
        <v>37</v>
      </c>
      <c r="S661" t="s">
        <v>37</v>
      </c>
      <c r="T661" t="s">
        <v>40</v>
      </c>
      <c r="U661">
        <v>1</v>
      </c>
      <c r="V661" t="s">
        <v>40</v>
      </c>
      <c r="W661" t="s">
        <v>42</v>
      </c>
      <c r="X661" t="s">
        <v>37</v>
      </c>
      <c r="Y661" t="s">
        <v>43</v>
      </c>
      <c r="Z661" t="s">
        <v>36</v>
      </c>
      <c r="AA661">
        <v>3.4</v>
      </c>
      <c r="AB661" t="s">
        <v>37</v>
      </c>
      <c r="AC661">
        <v>2.8</v>
      </c>
      <c r="AD661">
        <v>80</v>
      </c>
      <c r="AE661">
        <v>35000</v>
      </c>
      <c r="AF661" t="str">
        <f>IF(Table1[[#This Row],[What is your current CGPA?]]&gt;=3.5,"High",IF(Table1[[#This Row],[What is your current CGPA?]]&gt;=2.5,"Medium","Low"))</f>
        <v>Medium</v>
      </c>
      <c r="AG661" t="str">
        <f>IF(AND(Table1[[#This Row],[Average attendance on class]]&lt;75,Table1[[#This Row],[How many hour do you study daily?]]&lt;1),"At Risk","Normal")</f>
        <v>Normal</v>
      </c>
      <c r="AH661">
        <f>(Table1[[#This Row],[Average attendance on class]]*0.4)+(Table1[[#This Row],[How many hour do you study daily?]]*10*0.3)+(Table1[[#This Row],[How many hour do you spent daily on your skill development?]]*10*0.3)</f>
        <v>41</v>
      </c>
    </row>
    <row r="662" spans="1:34" x14ac:dyDescent="0.25">
      <c r="A662">
        <v>2022</v>
      </c>
      <c r="B662" t="s">
        <v>48</v>
      </c>
      <c r="C662">
        <v>20</v>
      </c>
      <c r="D662">
        <v>2020</v>
      </c>
      <c r="E662" t="s">
        <v>35</v>
      </c>
      <c r="F662">
        <v>1</v>
      </c>
      <c r="G662" t="s">
        <v>36</v>
      </c>
      <c r="H662" t="s">
        <v>36</v>
      </c>
      <c r="I662">
        <v>3</v>
      </c>
      <c r="J662">
        <v>2</v>
      </c>
      <c r="K662" t="s">
        <v>38</v>
      </c>
      <c r="L662" t="s">
        <v>36</v>
      </c>
      <c r="M662" t="s">
        <v>36</v>
      </c>
      <c r="N662">
        <v>2</v>
      </c>
      <c r="O662" t="s">
        <v>39</v>
      </c>
      <c r="P662">
        <v>98</v>
      </c>
      <c r="Q662" t="s">
        <v>37</v>
      </c>
      <c r="R662" t="s">
        <v>37</v>
      </c>
      <c r="S662" t="s">
        <v>36</v>
      </c>
      <c r="T662" t="s">
        <v>40</v>
      </c>
      <c r="U662">
        <v>1</v>
      </c>
      <c r="V662" t="s">
        <v>40</v>
      </c>
      <c r="W662" t="s">
        <v>42</v>
      </c>
      <c r="X662" t="s">
        <v>36</v>
      </c>
      <c r="Y662" t="s">
        <v>47</v>
      </c>
      <c r="Z662" t="s">
        <v>37</v>
      </c>
      <c r="AA662">
        <v>0</v>
      </c>
      <c r="AB662" t="s">
        <v>37</v>
      </c>
      <c r="AC662">
        <v>0</v>
      </c>
      <c r="AD662">
        <v>0</v>
      </c>
      <c r="AE662">
        <v>30000</v>
      </c>
      <c r="AF662" t="str">
        <f>IF(Table1[[#This Row],[What is your current CGPA?]]&gt;=3.5,"High",IF(Table1[[#This Row],[What is your current CGPA?]]&gt;=2.5,"Medium","Low"))</f>
        <v>Low</v>
      </c>
      <c r="AG662" t="str">
        <f>IF(AND(Table1[[#This Row],[Average attendance on class]]&lt;75,Table1[[#This Row],[How many hour do you study daily?]]&lt;1),"At Risk","Normal")</f>
        <v>Normal</v>
      </c>
      <c r="AH662">
        <f>(Table1[[#This Row],[Average attendance on class]]*0.4)+(Table1[[#This Row],[How many hour do you study daily?]]*10*0.3)+(Table1[[#This Row],[How many hour do you spent daily on your skill development?]]*10*0.3)</f>
        <v>51.2</v>
      </c>
    </row>
    <row r="663" spans="1:34" x14ac:dyDescent="0.25">
      <c r="A663">
        <v>2020</v>
      </c>
      <c r="B663" t="s">
        <v>48</v>
      </c>
      <c r="C663">
        <v>21</v>
      </c>
      <c r="D663">
        <v>2019</v>
      </c>
      <c r="E663" t="s">
        <v>35</v>
      </c>
      <c r="F663">
        <v>8</v>
      </c>
      <c r="G663" t="s">
        <v>36</v>
      </c>
      <c r="H663" t="s">
        <v>36</v>
      </c>
      <c r="I663">
        <v>2</v>
      </c>
      <c r="J663">
        <v>2</v>
      </c>
      <c r="K663" t="s">
        <v>38</v>
      </c>
      <c r="L663" t="s">
        <v>36</v>
      </c>
      <c r="M663" t="s">
        <v>36</v>
      </c>
      <c r="N663">
        <v>1</v>
      </c>
      <c r="O663" t="s">
        <v>39</v>
      </c>
      <c r="P663">
        <v>80</v>
      </c>
      <c r="Q663" t="s">
        <v>37</v>
      </c>
      <c r="R663" t="s">
        <v>37</v>
      </c>
      <c r="S663" t="s">
        <v>36</v>
      </c>
      <c r="T663" t="s">
        <v>52</v>
      </c>
      <c r="U663">
        <v>3</v>
      </c>
      <c r="V663" t="s">
        <v>52</v>
      </c>
      <c r="W663" t="s">
        <v>42</v>
      </c>
      <c r="X663" t="s">
        <v>36</v>
      </c>
      <c r="Y663" t="s">
        <v>47</v>
      </c>
      <c r="Z663" t="s">
        <v>36</v>
      </c>
      <c r="AA663">
        <v>3.4</v>
      </c>
      <c r="AB663" t="s">
        <v>37</v>
      </c>
      <c r="AC663">
        <v>3.5</v>
      </c>
      <c r="AD663">
        <v>87</v>
      </c>
      <c r="AE663">
        <v>40000</v>
      </c>
      <c r="AF663" t="str">
        <f>IF(Table1[[#This Row],[What is your current CGPA?]]&gt;=3.5,"High",IF(Table1[[#This Row],[What is your current CGPA?]]&gt;=2.5,"Medium","Low"))</f>
        <v>High</v>
      </c>
      <c r="AG663" t="str">
        <f>IF(AND(Table1[[#This Row],[Average attendance on class]]&lt;75,Table1[[#This Row],[How many hour do you study daily?]]&lt;1),"At Risk","Normal")</f>
        <v>Normal</v>
      </c>
      <c r="AH663">
        <f>(Table1[[#This Row],[Average attendance on class]]*0.4)+(Table1[[#This Row],[How many hour do you study daily?]]*10*0.3)+(Table1[[#This Row],[How many hour do you spent daily on your skill development?]]*10*0.3)</f>
        <v>47</v>
      </c>
    </row>
    <row r="664" spans="1:34" x14ac:dyDescent="0.25">
      <c r="A664">
        <v>2021</v>
      </c>
      <c r="B664" t="s">
        <v>34</v>
      </c>
      <c r="C664">
        <v>20</v>
      </c>
      <c r="D664">
        <v>2020</v>
      </c>
      <c r="E664" t="s">
        <v>35</v>
      </c>
      <c r="F664">
        <v>4</v>
      </c>
      <c r="G664" t="s">
        <v>37</v>
      </c>
      <c r="H664" t="s">
        <v>36</v>
      </c>
      <c r="I664">
        <v>1</v>
      </c>
      <c r="J664">
        <v>1</v>
      </c>
      <c r="K664" t="s">
        <v>38</v>
      </c>
      <c r="L664" t="s">
        <v>36</v>
      </c>
      <c r="M664" t="s">
        <v>36</v>
      </c>
      <c r="N664">
        <v>1</v>
      </c>
      <c r="O664" t="s">
        <v>45</v>
      </c>
      <c r="P664">
        <v>100</v>
      </c>
      <c r="Q664" t="s">
        <v>37</v>
      </c>
      <c r="R664" t="s">
        <v>37</v>
      </c>
      <c r="S664" t="s">
        <v>36</v>
      </c>
      <c r="T664" t="s">
        <v>106</v>
      </c>
      <c r="U664">
        <v>1</v>
      </c>
      <c r="V664" t="s">
        <v>40</v>
      </c>
      <c r="W664" t="s">
        <v>42</v>
      </c>
      <c r="X664" t="s">
        <v>36</v>
      </c>
      <c r="Y664" t="s">
        <v>47</v>
      </c>
      <c r="Z664" t="s">
        <v>37</v>
      </c>
      <c r="AA664">
        <v>2.59</v>
      </c>
      <c r="AB664" t="s">
        <v>37</v>
      </c>
      <c r="AC664">
        <v>3.01</v>
      </c>
      <c r="AD664">
        <v>24</v>
      </c>
      <c r="AE664">
        <v>40000</v>
      </c>
      <c r="AF664" t="str">
        <f>IF(Table1[[#This Row],[What is your current CGPA?]]&gt;=3.5,"High",IF(Table1[[#This Row],[What is your current CGPA?]]&gt;=2.5,"Medium","Low"))</f>
        <v>Medium</v>
      </c>
      <c r="AG664" t="str">
        <f>IF(AND(Table1[[#This Row],[Average attendance on class]]&lt;75,Table1[[#This Row],[How many hour do you study daily?]]&lt;1),"At Risk","Normal")</f>
        <v>Normal</v>
      </c>
      <c r="AH664">
        <f>(Table1[[#This Row],[Average attendance on class]]*0.4)+(Table1[[#This Row],[How many hour do you study daily?]]*10*0.3)+(Table1[[#This Row],[How many hour do you spent daily on your skill development?]]*10*0.3)</f>
        <v>46</v>
      </c>
    </row>
    <row r="665" spans="1:34" x14ac:dyDescent="0.25">
      <c r="A665">
        <v>2020</v>
      </c>
      <c r="B665" t="s">
        <v>48</v>
      </c>
      <c r="C665">
        <v>21</v>
      </c>
      <c r="D665">
        <v>2019</v>
      </c>
      <c r="E665" t="s">
        <v>35</v>
      </c>
      <c r="F665">
        <v>8</v>
      </c>
      <c r="G665" t="s">
        <v>36</v>
      </c>
      <c r="H665" t="s">
        <v>37</v>
      </c>
      <c r="I665">
        <v>2</v>
      </c>
      <c r="J665">
        <v>1</v>
      </c>
      <c r="K665" t="s">
        <v>38</v>
      </c>
      <c r="L665" t="s">
        <v>36</v>
      </c>
      <c r="M665" t="s">
        <v>36</v>
      </c>
      <c r="N665">
        <v>3</v>
      </c>
      <c r="O665" t="s">
        <v>39</v>
      </c>
      <c r="P665">
        <v>97</v>
      </c>
      <c r="Q665" t="s">
        <v>37</v>
      </c>
      <c r="R665" t="s">
        <v>37</v>
      </c>
      <c r="S665" t="s">
        <v>36</v>
      </c>
      <c r="T665" t="s">
        <v>40</v>
      </c>
      <c r="U665">
        <v>1</v>
      </c>
      <c r="V665" t="s">
        <v>40</v>
      </c>
      <c r="W665" t="s">
        <v>42</v>
      </c>
      <c r="X665" t="s">
        <v>36</v>
      </c>
      <c r="Y665" t="s">
        <v>47</v>
      </c>
      <c r="Z665" t="s">
        <v>37</v>
      </c>
      <c r="AA665">
        <v>3.78</v>
      </c>
      <c r="AB665" t="s">
        <v>37</v>
      </c>
      <c r="AC665">
        <v>3.77</v>
      </c>
      <c r="AD665">
        <v>87</v>
      </c>
      <c r="AE665">
        <v>15000</v>
      </c>
      <c r="AF665" t="str">
        <f>IF(Table1[[#This Row],[What is your current CGPA?]]&gt;=3.5,"High",IF(Table1[[#This Row],[What is your current CGPA?]]&gt;=2.5,"Medium","Low"))</f>
        <v>High</v>
      </c>
      <c r="AG665" t="str">
        <f>IF(AND(Table1[[#This Row],[Average attendance on class]]&lt;75,Table1[[#This Row],[How many hour do you study daily?]]&lt;1),"At Risk","Normal")</f>
        <v>Normal</v>
      </c>
      <c r="AH665">
        <f>(Table1[[#This Row],[Average attendance on class]]*0.4)+(Table1[[#This Row],[How many hour do you study daily?]]*10*0.3)+(Table1[[#This Row],[How many hour do you spent daily on your skill development?]]*10*0.3)</f>
        <v>47.800000000000004</v>
      </c>
    </row>
    <row r="666" spans="1:34" x14ac:dyDescent="0.25">
      <c r="A666">
        <v>2022</v>
      </c>
      <c r="B666" t="s">
        <v>34</v>
      </c>
      <c r="C666">
        <v>20</v>
      </c>
      <c r="D666">
        <v>2020</v>
      </c>
      <c r="E666" t="s">
        <v>35</v>
      </c>
      <c r="F666">
        <v>2</v>
      </c>
      <c r="G666" t="s">
        <v>36</v>
      </c>
      <c r="H666" t="s">
        <v>36</v>
      </c>
      <c r="I666">
        <v>2</v>
      </c>
      <c r="J666">
        <v>1</v>
      </c>
      <c r="K666" t="s">
        <v>44</v>
      </c>
      <c r="L666" t="s">
        <v>36</v>
      </c>
      <c r="M666" t="s">
        <v>36</v>
      </c>
      <c r="N666">
        <v>10</v>
      </c>
      <c r="O666" t="s">
        <v>45</v>
      </c>
      <c r="P666">
        <v>95</v>
      </c>
      <c r="Q666" t="s">
        <v>37</v>
      </c>
      <c r="R666" t="s">
        <v>37</v>
      </c>
      <c r="S666" t="s">
        <v>37</v>
      </c>
      <c r="T666" t="s">
        <v>40</v>
      </c>
      <c r="U666">
        <v>2</v>
      </c>
      <c r="V666" t="s">
        <v>40</v>
      </c>
      <c r="W666" t="s">
        <v>42</v>
      </c>
      <c r="X666" t="s">
        <v>37</v>
      </c>
      <c r="Y666" t="s">
        <v>47</v>
      </c>
      <c r="Z666" t="s">
        <v>37</v>
      </c>
      <c r="AA666">
        <v>1.75</v>
      </c>
      <c r="AB666" t="s">
        <v>37</v>
      </c>
      <c r="AC666">
        <v>1.75</v>
      </c>
      <c r="AD666">
        <v>11</v>
      </c>
      <c r="AE666">
        <v>30000</v>
      </c>
      <c r="AF666" t="str">
        <f>IF(Table1[[#This Row],[What is your current CGPA?]]&gt;=3.5,"High",IF(Table1[[#This Row],[What is your current CGPA?]]&gt;=2.5,"Medium","Low"))</f>
        <v>Low</v>
      </c>
      <c r="AG666" t="str">
        <f>IF(AND(Table1[[#This Row],[Average attendance on class]]&lt;75,Table1[[#This Row],[How many hour do you study daily?]]&lt;1),"At Risk","Normal")</f>
        <v>Normal</v>
      </c>
      <c r="AH666">
        <f>(Table1[[#This Row],[Average attendance on class]]*0.4)+(Table1[[#This Row],[How many hour do you study daily?]]*10*0.3)+(Table1[[#This Row],[How many hour do you spent daily on your skill development?]]*10*0.3)</f>
        <v>50</v>
      </c>
    </row>
    <row r="667" spans="1:34" x14ac:dyDescent="0.25">
      <c r="A667">
        <v>2020</v>
      </c>
      <c r="B667" t="s">
        <v>34</v>
      </c>
      <c r="C667">
        <v>22</v>
      </c>
      <c r="D667">
        <v>2019</v>
      </c>
      <c r="E667" t="s">
        <v>35</v>
      </c>
      <c r="F667">
        <v>7</v>
      </c>
      <c r="G667" t="s">
        <v>37</v>
      </c>
      <c r="H667" t="s">
        <v>37</v>
      </c>
      <c r="I667">
        <v>0</v>
      </c>
      <c r="J667">
        <v>0</v>
      </c>
      <c r="K667" t="s">
        <v>38</v>
      </c>
      <c r="L667" t="s">
        <v>36</v>
      </c>
      <c r="M667" t="s">
        <v>36</v>
      </c>
      <c r="N667">
        <v>2</v>
      </c>
      <c r="O667" t="s">
        <v>39</v>
      </c>
      <c r="P667">
        <v>98</v>
      </c>
      <c r="Q667" t="s">
        <v>37</v>
      </c>
      <c r="R667" t="s">
        <v>37</v>
      </c>
      <c r="S667" t="s">
        <v>37</v>
      </c>
      <c r="T667" t="s">
        <v>40</v>
      </c>
      <c r="U667">
        <v>0</v>
      </c>
      <c r="V667" t="s">
        <v>59</v>
      </c>
      <c r="W667" t="s">
        <v>42</v>
      </c>
      <c r="X667" t="s">
        <v>36</v>
      </c>
      <c r="Y667" t="s">
        <v>43</v>
      </c>
      <c r="Z667" t="s">
        <v>36</v>
      </c>
      <c r="AA667">
        <v>3.4</v>
      </c>
      <c r="AB667" t="s">
        <v>37</v>
      </c>
      <c r="AC667">
        <v>3.65</v>
      </c>
      <c r="AD667">
        <v>75</v>
      </c>
      <c r="AE667">
        <v>50000</v>
      </c>
      <c r="AF667" t="str">
        <f>IF(Table1[[#This Row],[What is your current CGPA?]]&gt;=3.5,"High",IF(Table1[[#This Row],[What is your current CGPA?]]&gt;=2.5,"Medium","Low"))</f>
        <v>High</v>
      </c>
      <c r="AG667" t="str">
        <f>IF(AND(Table1[[#This Row],[Average attendance on class]]&lt;75,Table1[[#This Row],[How many hour do you study daily?]]&lt;1),"At Risk","Normal")</f>
        <v>Normal</v>
      </c>
      <c r="AH667">
        <f>(Table1[[#This Row],[Average attendance on class]]*0.4)+(Table1[[#This Row],[How many hour do you study daily?]]*10*0.3)+(Table1[[#This Row],[How many hour do you spent daily on your skill development?]]*10*0.3)</f>
        <v>39.200000000000003</v>
      </c>
    </row>
    <row r="668" spans="1:34" x14ac:dyDescent="0.25">
      <c r="A668">
        <v>2021</v>
      </c>
      <c r="B668" t="s">
        <v>48</v>
      </c>
      <c r="C668">
        <v>21</v>
      </c>
      <c r="D668">
        <v>2021</v>
      </c>
      <c r="E668" t="s">
        <v>35</v>
      </c>
      <c r="F668">
        <v>3</v>
      </c>
      <c r="G668" t="s">
        <v>36</v>
      </c>
      <c r="H668" t="s">
        <v>37</v>
      </c>
      <c r="I668">
        <v>7</v>
      </c>
      <c r="J668">
        <v>2</v>
      </c>
      <c r="K668" t="s">
        <v>38</v>
      </c>
      <c r="L668" t="s">
        <v>36</v>
      </c>
      <c r="M668" t="s">
        <v>36</v>
      </c>
      <c r="N668">
        <v>3</v>
      </c>
      <c r="O668" t="s">
        <v>45</v>
      </c>
      <c r="P668">
        <v>99</v>
      </c>
      <c r="Q668" t="s">
        <v>36</v>
      </c>
      <c r="R668" t="s">
        <v>36</v>
      </c>
      <c r="S668" t="s">
        <v>36</v>
      </c>
      <c r="T668" t="s">
        <v>40</v>
      </c>
      <c r="U668">
        <v>1</v>
      </c>
      <c r="V668" t="s">
        <v>59</v>
      </c>
      <c r="W668" t="s">
        <v>42</v>
      </c>
      <c r="X668" t="s">
        <v>37</v>
      </c>
      <c r="Y668" t="s">
        <v>43</v>
      </c>
      <c r="Z668" t="s">
        <v>37</v>
      </c>
      <c r="AA668">
        <v>1.52</v>
      </c>
      <c r="AB668" t="s">
        <v>37</v>
      </c>
      <c r="AC668">
        <v>1.64</v>
      </c>
      <c r="AD668">
        <v>8</v>
      </c>
      <c r="AE668">
        <v>60000</v>
      </c>
      <c r="AF668" t="str">
        <f>IF(Table1[[#This Row],[What is your current CGPA?]]&gt;=3.5,"High",IF(Table1[[#This Row],[What is your current CGPA?]]&gt;=2.5,"Medium","Low"))</f>
        <v>Low</v>
      </c>
      <c r="AG668" t="str">
        <f>IF(AND(Table1[[#This Row],[Average attendance on class]]&lt;75,Table1[[#This Row],[How many hour do you study daily?]]&lt;1),"At Risk","Normal")</f>
        <v>Normal</v>
      </c>
      <c r="AH668">
        <f>(Table1[[#This Row],[Average attendance on class]]*0.4)+(Table1[[#This Row],[How many hour do you study daily?]]*10*0.3)+(Table1[[#This Row],[How many hour do you spent daily on your skill development?]]*10*0.3)</f>
        <v>63.6</v>
      </c>
    </row>
    <row r="669" spans="1:34" x14ac:dyDescent="0.25">
      <c r="A669">
        <v>2019</v>
      </c>
      <c r="B669" t="s">
        <v>48</v>
      </c>
      <c r="C669">
        <v>22</v>
      </c>
      <c r="D669">
        <v>2018</v>
      </c>
      <c r="E669" t="s">
        <v>35</v>
      </c>
      <c r="F669">
        <v>11</v>
      </c>
      <c r="G669" t="s">
        <v>37</v>
      </c>
      <c r="H669" t="s">
        <v>36</v>
      </c>
      <c r="I669">
        <v>2</v>
      </c>
      <c r="J669">
        <v>1</v>
      </c>
      <c r="K669" t="s">
        <v>38</v>
      </c>
      <c r="L669" t="s">
        <v>36</v>
      </c>
      <c r="M669" t="s">
        <v>36</v>
      </c>
      <c r="N669">
        <v>4</v>
      </c>
      <c r="O669" t="s">
        <v>53</v>
      </c>
      <c r="P669">
        <v>90</v>
      </c>
      <c r="Q669" t="s">
        <v>37</v>
      </c>
      <c r="R669" t="s">
        <v>37</v>
      </c>
      <c r="S669" t="s">
        <v>36</v>
      </c>
      <c r="T669" t="s">
        <v>40</v>
      </c>
      <c r="U669">
        <v>3</v>
      </c>
      <c r="V669" t="s">
        <v>51</v>
      </c>
      <c r="W669" t="s">
        <v>42</v>
      </c>
      <c r="X669" t="s">
        <v>36</v>
      </c>
      <c r="Y669" t="s">
        <v>47</v>
      </c>
      <c r="Z669" t="s">
        <v>36</v>
      </c>
      <c r="AA669">
        <v>3.66</v>
      </c>
      <c r="AB669" t="s">
        <v>37</v>
      </c>
      <c r="AC669">
        <v>3.37</v>
      </c>
      <c r="AD669">
        <v>123</v>
      </c>
      <c r="AE669">
        <v>60000</v>
      </c>
      <c r="AF669" t="str">
        <f>IF(Table1[[#This Row],[What is your current CGPA?]]&gt;=3.5,"High",IF(Table1[[#This Row],[What is your current CGPA?]]&gt;=2.5,"Medium","Low"))</f>
        <v>Medium</v>
      </c>
      <c r="AG669" t="str">
        <f>IF(AND(Table1[[#This Row],[Average attendance on class]]&lt;75,Table1[[#This Row],[How many hour do you study daily?]]&lt;1),"At Risk","Normal")</f>
        <v>Normal</v>
      </c>
      <c r="AH669">
        <f>(Table1[[#This Row],[Average attendance on class]]*0.4)+(Table1[[#This Row],[How many hour do you study daily?]]*10*0.3)+(Table1[[#This Row],[How many hour do you spent daily on your skill development?]]*10*0.3)</f>
        <v>51</v>
      </c>
    </row>
    <row r="670" spans="1:34" x14ac:dyDescent="0.25">
      <c r="A670">
        <v>2020</v>
      </c>
      <c r="B670" t="s">
        <v>34</v>
      </c>
      <c r="C670">
        <v>20</v>
      </c>
      <c r="D670">
        <v>2019</v>
      </c>
      <c r="E670" t="s">
        <v>35</v>
      </c>
      <c r="F670">
        <v>8</v>
      </c>
      <c r="G670" t="s">
        <v>37</v>
      </c>
      <c r="H670" t="s">
        <v>37</v>
      </c>
      <c r="I670">
        <v>1</v>
      </c>
      <c r="J670">
        <v>3</v>
      </c>
      <c r="K670" t="s">
        <v>38</v>
      </c>
      <c r="L670" t="s">
        <v>36</v>
      </c>
      <c r="M670" t="s">
        <v>36</v>
      </c>
      <c r="N670">
        <v>2</v>
      </c>
      <c r="O670" t="s">
        <v>39</v>
      </c>
      <c r="P670">
        <v>90</v>
      </c>
      <c r="Q670" t="s">
        <v>36</v>
      </c>
      <c r="R670" t="s">
        <v>37</v>
      </c>
      <c r="S670" t="s">
        <v>37</v>
      </c>
      <c r="T670" t="s">
        <v>40</v>
      </c>
      <c r="U670">
        <v>3</v>
      </c>
      <c r="V670" t="s">
        <v>40</v>
      </c>
      <c r="W670" t="s">
        <v>42</v>
      </c>
      <c r="X670" t="s">
        <v>36</v>
      </c>
      <c r="Y670" t="s">
        <v>43</v>
      </c>
      <c r="Z670" t="s">
        <v>37</v>
      </c>
      <c r="AA670">
        <v>3.5</v>
      </c>
      <c r="AB670" t="s">
        <v>37</v>
      </c>
      <c r="AC670">
        <v>3.12</v>
      </c>
      <c r="AD670">
        <v>90</v>
      </c>
      <c r="AE670">
        <v>25000</v>
      </c>
      <c r="AF670" t="str">
        <f>IF(Table1[[#This Row],[What is your current CGPA?]]&gt;=3.5,"High",IF(Table1[[#This Row],[What is your current CGPA?]]&gt;=2.5,"Medium","Low"))</f>
        <v>Medium</v>
      </c>
      <c r="AG670" t="str">
        <f>IF(AND(Table1[[#This Row],[Average attendance on class]]&lt;75,Table1[[#This Row],[How many hour do you study daily?]]&lt;1),"At Risk","Normal")</f>
        <v>Normal</v>
      </c>
      <c r="AH670">
        <f>(Table1[[#This Row],[Average attendance on class]]*0.4)+(Table1[[#This Row],[How many hour do you study daily?]]*10*0.3)+(Table1[[#This Row],[How many hour do you spent daily on your skill development?]]*10*0.3)</f>
        <v>48</v>
      </c>
    </row>
    <row r="671" spans="1:34" x14ac:dyDescent="0.25">
      <c r="A671">
        <v>2019</v>
      </c>
      <c r="B671" t="s">
        <v>48</v>
      </c>
      <c r="C671">
        <v>23</v>
      </c>
      <c r="D671">
        <v>2017</v>
      </c>
      <c r="E671" t="s">
        <v>35</v>
      </c>
      <c r="F671">
        <v>11</v>
      </c>
      <c r="G671" t="s">
        <v>37</v>
      </c>
      <c r="H671" t="s">
        <v>36</v>
      </c>
      <c r="I671">
        <v>2</v>
      </c>
      <c r="J671">
        <v>1</v>
      </c>
      <c r="K671" t="s">
        <v>38</v>
      </c>
      <c r="L671" t="s">
        <v>36</v>
      </c>
      <c r="M671" t="s">
        <v>36</v>
      </c>
      <c r="N671">
        <v>4</v>
      </c>
      <c r="O671" t="s">
        <v>39</v>
      </c>
      <c r="P671">
        <v>70</v>
      </c>
      <c r="Q671" t="s">
        <v>37</v>
      </c>
      <c r="R671" t="s">
        <v>37</v>
      </c>
      <c r="S671" t="s">
        <v>36</v>
      </c>
      <c r="T671" t="s">
        <v>40</v>
      </c>
      <c r="U671">
        <v>2</v>
      </c>
      <c r="V671" t="s">
        <v>40</v>
      </c>
      <c r="W671" t="s">
        <v>42</v>
      </c>
      <c r="X671" t="s">
        <v>36</v>
      </c>
      <c r="Y671" t="s">
        <v>47</v>
      </c>
      <c r="Z671" t="s">
        <v>37</v>
      </c>
      <c r="AA671">
        <v>3.59</v>
      </c>
      <c r="AB671" t="s">
        <v>37</v>
      </c>
      <c r="AC671">
        <v>3.55</v>
      </c>
      <c r="AD671">
        <v>123</v>
      </c>
      <c r="AE671">
        <v>50000</v>
      </c>
      <c r="AF671" t="str">
        <f>IF(Table1[[#This Row],[What is your current CGPA?]]&gt;=3.5,"High",IF(Table1[[#This Row],[What is your current CGPA?]]&gt;=2.5,"Medium","Low"))</f>
        <v>High</v>
      </c>
      <c r="AG671" t="str">
        <f>IF(AND(Table1[[#This Row],[Average attendance on class]]&lt;75,Table1[[#This Row],[How many hour do you study daily?]]&lt;1),"At Risk","Normal")</f>
        <v>Normal</v>
      </c>
      <c r="AH671">
        <f>(Table1[[#This Row],[Average attendance on class]]*0.4)+(Table1[[#This Row],[How many hour do you study daily?]]*10*0.3)+(Table1[[#This Row],[How many hour do you spent daily on your skill development?]]*10*0.3)</f>
        <v>40</v>
      </c>
    </row>
    <row r="672" spans="1:34" x14ac:dyDescent="0.25">
      <c r="A672">
        <v>2021</v>
      </c>
      <c r="B672" t="s">
        <v>34</v>
      </c>
      <c r="C672">
        <v>20</v>
      </c>
      <c r="D672">
        <v>2019</v>
      </c>
      <c r="E672" t="s">
        <v>35</v>
      </c>
      <c r="F672">
        <v>3</v>
      </c>
      <c r="G672" t="s">
        <v>36</v>
      </c>
      <c r="H672" t="s">
        <v>37</v>
      </c>
      <c r="I672">
        <v>4</v>
      </c>
      <c r="J672">
        <v>2</v>
      </c>
      <c r="K672" t="s">
        <v>38</v>
      </c>
      <c r="L672" t="s">
        <v>36</v>
      </c>
      <c r="M672" t="s">
        <v>36</v>
      </c>
      <c r="N672">
        <v>3</v>
      </c>
      <c r="O672" t="s">
        <v>45</v>
      </c>
      <c r="P672">
        <v>100</v>
      </c>
      <c r="Q672" t="s">
        <v>37</v>
      </c>
      <c r="R672" t="s">
        <v>37</v>
      </c>
      <c r="S672" t="s">
        <v>36</v>
      </c>
      <c r="T672" t="s">
        <v>40</v>
      </c>
      <c r="U672">
        <v>3</v>
      </c>
      <c r="V672" t="s">
        <v>40</v>
      </c>
      <c r="W672" t="s">
        <v>42</v>
      </c>
      <c r="X672" t="s">
        <v>37</v>
      </c>
      <c r="Y672" t="s">
        <v>43</v>
      </c>
      <c r="Z672" t="s">
        <v>37</v>
      </c>
      <c r="AA672">
        <v>3.03</v>
      </c>
      <c r="AB672" t="s">
        <v>37</v>
      </c>
      <c r="AC672">
        <v>3.03</v>
      </c>
      <c r="AD672">
        <v>23</v>
      </c>
      <c r="AE672">
        <v>7000</v>
      </c>
      <c r="AF672" t="str">
        <f>IF(Table1[[#This Row],[What is your current CGPA?]]&gt;=3.5,"High",IF(Table1[[#This Row],[What is your current CGPA?]]&gt;=2.5,"Medium","Low"))</f>
        <v>Medium</v>
      </c>
      <c r="AG672" t="str">
        <f>IF(AND(Table1[[#This Row],[Average attendance on class]]&lt;75,Table1[[#This Row],[How many hour do you study daily?]]&lt;1),"At Risk","Normal")</f>
        <v>Normal</v>
      </c>
      <c r="AH672">
        <f>(Table1[[#This Row],[Average attendance on class]]*0.4)+(Table1[[#This Row],[How many hour do you study daily?]]*10*0.3)+(Table1[[#This Row],[How many hour do you spent daily on your skill development?]]*10*0.3)</f>
        <v>61</v>
      </c>
    </row>
    <row r="673" spans="1:34" x14ac:dyDescent="0.25">
      <c r="A673">
        <v>2020</v>
      </c>
      <c r="B673" t="s">
        <v>34</v>
      </c>
      <c r="C673">
        <v>23</v>
      </c>
      <c r="D673">
        <v>2018</v>
      </c>
      <c r="E673" t="s">
        <v>35</v>
      </c>
      <c r="F673">
        <v>8</v>
      </c>
      <c r="G673" t="s">
        <v>36</v>
      </c>
      <c r="H673" t="s">
        <v>37</v>
      </c>
      <c r="I673">
        <v>2</v>
      </c>
      <c r="J673">
        <v>3</v>
      </c>
      <c r="K673" t="s">
        <v>38</v>
      </c>
      <c r="L673" t="s">
        <v>36</v>
      </c>
      <c r="M673" t="s">
        <v>36</v>
      </c>
      <c r="N673">
        <v>2</v>
      </c>
      <c r="O673" t="s">
        <v>45</v>
      </c>
      <c r="P673">
        <v>90</v>
      </c>
      <c r="Q673" t="s">
        <v>37</v>
      </c>
      <c r="R673" t="s">
        <v>37</v>
      </c>
      <c r="S673" t="s">
        <v>36</v>
      </c>
      <c r="T673" t="s">
        <v>40</v>
      </c>
      <c r="U673">
        <v>1</v>
      </c>
      <c r="V673" t="s">
        <v>40</v>
      </c>
      <c r="W673" t="s">
        <v>42</v>
      </c>
      <c r="X673" t="s">
        <v>37</v>
      </c>
      <c r="Y673" t="s">
        <v>43</v>
      </c>
      <c r="Z673" t="s">
        <v>36</v>
      </c>
      <c r="AA673">
        <v>3.94</v>
      </c>
      <c r="AB673" t="s">
        <v>37</v>
      </c>
      <c r="AC673">
        <v>3.9</v>
      </c>
      <c r="AD673">
        <v>91</v>
      </c>
      <c r="AE673">
        <v>20000</v>
      </c>
      <c r="AF673" t="str">
        <f>IF(Table1[[#This Row],[What is your current CGPA?]]&gt;=3.5,"High",IF(Table1[[#This Row],[What is your current CGPA?]]&gt;=2.5,"Medium","Low"))</f>
        <v>High</v>
      </c>
      <c r="AG673" t="str">
        <f>IF(AND(Table1[[#This Row],[Average attendance on class]]&lt;75,Table1[[#This Row],[How many hour do you study daily?]]&lt;1),"At Risk","Normal")</f>
        <v>Normal</v>
      </c>
      <c r="AH673">
        <f>(Table1[[#This Row],[Average attendance on class]]*0.4)+(Table1[[#This Row],[How many hour do you study daily?]]*10*0.3)+(Table1[[#This Row],[How many hour do you spent daily on your skill development?]]*10*0.3)</f>
        <v>45</v>
      </c>
    </row>
    <row r="674" spans="1:34" x14ac:dyDescent="0.25">
      <c r="A674">
        <v>2021</v>
      </c>
      <c r="B674" t="s">
        <v>34</v>
      </c>
      <c r="C674">
        <v>21</v>
      </c>
      <c r="D674">
        <v>2020</v>
      </c>
      <c r="E674" t="s">
        <v>35</v>
      </c>
      <c r="F674">
        <v>2</v>
      </c>
      <c r="G674" t="s">
        <v>36</v>
      </c>
      <c r="H674" t="s">
        <v>36</v>
      </c>
      <c r="I674">
        <v>3</v>
      </c>
      <c r="J674">
        <v>2</v>
      </c>
      <c r="K674" t="s">
        <v>38</v>
      </c>
      <c r="L674" t="s">
        <v>36</v>
      </c>
      <c r="M674" t="s">
        <v>36</v>
      </c>
      <c r="N674">
        <v>2</v>
      </c>
      <c r="O674" t="s">
        <v>39</v>
      </c>
      <c r="P674">
        <v>95</v>
      </c>
      <c r="Q674" t="s">
        <v>37</v>
      </c>
      <c r="R674" t="s">
        <v>37</v>
      </c>
      <c r="S674" t="s">
        <v>36</v>
      </c>
      <c r="T674" t="s">
        <v>40</v>
      </c>
      <c r="U674">
        <v>3</v>
      </c>
      <c r="V674" t="s">
        <v>59</v>
      </c>
      <c r="W674" t="s">
        <v>42</v>
      </c>
      <c r="X674" t="s">
        <v>36</v>
      </c>
      <c r="Y674" t="s">
        <v>47</v>
      </c>
      <c r="Z674" t="s">
        <v>37</v>
      </c>
      <c r="AA674">
        <v>4</v>
      </c>
      <c r="AB674" t="s">
        <v>37</v>
      </c>
      <c r="AC674">
        <v>4</v>
      </c>
      <c r="AD674">
        <v>12</v>
      </c>
      <c r="AE674">
        <v>40000</v>
      </c>
      <c r="AF674" t="str">
        <f>IF(Table1[[#This Row],[What is your current CGPA?]]&gt;=3.5,"High",IF(Table1[[#This Row],[What is your current CGPA?]]&gt;=2.5,"Medium","Low"))</f>
        <v>High</v>
      </c>
      <c r="AG674" t="str">
        <f>IF(AND(Table1[[#This Row],[Average attendance on class]]&lt;75,Table1[[#This Row],[How many hour do you study daily?]]&lt;1),"At Risk","Normal")</f>
        <v>Normal</v>
      </c>
      <c r="AH674">
        <f>(Table1[[#This Row],[Average attendance on class]]*0.4)+(Table1[[#This Row],[How many hour do you study daily?]]*10*0.3)+(Table1[[#This Row],[How many hour do you spent daily on your skill development?]]*10*0.3)</f>
        <v>56</v>
      </c>
    </row>
    <row r="675" spans="1:34" x14ac:dyDescent="0.25">
      <c r="A675">
        <v>2020</v>
      </c>
      <c r="B675" t="s">
        <v>48</v>
      </c>
      <c r="C675">
        <v>22</v>
      </c>
      <c r="D675">
        <v>2019</v>
      </c>
      <c r="E675" t="s">
        <v>35</v>
      </c>
      <c r="F675">
        <v>7</v>
      </c>
      <c r="G675" t="s">
        <v>37</v>
      </c>
      <c r="H675" t="s">
        <v>36</v>
      </c>
      <c r="I675">
        <v>3</v>
      </c>
      <c r="J675">
        <v>2</v>
      </c>
      <c r="K675" t="s">
        <v>38</v>
      </c>
      <c r="L675" t="s">
        <v>36</v>
      </c>
      <c r="M675" t="s">
        <v>36</v>
      </c>
      <c r="N675">
        <v>4</v>
      </c>
      <c r="O675" t="s">
        <v>39</v>
      </c>
      <c r="P675">
        <v>97</v>
      </c>
      <c r="Q675" t="s">
        <v>37</v>
      </c>
      <c r="R675" t="s">
        <v>37</v>
      </c>
      <c r="S675" t="s">
        <v>36</v>
      </c>
      <c r="T675" t="s">
        <v>40</v>
      </c>
      <c r="U675">
        <v>3</v>
      </c>
      <c r="V675" t="s">
        <v>59</v>
      </c>
      <c r="W675" t="s">
        <v>42</v>
      </c>
      <c r="X675" t="s">
        <v>37</v>
      </c>
      <c r="Y675" t="s">
        <v>47</v>
      </c>
      <c r="Z675" t="s">
        <v>37</v>
      </c>
      <c r="AA675">
        <v>3.49</v>
      </c>
      <c r="AB675" t="s">
        <v>37</v>
      </c>
      <c r="AC675">
        <v>3.44</v>
      </c>
      <c r="AD675">
        <v>80</v>
      </c>
      <c r="AE675">
        <v>45000</v>
      </c>
      <c r="AF675" t="str">
        <f>IF(Table1[[#This Row],[What is your current CGPA?]]&gt;=3.5,"High",IF(Table1[[#This Row],[What is your current CGPA?]]&gt;=2.5,"Medium","Low"))</f>
        <v>Medium</v>
      </c>
      <c r="AG675" t="str">
        <f>IF(AND(Table1[[#This Row],[Average attendance on class]]&lt;75,Table1[[#This Row],[How many hour do you study daily?]]&lt;1),"At Risk","Normal")</f>
        <v>Normal</v>
      </c>
      <c r="AH675">
        <f>(Table1[[#This Row],[Average attendance on class]]*0.4)+(Table1[[#This Row],[How many hour do you study daily?]]*10*0.3)+(Table1[[#This Row],[How many hour do you spent daily on your skill development?]]*10*0.3)</f>
        <v>56.800000000000004</v>
      </c>
    </row>
    <row r="676" spans="1:34" x14ac:dyDescent="0.25">
      <c r="A676">
        <v>2020</v>
      </c>
      <c r="B676" t="s">
        <v>48</v>
      </c>
      <c r="C676">
        <v>21</v>
      </c>
      <c r="D676">
        <v>2019</v>
      </c>
      <c r="E676" t="s">
        <v>35</v>
      </c>
      <c r="F676">
        <v>8</v>
      </c>
      <c r="G676" t="s">
        <v>36</v>
      </c>
      <c r="H676" t="s">
        <v>36</v>
      </c>
      <c r="I676">
        <v>1</v>
      </c>
      <c r="J676">
        <v>3</v>
      </c>
      <c r="K676" t="s">
        <v>44</v>
      </c>
      <c r="L676" t="s">
        <v>36</v>
      </c>
      <c r="M676" t="s">
        <v>36</v>
      </c>
      <c r="N676">
        <v>1</v>
      </c>
      <c r="O676" t="s">
        <v>39</v>
      </c>
      <c r="P676">
        <v>90</v>
      </c>
      <c r="Q676" t="s">
        <v>37</v>
      </c>
      <c r="R676" t="s">
        <v>37</v>
      </c>
      <c r="S676" t="s">
        <v>36</v>
      </c>
      <c r="T676" t="s">
        <v>61</v>
      </c>
      <c r="U676">
        <v>1</v>
      </c>
      <c r="V676" t="s">
        <v>62</v>
      </c>
      <c r="W676" t="s">
        <v>42</v>
      </c>
      <c r="X676" t="s">
        <v>36</v>
      </c>
      <c r="Y676" t="s">
        <v>47</v>
      </c>
      <c r="Z676" t="s">
        <v>36</v>
      </c>
      <c r="AA676">
        <v>3</v>
      </c>
      <c r="AB676" t="s">
        <v>37</v>
      </c>
      <c r="AC676">
        <v>3.1</v>
      </c>
      <c r="AD676">
        <v>87</v>
      </c>
      <c r="AE676">
        <v>30000</v>
      </c>
      <c r="AF676" t="str">
        <f>IF(Table1[[#This Row],[What is your current CGPA?]]&gt;=3.5,"High",IF(Table1[[#This Row],[What is your current CGPA?]]&gt;=2.5,"Medium","Low"))</f>
        <v>Medium</v>
      </c>
      <c r="AG676" t="str">
        <f>IF(AND(Table1[[#This Row],[Average attendance on class]]&lt;75,Table1[[#This Row],[How many hour do you study daily?]]&lt;1),"At Risk","Normal")</f>
        <v>Normal</v>
      </c>
      <c r="AH676">
        <f>(Table1[[#This Row],[Average attendance on class]]*0.4)+(Table1[[#This Row],[How many hour do you study daily?]]*10*0.3)+(Table1[[#This Row],[How many hour do you spent daily on your skill development?]]*10*0.3)</f>
        <v>42</v>
      </c>
    </row>
    <row r="677" spans="1:34" x14ac:dyDescent="0.25">
      <c r="A677">
        <v>2019</v>
      </c>
      <c r="B677" t="s">
        <v>34</v>
      </c>
      <c r="C677">
        <v>24</v>
      </c>
      <c r="D677">
        <v>2018</v>
      </c>
      <c r="E677" t="s">
        <v>35</v>
      </c>
      <c r="F677">
        <v>11</v>
      </c>
      <c r="G677" t="s">
        <v>37</v>
      </c>
      <c r="H677" t="s">
        <v>36</v>
      </c>
      <c r="I677">
        <v>3</v>
      </c>
      <c r="J677">
        <v>2</v>
      </c>
      <c r="K677" t="s">
        <v>44</v>
      </c>
      <c r="L677" t="s">
        <v>36</v>
      </c>
      <c r="M677" t="s">
        <v>36</v>
      </c>
      <c r="N677">
        <v>1</v>
      </c>
      <c r="O677" t="s">
        <v>39</v>
      </c>
      <c r="P677">
        <v>91</v>
      </c>
      <c r="Q677" t="s">
        <v>37</v>
      </c>
      <c r="R677" t="s">
        <v>37</v>
      </c>
      <c r="S677" t="s">
        <v>36</v>
      </c>
      <c r="T677" t="s">
        <v>40</v>
      </c>
      <c r="U677">
        <v>6</v>
      </c>
      <c r="V677" t="s">
        <v>59</v>
      </c>
      <c r="W677" t="s">
        <v>42</v>
      </c>
      <c r="X677" t="s">
        <v>36</v>
      </c>
      <c r="Y677" t="s">
        <v>47</v>
      </c>
      <c r="Z677" t="s">
        <v>37</v>
      </c>
      <c r="AA677">
        <v>3.45</v>
      </c>
      <c r="AB677" t="s">
        <v>37</v>
      </c>
      <c r="AC677">
        <v>3.34</v>
      </c>
      <c r="AD677">
        <v>117</v>
      </c>
      <c r="AE677">
        <v>19000</v>
      </c>
      <c r="AF677" t="str">
        <f>IF(Table1[[#This Row],[What is your current CGPA?]]&gt;=3.5,"High",IF(Table1[[#This Row],[What is your current CGPA?]]&gt;=2.5,"Medium","Low"))</f>
        <v>Medium</v>
      </c>
      <c r="AG677" t="str">
        <f>IF(AND(Table1[[#This Row],[Average attendance on class]]&lt;75,Table1[[#This Row],[How many hour do you study daily?]]&lt;1),"At Risk","Normal")</f>
        <v>Normal</v>
      </c>
      <c r="AH677">
        <f>(Table1[[#This Row],[Average attendance on class]]*0.4)+(Table1[[#This Row],[How many hour do you study daily?]]*10*0.3)+(Table1[[#This Row],[How many hour do you spent daily on your skill development?]]*10*0.3)</f>
        <v>63.4</v>
      </c>
    </row>
    <row r="678" spans="1:34" x14ac:dyDescent="0.25">
      <c r="A678">
        <v>2020</v>
      </c>
      <c r="B678" t="s">
        <v>34</v>
      </c>
      <c r="C678">
        <v>20</v>
      </c>
      <c r="D678">
        <v>2019</v>
      </c>
      <c r="E678" t="s">
        <v>35</v>
      </c>
      <c r="F678">
        <v>6</v>
      </c>
      <c r="G678" t="s">
        <v>37</v>
      </c>
      <c r="H678" t="s">
        <v>37</v>
      </c>
      <c r="I678">
        <v>2</v>
      </c>
      <c r="J678">
        <v>1</v>
      </c>
      <c r="K678" t="s">
        <v>38</v>
      </c>
      <c r="L678" t="s">
        <v>36</v>
      </c>
      <c r="M678" t="s">
        <v>36</v>
      </c>
      <c r="N678">
        <v>4</v>
      </c>
      <c r="O678" t="s">
        <v>39</v>
      </c>
      <c r="P678">
        <v>90</v>
      </c>
      <c r="Q678" t="s">
        <v>37</v>
      </c>
      <c r="R678" t="s">
        <v>37</v>
      </c>
      <c r="S678" t="s">
        <v>37</v>
      </c>
      <c r="T678" t="s">
        <v>40</v>
      </c>
      <c r="U678">
        <v>2</v>
      </c>
      <c r="V678" t="s">
        <v>51</v>
      </c>
      <c r="W678" t="s">
        <v>42</v>
      </c>
      <c r="X678" t="s">
        <v>37</v>
      </c>
      <c r="Y678" t="s">
        <v>47</v>
      </c>
      <c r="Z678" t="s">
        <v>36</v>
      </c>
      <c r="AA678">
        <v>3.58</v>
      </c>
      <c r="AB678" t="s">
        <v>37</v>
      </c>
      <c r="AC678">
        <v>3.5</v>
      </c>
      <c r="AD678">
        <v>72</v>
      </c>
      <c r="AE678">
        <v>50000</v>
      </c>
      <c r="AF678" t="str">
        <f>IF(Table1[[#This Row],[What is your current CGPA?]]&gt;=3.5,"High",IF(Table1[[#This Row],[What is your current CGPA?]]&gt;=2.5,"Medium","Low"))</f>
        <v>High</v>
      </c>
      <c r="AG678" t="str">
        <f>IF(AND(Table1[[#This Row],[Average attendance on class]]&lt;75,Table1[[#This Row],[How many hour do you study daily?]]&lt;1),"At Risk","Normal")</f>
        <v>Normal</v>
      </c>
      <c r="AH678">
        <f>(Table1[[#This Row],[Average attendance on class]]*0.4)+(Table1[[#This Row],[How many hour do you study daily?]]*10*0.3)+(Table1[[#This Row],[How many hour do you spent daily on your skill development?]]*10*0.3)</f>
        <v>48</v>
      </c>
    </row>
    <row r="679" spans="1:34" x14ac:dyDescent="0.25">
      <c r="A679">
        <v>2019</v>
      </c>
      <c r="B679" t="s">
        <v>48</v>
      </c>
      <c r="C679">
        <v>21</v>
      </c>
      <c r="D679">
        <v>2018</v>
      </c>
      <c r="E679" t="s">
        <v>35</v>
      </c>
      <c r="F679">
        <v>11</v>
      </c>
      <c r="G679" t="s">
        <v>37</v>
      </c>
      <c r="H679" t="s">
        <v>37</v>
      </c>
      <c r="I679">
        <v>4</v>
      </c>
      <c r="J679">
        <v>3</v>
      </c>
      <c r="K679" t="s">
        <v>44</v>
      </c>
      <c r="L679" t="s">
        <v>36</v>
      </c>
      <c r="M679" t="s">
        <v>36</v>
      </c>
      <c r="N679">
        <v>3</v>
      </c>
      <c r="O679" t="s">
        <v>53</v>
      </c>
      <c r="P679">
        <v>80</v>
      </c>
      <c r="Q679" t="s">
        <v>36</v>
      </c>
      <c r="R679" t="s">
        <v>36</v>
      </c>
      <c r="S679" t="s">
        <v>36</v>
      </c>
      <c r="T679" t="s">
        <v>40</v>
      </c>
      <c r="U679">
        <v>1</v>
      </c>
      <c r="V679" t="s">
        <v>51</v>
      </c>
      <c r="W679" t="s">
        <v>56</v>
      </c>
      <c r="X679" t="s">
        <v>37</v>
      </c>
      <c r="Y679" t="s">
        <v>47</v>
      </c>
      <c r="Z679" t="s">
        <v>37</v>
      </c>
      <c r="AA679">
        <v>2.96</v>
      </c>
      <c r="AB679" t="s">
        <v>37</v>
      </c>
      <c r="AC679">
        <v>2.61</v>
      </c>
      <c r="AD679">
        <v>96</v>
      </c>
      <c r="AE679">
        <v>100000</v>
      </c>
      <c r="AF679" t="str">
        <f>IF(Table1[[#This Row],[What is your current CGPA?]]&gt;=3.5,"High",IF(Table1[[#This Row],[What is your current CGPA?]]&gt;=2.5,"Medium","Low"))</f>
        <v>Medium</v>
      </c>
      <c r="AG679" t="str">
        <f>IF(AND(Table1[[#This Row],[Average attendance on class]]&lt;75,Table1[[#This Row],[How many hour do you study daily?]]&lt;1),"At Risk","Normal")</f>
        <v>Normal</v>
      </c>
      <c r="AH679">
        <f>(Table1[[#This Row],[Average attendance on class]]*0.4)+(Table1[[#This Row],[How many hour do you study daily?]]*10*0.3)+(Table1[[#This Row],[How many hour do you spent daily on your skill development?]]*10*0.3)</f>
        <v>47</v>
      </c>
    </row>
    <row r="680" spans="1:34" x14ac:dyDescent="0.25">
      <c r="A680">
        <v>2021</v>
      </c>
      <c r="B680" t="s">
        <v>48</v>
      </c>
      <c r="C680">
        <v>21</v>
      </c>
      <c r="D680">
        <v>2019</v>
      </c>
      <c r="E680" t="s">
        <v>35</v>
      </c>
      <c r="F680">
        <v>3</v>
      </c>
      <c r="G680" t="s">
        <v>36</v>
      </c>
      <c r="H680" t="s">
        <v>37</v>
      </c>
      <c r="I680">
        <v>2</v>
      </c>
      <c r="J680">
        <v>1</v>
      </c>
      <c r="K680" t="s">
        <v>38</v>
      </c>
      <c r="L680" t="s">
        <v>36</v>
      </c>
      <c r="M680" t="s">
        <v>36</v>
      </c>
      <c r="N680">
        <v>2</v>
      </c>
      <c r="O680" t="s">
        <v>39</v>
      </c>
      <c r="P680">
        <v>90</v>
      </c>
      <c r="Q680" t="s">
        <v>37</v>
      </c>
      <c r="R680" t="s">
        <v>37</v>
      </c>
      <c r="S680" t="s">
        <v>36</v>
      </c>
      <c r="T680" t="s">
        <v>40</v>
      </c>
      <c r="U680">
        <v>1</v>
      </c>
      <c r="V680" t="s">
        <v>40</v>
      </c>
      <c r="W680" t="s">
        <v>42</v>
      </c>
      <c r="X680" t="s">
        <v>36</v>
      </c>
      <c r="Y680" t="s">
        <v>43</v>
      </c>
      <c r="Z680" t="s">
        <v>37</v>
      </c>
      <c r="AA680">
        <v>3.38</v>
      </c>
      <c r="AB680" t="s">
        <v>37</v>
      </c>
      <c r="AC680">
        <v>3.53</v>
      </c>
      <c r="AD680">
        <v>24</v>
      </c>
      <c r="AE680">
        <v>40000</v>
      </c>
      <c r="AF680" t="str">
        <f>IF(Table1[[#This Row],[What is your current CGPA?]]&gt;=3.5,"High",IF(Table1[[#This Row],[What is your current CGPA?]]&gt;=2.5,"Medium","Low"))</f>
        <v>High</v>
      </c>
      <c r="AG680" t="str">
        <f>IF(AND(Table1[[#This Row],[Average attendance on class]]&lt;75,Table1[[#This Row],[How many hour do you study daily?]]&lt;1),"At Risk","Normal")</f>
        <v>Normal</v>
      </c>
      <c r="AH680">
        <f>(Table1[[#This Row],[Average attendance on class]]*0.4)+(Table1[[#This Row],[How many hour do you study daily?]]*10*0.3)+(Table1[[#This Row],[How many hour do you spent daily on your skill development?]]*10*0.3)</f>
        <v>45</v>
      </c>
    </row>
    <row r="681" spans="1:34" x14ac:dyDescent="0.25">
      <c r="A681">
        <v>2021</v>
      </c>
      <c r="B681" t="s">
        <v>48</v>
      </c>
      <c r="C681">
        <v>20</v>
      </c>
      <c r="D681">
        <v>2020</v>
      </c>
      <c r="E681" t="s">
        <v>35</v>
      </c>
      <c r="F681">
        <v>3</v>
      </c>
      <c r="G681" t="s">
        <v>36</v>
      </c>
      <c r="H681" t="s">
        <v>37</v>
      </c>
      <c r="I681">
        <v>2</v>
      </c>
      <c r="J681">
        <v>1</v>
      </c>
      <c r="K681" t="s">
        <v>38</v>
      </c>
      <c r="L681" t="s">
        <v>36</v>
      </c>
      <c r="M681" t="s">
        <v>36</v>
      </c>
      <c r="N681">
        <v>3</v>
      </c>
      <c r="O681" t="s">
        <v>39</v>
      </c>
      <c r="P681">
        <v>95</v>
      </c>
      <c r="Q681" t="s">
        <v>37</v>
      </c>
      <c r="R681" t="s">
        <v>37</v>
      </c>
      <c r="S681" t="s">
        <v>36</v>
      </c>
      <c r="T681" t="s">
        <v>40</v>
      </c>
      <c r="U681">
        <v>1</v>
      </c>
      <c r="V681" t="s">
        <v>40</v>
      </c>
      <c r="W681" t="s">
        <v>42</v>
      </c>
      <c r="X681" t="s">
        <v>36</v>
      </c>
      <c r="Y681" t="s">
        <v>43</v>
      </c>
      <c r="Z681" t="s">
        <v>37</v>
      </c>
      <c r="AA681">
        <v>3.12</v>
      </c>
      <c r="AB681" t="s">
        <v>37</v>
      </c>
      <c r="AC681">
        <v>3.07</v>
      </c>
      <c r="AD681">
        <v>24</v>
      </c>
      <c r="AE681">
        <v>50000</v>
      </c>
      <c r="AF681" t="str">
        <f>IF(Table1[[#This Row],[What is your current CGPA?]]&gt;=3.5,"High",IF(Table1[[#This Row],[What is your current CGPA?]]&gt;=2.5,"Medium","Low"))</f>
        <v>Medium</v>
      </c>
      <c r="AG681" t="str">
        <f>IF(AND(Table1[[#This Row],[Average attendance on class]]&lt;75,Table1[[#This Row],[How many hour do you study daily?]]&lt;1),"At Risk","Normal")</f>
        <v>Normal</v>
      </c>
      <c r="AH681">
        <f>(Table1[[#This Row],[Average attendance on class]]*0.4)+(Table1[[#This Row],[How many hour do you study daily?]]*10*0.3)+(Table1[[#This Row],[How many hour do you spent daily on your skill development?]]*10*0.3)</f>
        <v>47</v>
      </c>
    </row>
    <row r="682" spans="1:34" x14ac:dyDescent="0.25">
      <c r="A682">
        <v>2018</v>
      </c>
      <c r="B682" t="s">
        <v>34</v>
      </c>
      <c r="C682">
        <v>24</v>
      </c>
      <c r="D682">
        <v>2017</v>
      </c>
      <c r="E682" t="s">
        <v>35</v>
      </c>
      <c r="F682">
        <v>13</v>
      </c>
      <c r="G682" t="s">
        <v>37</v>
      </c>
      <c r="H682" t="s">
        <v>37</v>
      </c>
      <c r="I682">
        <v>3</v>
      </c>
      <c r="J682">
        <v>1</v>
      </c>
      <c r="K682" t="s">
        <v>44</v>
      </c>
      <c r="L682" t="s">
        <v>36</v>
      </c>
      <c r="M682" t="s">
        <v>36</v>
      </c>
      <c r="N682">
        <v>2</v>
      </c>
      <c r="O682" t="s">
        <v>45</v>
      </c>
      <c r="P682">
        <v>98</v>
      </c>
      <c r="Q682" t="s">
        <v>36</v>
      </c>
      <c r="R682" t="s">
        <v>37</v>
      </c>
      <c r="S682" t="s">
        <v>36</v>
      </c>
      <c r="T682" t="s">
        <v>40</v>
      </c>
      <c r="U682">
        <v>2</v>
      </c>
      <c r="V682" t="s">
        <v>62</v>
      </c>
      <c r="W682" t="s">
        <v>56</v>
      </c>
      <c r="X682" t="s">
        <v>37</v>
      </c>
      <c r="Y682" t="s">
        <v>43</v>
      </c>
      <c r="Z682" t="s">
        <v>37</v>
      </c>
      <c r="AA682">
        <v>2.86</v>
      </c>
      <c r="AB682" t="s">
        <v>37</v>
      </c>
      <c r="AC682">
        <v>2.88</v>
      </c>
      <c r="AD682">
        <v>133</v>
      </c>
      <c r="AE682">
        <v>30000</v>
      </c>
      <c r="AF682" t="str">
        <f>IF(Table1[[#This Row],[What is your current CGPA?]]&gt;=3.5,"High",IF(Table1[[#This Row],[What is your current CGPA?]]&gt;=2.5,"Medium","Low"))</f>
        <v>Medium</v>
      </c>
      <c r="AG682" t="str">
        <f>IF(AND(Table1[[#This Row],[Average attendance on class]]&lt;75,Table1[[#This Row],[How many hour do you study daily?]]&lt;1),"At Risk","Normal")</f>
        <v>Normal</v>
      </c>
      <c r="AH682">
        <f>(Table1[[#This Row],[Average attendance on class]]*0.4)+(Table1[[#This Row],[How many hour do you study daily?]]*10*0.3)+(Table1[[#This Row],[How many hour do you spent daily on your skill development?]]*10*0.3)</f>
        <v>54.2</v>
      </c>
    </row>
    <row r="683" spans="1:34" x14ac:dyDescent="0.25">
      <c r="A683">
        <v>2019</v>
      </c>
      <c r="B683" t="s">
        <v>48</v>
      </c>
      <c r="C683">
        <v>20</v>
      </c>
      <c r="D683">
        <v>2019</v>
      </c>
      <c r="E683" t="s">
        <v>35</v>
      </c>
      <c r="F683">
        <v>10</v>
      </c>
      <c r="G683" t="s">
        <v>37</v>
      </c>
      <c r="H683" t="s">
        <v>37</v>
      </c>
      <c r="I683">
        <v>4</v>
      </c>
      <c r="J683">
        <v>2</v>
      </c>
      <c r="K683" t="s">
        <v>38</v>
      </c>
      <c r="L683" t="s">
        <v>36</v>
      </c>
      <c r="M683" t="s">
        <v>36</v>
      </c>
      <c r="N683">
        <v>1</v>
      </c>
      <c r="O683" t="s">
        <v>45</v>
      </c>
      <c r="P683">
        <v>90</v>
      </c>
      <c r="Q683" t="s">
        <v>37</v>
      </c>
      <c r="R683" t="s">
        <v>37</v>
      </c>
      <c r="S683" t="s">
        <v>36</v>
      </c>
      <c r="T683" t="s">
        <v>40</v>
      </c>
      <c r="U683">
        <v>1</v>
      </c>
      <c r="V683" t="s">
        <v>41</v>
      </c>
      <c r="W683" t="s">
        <v>42</v>
      </c>
      <c r="X683" t="s">
        <v>37</v>
      </c>
      <c r="Y683" t="s">
        <v>47</v>
      </c>
      <c r="Z683" t="s">
        <v>37</v>
      </c>
      <c r="AA683">
        <v>3.1</v>
      </c>
      <c r="AB683" t="s">
        <v>37</v>
      </c>
      <c r="AC683">
        <v>3.27</v>
      </c>
      <c r="AD683">
        <v>88</v>
      </c>
      <c r="AE683">
        <v>45000</v>
      </c>
      <c r="AF683" t="str">
        <f>IF(Table1[[#This Row],[What is your current CGPA?]]&gt;=3.5,"High",IF(Table1[[#This Row],[What is your current CGPA?]]&gt;=2.5,"Medium","Low"))</f>
        <v>Medium</v>
      </c>
      <c r="AG683" t="str">
        <f>IF(AND(Table1[[#This Row],[Average attendance on class]]&lt;75,Table1[[#This Row],[How many hour do you study daily?]]&lt;1),"At Risk","Normal")</f>
        <v>Normal</v>
      </c>
      <c r="AH683">
        <f>(Table1[[#This Row],[Average attendance on class]]*0.4)+(Table1[[#This Row],[How many hour do you study daily?]]*10*0.3)+(Table1[[#This Row],[How many hour do you spent daily on your skill development?]]*10*0.3)</f>
        <v>51</v>
      </c>
    </row>
    <row r="684" spans="1:34" x14ac:dyDescent="0.25">
      <c r="A684">
        <v>2021</v>
      </c>
      <c r="B684" t="s">
        <v>34</v>
      </c>
      <c r="C684">
        <v>23</v>
      </c>
      <c r="D684">
        <v>2020</v>
      </c>
      <c r="E684" t="s">
        <v>35</v>
      </c>
      <c r="F684">
        <v>2</v>
      </c>
      <c r="G684" t="s">
        <v>36</v>
      </c>
      <c r="H684" t="s">
        <v>36</v>
      </c>
      <c r="I684">
        <v>1</v>
      </c>
      <c r="J684">
        <v>2</v>
      </c>
      <c r="K684" t="s">
        <v>38</v>
      </c>
      <c r="L684" t="s">
        <v>36</v>
      </c>
      <c r="M684" t="s">
        <v>36</v>
      </c>
      <c r="N684">
        <v>1</v>
      </c>
      <c r="O684" t="s">
        <v>39</v>
      </c>
      <c r="P684">
        <v>95</v>
      </c>
      <c r="Q684" t="s">
        <v>37</v>
      </c>
      <c r="R684" t="s">
        <v>37</v>
      </c>
      <c r="S684" t="s">
        <v>37</v>
      </c>
      <c r="T684" t="s">
        <v>40</v>
      </c>
      <c r="U684">
        <v>2</v>
      </c>
      <c r="V684" t="s">
        <v>40</v>
      </c>
      <c r="W684" t="s">
        <v>42</v>
      </c>
      <c r="X684" t="s">
        <v>37</v>
      </c>
      <c r="Y684" t="s">
        <v>47</v>
      </c>
      <c r="Z684" t="s">
        <v>37</v>
      </c>
      <c r="AA684">
        <v>3.92</v>
      </c>
      <c r="AB684" t="s">
        <v>37</v>
      </c>
      <c r="AC684">
        <v>3.92</v>
      </c>
      <c r="AD684">
        <v>11</v>
      </c>
      <c r="AE684">
        <v>20000</v>
      </c>
      <c r="AF684" t="str">
        <f>IF(Table1[[#This Row],[What is your current CGPA?]]&gt;=3.5,"High",IF(Table1[[#This Row],[What is your current CGPA?]]&gt;=2.5,"Medium","Low"))</f>
        <v>High</v>
      </c>
      <c r="AG684" t="str">
        <f>IF(AND(Table1[[#This Row],[Average attendance on class]]&lt;75,Table1[[#This Row],[How many hour do you study daily?]]&lt;1),"At Risk","Normal")</f>
        <v>Normal</v>
      </c>
      <c r="AH684">
        <f>(Table1[[#This Row],[Average attendance on class]]*0.4)+(Table1[[#This Row],[How many hour do you study daily?]]*10*0.3)+(Table1[[#This Row],[How many hour do you spent daily on your skill development?]]*10*0.3)</f>
        <v>47</v>
      </c>
    </row>
    <row r="685" spans="1:34" x14ac:dyDescent="0.25">
      <c r="A685">
        <v>2018</v>
      </c>
      <c r="B685" t="s">
        <v>34</v>
      </c>
      <c r="C685">
        <v>24</v>
      </c>
      <c r="D685">
        <v>2017</v>
      </c>
      <c r="E685" t="s">
        <v>35</v>
      </c>
      <c r="F685">
        <v>14</v>
      </c>
      <c r="G685" t="s">
        <v>37</v>
      </c>
      <c r="H685" t="s">
        <v>37</v>
      </c>
      <c r="I685">
        <v>3</v>
      </c>
      <c r="J685">
        <v>3</v>
      </c>
      <c r="K685" t="s">
        <v>38</v>
      </c>
      <c r="L685" t="s">
        <v>36</v>
      </c>
      <c r="M685" t="s">
        <v>36</v>
      </c>
      <c r="N685">
        <v>5</v>
      </c>
      <c r="O685" t="s">
        <v>53</v>
      </c>
      <c r="P685">
        <v>95</v>
      </c>
      <c r="Q685" t="s">
        <v>36</v>
      </c>
      <c r="R685" t="s">
        <v>37</v>
      </c>
      <c r="S685" t="s">
        <v>37</v>
      </c>
      <c r="T685" t="s">
        <v>40</v>
      </c>
      <c r="U685">
        <v>2</v>
      </c>
      <c r="V685" t="s">
        <v>40</v>
      </c>
      <c r="W685" t="s">
        <v>50</v>
      </c>
      <c r="X685" t="s">
        <v>37</v>
      </c>
      <c r="Y685" t="s">
        <v>47</v>
      </c>
      <c r="Z685" t="s">
        <v>37</v>
      </c>
      <c r="AA685">
        <v>2.76</v>
      </c>
      <c r="AB685" t="s">
        <v>37</v>
      </c>
      <c r="AC685">
        <v>2.64</v>
      </c>
      <c r="AD685">
        <v>136</v>
      </c>
      <c r="AE685">
        <v>25000</v>
      </c>
      <c r="AF685" t="str">
        <f>IF(Table1[[#This Row],[What is your current CGPA?]]&gt;=3.5,"High",IF(Table1[[#This Row],[What is your current CGPA?]]&gt;=2.5,"Medium","Low"))</f>
        <v>Medium</v>
      </c>
      <c r="AG685" t="str">
        <f>IF(AND(Table1[[#This Row],[Average attendance on class]]&lt;75,Table1[[#This Row],[How many hour do you study daily?]]&lt;1),"At Risk","Normal")</f>
        <v>Normal</v>
      </c>
      <c r="AH685">
        <f>(Table1[[#This Row],[Average attendance on class]]*0.4)+(Table1[[#This Row],[How many hour do you study daily?]]*10*0.3)+(Table1[[#This Row],[How many hour do you spent daily on your skill development?]]*10*0.3)</f>
        <v>53</v>
      </c>
    </row>
    <row r="686" spans="1:34" x14ac:dyDescent="0.25">
      <c r="A686">
        <v>2019</v>
      </c>
      <c r="B686" t="s">
        <v>48</v>
      </c>
      <c r="C686">
        <v>22</v>
      </c>
      <c r="D686">
        <v>2018</v>
      </c>
      <c r="E686" t="s">
        <v>35</v>
      </c>
      <c r="F686">
        <v>10</v>
      </c>
      <c r="G686" t="s">
        <v>36</v>
      </c>
      <c r="H686" t="s">
        <v>37</v>
      </c>
      <c r="I686">
        <v>2</v>
      </c>
      <c r="J686">
        <v>1</v>
      </c>
      <c r="K686" t="s">
        <v>38</v>
      </c>
      <c r="L686" t="s">
        <v>36</v>
      </c>
      <c r="M686" t="s">
        <v>36</v>
      </c>
      <c r="N686">
        <v>6</v>
      </c>
      <c r="O686" t="s">
        <v>39</v>
      </c>
      <c r="P686">
        <v>70</v>
      </c>
      <c r="Q686" t="s">
        <v>37</v>
      </c>
      <c r="R686" t="s">
        <v>37</v>
      </c>
      <c r="S686" t="s">
        <v>36</v>
      </c>
      <c r="T686" t="s">
        <v>107</v>
      </c>
      <c r="U686">
        <v>1</v>
      </c>
      <c r="V686" t="s">
        <v>52</v>
      </c>
      <c r="W686" t="s">
        <v>42</v>
      </c>
      <c r="X686" t="s">
        <v>36</v>
      </c>
      <c r="Y686" t="s">
        <v>43</v>
      </c>
      <c r="Z686" t="s">
        <v>36</v>
      </c>
      <c r="AA686">
        <v>3.52</v>
      </c>
      <c r="AB686" t="s">
        <v>37</v>
      </c>
      <c r="AC686">
        <v>3.78</v>
      </c>
      <c r="AD686">
        <v>112</v>
      </c>
      <c r="AE686">
        <v>62488</v>
      </c>
      <c r="AF686" t="str">
        <f>IF(Table1[[#This Row],[What is your current CGPA?]]&gt;=3.5,"High",IF(Table1[[#This Row],[What is your current CGPA?]]&gt;=2.5,"Medium","Low"))</f>
        <v>High</v>
      </c>
      <c r="AG686" t="str">
        <f>IF(AND(Table1[[#This Row],[Average attendance on class]]&lt;75,Table1[[#This Row],[How many hour do you study daily?]]&lt;1),"At Risk","Normal")</f>
        <v>Normal</v>
      </c>
      <c r="AH686">
        <f>(Table1[[#This Row],[Average attendance on class]]*0.4)+(Table1[[#This Row],[How many hour do you study daily?]]*10*0.3)+(Table1[[#This Row],[How many hour do you spent daily on your skill development?]]*10*0.3)</f>
        <v>37</v>
      </c>
    </row>
    <row r="687" spans="1:34" x14ac:dyDescent="0.25">
      <c r="A687">
        <v>2019</v>
      </c>
      <c r="B687" t="s">
        <v>34</v>
      </c>
      <c r="C687">
        <v>23</v>
      </c>
      <c r="D687">
        <v>2017</v>
      </c>
      <c r="E687" t="s">
        <v>35</v>
      </c>
      <c r="F687">
        <v>11</v>
      </c>
      <c r="G687" t="s">
        <v>36</v>
      </c>
      <c r="H687" t="s">
        <v>37</v>
      </c>
      <c r="I687">
        <v>3</v>
      </c>
      <c r="J687">
        <v>2</v>
      </c>
      <c r="K687" t="s">
        <v>38</v>
      </c>
      <c r="L687" t="s">
        <v>37</v>
      </c>
      <c r="M687" t="s">
        <v>36</v>
      </c>
      <c r="N687">
        <v>1</v>
      </c>
      <c r="O687" t="s">
        <v>39</v>
      </c>
      <c r="P687">
        <v>90</v>
      </c>
      <c r="Q687" t="s">
        <v>37</v>
      </c>
      <c r="R687" t="s">
        <v>37</v>
      </c>
      <c r="S687" t="s">
        <v>37</v>
      </c>
      <c r="T687" t="s">
        <v>40</v>
      </c>
      <c r="U687">
        <v>3</v>
      </c>
      <c r="V687" t="s">
        <v>40</v>
      </c>
      <c r="W687" t="s">
        <v>50</v>
      </c>
      <c r="X687" t="s">
        <v>36</v>
      </c>
      <c r="Y687" t="s">
        <v>43</v>
      </c>
      <c r="Z687" t="s">
        <v>37</v>
      </c>
      <c r="AA687">
        <v>4</v>
      </c>
      <c r="AB687" t="s">
        <v>37</v>
      </c>
      <c r="AC687">
        <v>3.9</v>
      </c>
      <c r="AD687">
        <v>123</v>
      </c>
      <c r="AE687">
        <v>25000</v>
      </c>
      <c r="AF687" t="str">
        <f>IF(Table1[[#This Row],[What is your current CGPA?]]&gt;=3.5,"High",IF(Table1[[#This Row],[What is your current CGPA?]]&gt;=2.5,"Medium","Low"))</f>
        <v>High</v>
      </c>
      <c r="AG687" t="str">
        <f>IF(AND(Table1[[#This Row],[Average attendance on class]]&lt;75,Table1[[#This Row],[How many hour do you study daily?]]&lt;1),"At Risk","Normal")</f>
        <v>Normal</v>
      </c>
      <c r="AH687">
        <f>(Table1[[#This Row],[Average attendance on class]]*0.4)+(Table1[[#This Row],[How many hour do you study daily?]]*10*0.3)+(Table1[[#This Row],[How many hour do you spent daily on your skill development?]]*10*0.3)</f>
        <v>54</v>
      </c>
    </row>
    <row r="688" spans="1:34" x14ac:dyDescent="0.25">
      <c r="A688">
        <v>2020</v>
      </c>
      <c r="B688" t="s">
        <v>34</v>
      </c>
      <c r="C688">
        <v>23</v>
      </c>
      <c r="D688">
        <v>2019</v>
      </c>
      <c r="E688" t="s">
        <v>35</v>
      </c>
      <c r="F688">
        <v>8</v>
      </c>
      <c r="G688" t="s">
        <v>36</v>
      </c>
      <c r="H688" t="s">
        <v>36</v>
      </c>
      <c r="I688">
        <v>3</v>
      </c>
      <c r="J688">
        <v>1</v>
      </c>
      <c r="K688" t="s">
        <v>38</v>
      </c>
      <c r="L688" t="s">
        <v>36</v>
      </c>
      <c r="M688" t="s">
        <v>36</v>
      </c>
      <c r="N688">
        <v>3</v>
      </c>
      <c r="O688" t="s">
        <v>53</v>
      </c>
      <c r="P688">
        <v>90</v>
      </c>
      <c r="Q688" t="s">
        <v>37</v>
      </c>
      <c r="R688" t="s">
        <v>37</v>
      </c>
      <c r="S688" t="s">
        <v>37</v>
      </c>
      <c r="T688" t="s">
        <v>40</v>
      </c>
      <c r="U688">
        <v>2</v>
      </c>
      <c r="V688" t="s">
        <v>52</v>
      </c>
      <c r="W688" t="s">
        <v>42</v>
      </c>
      <c r="X688" t="s">
        <v>37</v>
      </c>
      <c r="Y688" t="s">
        <v>47</v>
      </c>
      <c r="Z688" t="s">
        <v>37</v>
      </c>
      <c r="AA688">
        <v>3.84</v>
      </c>
      <c r="AB688" t="s">
        <v>37</v>
      </c>
      <c r="AC688">
        <v>3.78</v>
      </c>
      <c r="AD688">
        <v>90</v>
      </c>
      <c r="AE688">
        <v>62488</v>
      </c>
      <c r="AF688" t="str">
        <f>IF(Table1[[#This Row],[What is your current CGPA?]]&gt;=3.5,"High",IF(Table1[[#This Row],[What is your current CGPA?]]&gt;=2.5,"Medium","Low"))</f>
        <v>High</v>
      </c>
      <c r="AG688" t="str">
        <f>IF(AND(Table1[[#This Row],[Average attendance on class]]&lt;75,Table1[[#This Row],[How many hour do you study daily?]]&lt;1),"At Risk","Normal")</f>
        <v>Normal</v>
      </c>
      <c r="AH688">
        <f>(Table1[[#This Row],[Average attendance on class]]*0.4)+(Table1[[#This Row],[How many hour do you study daily?]]*10*0.3)+(Table1[[#This Row],[How many hour do you spent daily on your skill development?]]*10*0.3)</f>
        <v>51</v>
      </c>
    </row>
    <row r="689" spans="1:34" x14ac:dyDescent="0.25">
      <c r="A689">
        <v>2019</v>
      </c>
      <c r="B689" t="s">
        <v>48</v>
      </c>
      <c r="C689">
        <v>22</v>
      </c>
      <c r="D689">
        <v>2018</v>
      </c>
      <c r="E689" t="s">
        <v>35</v>
      </c>
      <c r="F689">
        <v>11</v>
      </c>
      <c r="G689" t="s">
        <v>37</v>
      </c>
      <c r="H689" t="s">
        <v>36</v>
      </c>
      <c r="I689">
        <v>1</v>
      </c>
      <c r="J689">
        <v>1</v>
      </c>
      <c r="K689" t="s">
        <v>38</v>
      </c>
      <c r="L689" t="s">
        <v>36</v>
      </c>
      <c r="M689" t="s">
        <v>36</v>
      </c>
      <c r="N689">
        <v>6</v>
      </c>
      <c r="O689" t="s">
        <v>39</v>
      </c>
      <c r="P689">
        <v>86</v>
      </c>
      <c r="Q689" t="s">
        <v>37</v>
      </c>
      <c r="R689" t="s">
        <v>37</v>
      </c>
      <c r="S689" t="s">
        <v>37</v>
      </c>
      <c r="T689" t="s">
        <v>40</v>
      </c>
      <c r="U689">
        <v>2</v>
      </c>
      <c r="V689" t="s">
        <v>40</v>
      </c>
      <c r="W689" t="s">
        <v>42</v>
      </c>
      <c r="X689" t="s">
        <v>37</v>
      </c>
      <c r="Y689" t="s">
        <v>47</v>
      </c>
      <c r="Z689" t="s">
        <v>37</v>
      </c>
      <c r="AA689">
        <v>3.44</v>
      </c>
      <c r="AB689" t="s">
        <v>37</v>
      </c>
      <c r="AC689">
        <v>3.46</v>
      </c>
      <c r="AD689">
        <v>125</v>
      </c>
      <c r="AE689">
        <v>300000</v>
      </c>
      <c r="AF689" t="str">
        <f>IF(Table1[[#This Row],[What is your current CGPA?]]&gt;=3.5,"High",IF(Table1[[#This Row],[What is your current CGPA?]]&gt;=2.5,"Medium","Low"))</f>
        <v>Medium</v>
      </c>
      <c r="AG689" t="str">
        <f>IF(AND(Table1[[#This Row],[Average attendance on class]]&lt;75,Table1[[#This Row],[How many hour do you study daily?]]&lt;1),"At Risk","Normal")</f>
        <v>Normal</v>
      </c>
      <c r="AH689">
        <f>(Table1[[#This Row],[Average attendance on class]]*0.4)+(Table1[[#This Row],[How many hour do you study daily?]]*10*0.3)+(Table1[[#This Row],[How many hour do you spent daily on your skill development?]]*10*0.3)</f>
        <v>43.4</v>
      </c>
    </row>
    <row r="690" spans="1:34" x14ac:dyDescent="0.25">
      <c r="A690">
        <v>2019</v>
      </c>
      <c r="B690" t="s">
        <v>34</v>
      </c>
      <c r="C690">
        <v>21</v>
      </c>
      <c r="D690">
        <v>2018</v>
      </c>
      <c r="E690" t="s">
        <v>35</v>
      </c>
      <c r="F690">
        <v>10</v>
      </c>
      <c r="G690" t="s">
        <v>37</v>
      </c>
      <c r="H690" t="s">
        <v>36</v>
      </c>
      <c r="I690">
        <v>3</v>
      </c>
      <c r="J690">
        <v>3</v>
      </c>
      <c r="K690" t="s">
        <v>44</v>
      </c>
      <c r="L690" t="s">
        <v>36</v>
      </c>
      <c r="M690" t="s">
        <v>36</v>
      </c>
      <c r="N690">
        <v>2</v>
      </c>
      <c r="O690" t="s">
        <v>45</v>
      </c>
      <c r="P690">
        <v>99</v>
      </c>
      <c r="Q690" t="s">
        <v>37</v>
      </c>
      <c r="R690" t="s">
        <v>37</v>
      </c>
      <c r="S690" t="s">
        <v>36</v>
      </c>
      <c r="T690" t="s">
        <v>40</v>
      </c>
      <c r="U690">
        <v>1</v>
      </c>
      <c r="V690" t="s">
        <v>40</v>
      </c>
      <c r="W690" t="s">
        <v>42</v>
      </c>
      <c r="X690" t="s">
        <v>37</v>
      </c>
      <c r="Y690" t="s">
        <v>43</v>
      </c>
      <c r="Z690" t="s">
        <v>37</v>
      </c>
      <c r="AA690">
        <v>3.11</v>
      </c>
      <c r="AB690" t="s">
        <v>37</v>
      </c>
      <c r="AC690">
        <v>3</v>
      </c>
      <c r="AD690">
        <v>105</v>
      </c>
      <c r="AE690">
        <v>62488</v>
      </c>
      <c r="AF690" t="str">
        <f>IF(Table1[[#This Row],[What is your current CGPA?]]&gt;=3.5,"High",IF(Table1[[#This Row],[What is your current CGPA?]]&gt;=2.5,"Medium","Low"))</f>
        <v>Medium</v>
      </c>
      <c r="AG690" t="str">
        <f>IF(AND(Table1[[#This Row],[Average attendance on class]]&lt;75,Table1[[#This Row],[How many hour do you study daily?]]&lt;1),"At Risk","Normal")</f>
        <v>Normal</v>
      </c>
      <c r="AH690">
        <f>(Table1[[#This Row],[Average attendance on class]]*0.4)+(Table1[[#This Row],[How many hour do you study daily?]]*10*0.3)+(Table1[[#This Row],[How many hour do you spent daily on your skill development?]]*10*0.3)</f>
        <v>51.6</v>
      </c>
    </row>
    <row r="691" spans="1:34" x14ac:dyDescent="0.25">
      <c r="A691">
        <v>2022</v>
      </c>
      <c r="B691" t="s">
        <v>34</v>
      </c>
      <c r="C691">
        <v>21</v>
      </c>
      <c r="D691">
        <v>2020</v>
      </c>
      <c r="E691" t="s">
        <v>35</v>
      </c>
      <c r="F691">
        <v>2</v>
      </c>
      <c r="G691" t="s">
        <v>36</v>
      </c>
      <c r="H691" t="s">
        <v>36</v>
      </c>
      <c r="I691">
        <v>4</v>
      </c>
      <c r="J691">
        <v>1</v>
      </c>
      <c r="K691" t="s">
        <v>38</v>
      </c>
      <c r="L691" t="s">
        <v>36</v>
      </c>
      <c r="M691" t="s">
        <v>36</v>
      </c>
      <c r="N691">
        <v>2</v>
      </c>
      <c r="O691" t="s">
        <v>45</v>
      </c>
      <c r="P691">
        <v>100</v>
      </c>
      <c r="Q691" t="s">
        <v>37</v>
      </c>
      <c r="R691" t="s">
        <v>37</v>
      </c>
      <c r="S691" t="s">
        <v>36</v>
      </c>
      <c r="T691" t="s">
        <v>40</v>
      </c>
      <c r="U691">
        <v>1</v>
      </c>
      <c r="V691" t="s">
        <v>40</v>
      </c>
      <c r="W691" t="s">
        <v>42</v>
      </c>
      <c r="X691" t="s">
        <v>36</v>
      </c>
      <c r="Y691" t="s">
        <v>43</v>
      </c>
      <c r="Z691" t="s">
        <v>37</v>
      </c>
      <c r="AA691">
        <v>2.98</v>
      </c>
      <c r="AB691" t="s">
        <v>37</v>
      </c>
      <c r="AC691">
        <v>2.98</v>
      </c>
      <c r="AD691">
        <v>11</v>
      </c>
      <c r="AE691">
        <v>30000</v>
      </c>
      <c r="AF691" t="str">
        <f>IF(Table1[[#This Row],[What is your current CGPA?]]&gt;=3.5,"High",IF(Table1[[#This Row],[What is your current CGPA?]]&gt;=2.5,"Medium","Low"))</f>
        <v>Medium</v>
      </c>
      <c r="AG691" t="str">
        <f>IF(AND(Table1[[#This Row],[Average attendance on class]]&lt;75,Table1[[#This Row],[How many hour do you study daily?]]&lt;1),"At Risk","Normal")</f>
        <v>Normal</v>
      </c>
      <c r="AH691">
        <f>(Table1[[#This Row],[Average attendance on class]]*0.4)+(Table1[[#This Row],[How many hour do you study daily?]]*10*0.3)+(Table1[[#This Row],[How many hour do you spent daily on your skill development?]]*10*0.3)</f>
        <v>55</v>
      </c>
    </row>
    <row r="692" spans="1:34" x14ac:dyDescent="0.25">
      <c r="A692">
        <v>2022</v>
      </c>
      <c r="B692" t="s">
        <v>34</v>
      </c>
      <c r="C692">
        <v>20</v>
      </c>
      <c r="D692">
        <v>2020</v>
      </c>
      <c r="E692" t="s">
        <v>35</v>
      </c>
      <c r="F692">
        <v>2</v>
      </c>
      <c r="G692" t="s">
        <v>36</v>
      </c>
      <c r="H692" t="s">
        <v>37</v>
      </c>
      <c r="I692">
        <v>3</v>
      </c>
      <c r="J692">
        <v>2</v>
      </c>
      <c r="K692" t="s">
        <v>38</v>
      </c>
      <c r="L692" t="s">
        <v>36</v>
      </c>
      <c r="M692" t="s">
        <v>36</v>
      </c>
      <c r="N692">
        <v>6</v>
      </c>
      <c r="O692" t="s">
        <v>45</v>
      </c>
      <c r="P692">
        <v>100</v>
      </c>
      <c r="Q692" t="s">
        <v>37</v>
      </c>
      <c r="R692" t="s">
        <v>37</v>
      </c>
      <c r="S692" t="s">
        <v>37</v>
      </c>
      <c r="T692" t="s">
        <v>40</v>
      </c>
      <c r="U692">
        <v>3</v>
      </c>
      <c r="V692" t="s">
        <v>40</v>
      </c>
      <c r="W692" t="s">
        <v>42</v>
      </c>
      <c r="X692" t="s">
        <v>37</v>
      </c>
      <c r="Y692" t="s">
        <v>43</v>
      </c>
      <c r="Z692" t="s">
        <v>37</v>
      </c>
      <c r="AA692">
        <v>3.43</v>
      </c>
      <c r="AB692" t="s">
        <v>37</v>
      </c>
      <c r="AC692">
        <v>3.43</v>
      </c>
      <c r="AD692">
        <v>12</v>
      </c>
      <c r="AE692">
        <v>25000</v>
      </c>
      <c r="AF692" t="str">
        <f>IF(Table1[[#This Row],[What is your current CGPA?]]&gt;=3.5,"High",IF(Table1[[#This Row],[What is your current CGPA?]]&gt;=2.5,"Medium","Low"))</f>
        <v>Medium</v>
      </c>
      <c r="AG692" t="str">
        <f>IF(AND(Table1[[#This Row],[Average attendance on class]]&lt;75,Table1[[#This Row],[How many hour do you study daily?]]&lt;1),"At Risk","Normal")</f>
        <v>Normal</v>
      </c>
      <c r="AH692">
        <f>(Table1[[#This Row],[Average attendance on class]]*0.4)+(Table1[[#This Row],[How many hour do you study daily?]]*10*0.3)+(Table1[[#This Row],[How many hour do you spent daily on your skill development?]]*10*0.3)</f>
        <v>58</v>
      </c>
    </row>
    <row r="693" spans="1:34" x14ac:dyDescent="0.25">
      <c r="A693">
        <v>2022</v>
      </c>
      <c r="B693" t="s">
        <v>34</v>
      </c>
      <c r="C693">
        <v>21</v>
      </c>
      <c r="D693">
        <v>2020</v>
      </c>
      <c r="E693" t="s">
        <v>35</v>
      </c>
      <c r="F693">
        <v>2</v>
      </c>
      <c r="G693" t="s">
        <v>36</v>
      </c>
      <c r="H693" t="s">
        <v>37</v>
      </c>
      <c r="I693">
        <v>9</v>
      </c>
      <c r="J693">
        <v>3</v>
      </c>
      <c r="K693" t="s">
        <v>38</v>
      </c>
      <c r="L693" t="s">
        <v>36</v>
      </c>
      <c r="M693" t="s">
        <v>36</v>
      </c>
      <c r="N693">
        <v>3</v>
      </c>
      <c r="O693" t="s">
        <v>53</v>
      </c>
      <c r="P693">
        <v>90</v>
      </c>
      <c r="Q693" t="s">
        <v>37</v>
      </c>
      <c r="R693" t="s">
        <v>37</v>
      </c>
      <c r="S693" t="s">
        <v>36</v>
      </c>
      <c r="T693" t="s">
        <v>40</v>
      </c>
      <c r="U693">
        <v>2</v>
      </c>
      <c r="V693" t="s">
        <v>40</v>
      </c>
      <c r="W693" t="s">
        <v>42</v>
      </c>
      <c r="X693" t="s">
        <v>36</v>
      </c>
      <c r="Y693" t="s">
        <v>43</v>
      </c>
      <c r="Z693" t="s">
        <v>37</v>
      </c>
      <c r="AA693">
        <v>3.98</v>
      </c>
      <c r="AB693" t="s">
        <v>37</v>
      </c>
      <c r="AC693">
        <v>3.98</v>
      </c>
      <c r="AD693">
        <v>28</v>
      </c>
      <c r="AE693">
        <v>40000</v>
      </c>
      <c r="AF693" t="str">
        <f>IF(Table1[[#This Row],[What is your current CGPA?]]&gt;=3.5,"High",IF(Table1[[#This Row],[What is your current CGPA?]]&gt;=2.5,"Medium","Low"))</f>
        <v>High</v>
      </c>
      <c r="AG693" t="str">
        <f>IF(AND(Table1[[#This Row],[Average attendance on class]]&lt;75,Table1[[#This Row],[How many hour do you study daily?]]&lt;1),"At Risk","Normal")</f>
        <v>Normal</v>
      </c>
      <c r="AH693">
        <f>(Table1[[#This Row],[Average attendance on class]]*0.4)+(Table1[[#This Row],[How many hour do you study daily?]]*10*0.3)+(Table1[[#This Row],[How many hour do you spent daily on your skill development?]]*10*0.3)</f>
        <v>69</v>
      </c>
    </row>
    <row r="694" spans="1:34" x14ac:dyDescent="0.25">
      <c r="A694">
        <v>2013</v>
      </c>
      <c r="B694" t="s">
        <v>48</v>
      </c>
      <c r="C694">
        <v>26</v>
      </c>
      <c r="D694">
        <v>2012</v>
      </c>
      <c r="E694" t="s">
        <v>35</v>
      </c>
      <c r="F694">
        <v>9</v>
      </c>
      <c r="G694" t="s">
        <v>37</v>
      </c>
      <c r="H694" t="s">
        <v>36</v>
      </c>
      <c r="I694">
        <v>2</v>
      </c>
      <c r="J694">
        <v>2</v>
      </c>
      <c r="K694" t="s">
        <v>38</v>
      </c>
      <c r="L694" t="s">
        <v>36</v>
      </c>
      <c r="M694" t="s">
        <v>36</v>
      </c>
      <c r="N694">
        <v>2</v>
      </c>
      <c r="O694" t="s">
        <v>45</v>
      </c>
      <c r="P694">
        <v>90</v>
      </c>
      <c r="Q694" t="s">
        <v>36</v>
      </c>
      <c r="R694" t="s">
        <v>37</v>
      </c>
      <c r="S694" t="s">
        <v>36</v>
      </c>
      <c r="T694" t="s">
        <v>51</v>
      </c>
      <c r="U694">
        <v>3</v>
      </c>
      <c r="V694" t="s">
        <v>51</v>
      </c>
      <c r="W694" t="s">
        <v>56</v>
      </c>
      <c r="X694" t="s">
        <v>36</v>
      </c>
      <c r="Y694" t="s">
        <v>47</v>
      </c>
      <c r="Z694" t="s">
        <v>37</v>
      </c>
      <c r="AA694">
        <v>3.08</v>
      </c>
      <c r="AB694" t="s">
        <v>37</v>
      </c>
      <c r="AC694">
        <v>3.15</v>
      </c>
      <c r="AD694">
        <v>89</v>
      </c>
      <c r="AE694">
        <v>50000</v>
      </c>
      <c r="AF694" t="str">
        <f>IF(Table1[[#This Row],[What is your current CGPA?]]&gt;=3.5,"High",IF(Table1[[#This Row],[What is your current CGPA?]]&gt;=2.5,"Medium","Low"))</f>
        <v>Medium</v>
      </c>
      <c r="AG694" t="str">
        <f>IF(AND(Table1[[#This Row],[Average attendance on class]]&lt;75,Table1[[#This Row],[How many hour do you study daily?]]&lt;1),"At Risk","Normal")</f>
        <v>Normal</v>
      </c>
      <c r="AH694">
        <f>(Table1[[#This Row],[Average attendance on class]]*0.4)+(Table1[[#This Row],[How many hour do you study daily?]]*10*0.3)+(Table1[[#This Row],[How many hour do you spent daily on your skill development?]]*10*0.3)</f>
        <v>51</v>
      </c>
    </row>
    <row r="695" spans="1:34" x14ac:dyDescent="0.25">
      <c r="A695">
        <v>2019</v>
      </c>
      <c r="B695" t="s">
        <v>48</v>
      </c>
      <c r="C695">
        <v>22</v>
      </c>
      <c r="D695">
        <v>2017</v>
      </c>
      <c r="E695" t="s">
        <v>35</v>
      </c>
      <c r="F695">
        <v>11</v>
      </c>
      <c r="G695" t="s">
        <v>37</v>
      </c>
      <c r="H695" t="s">
        <v>37</v>
      </c>
      <c r="I695">
        <v>2</v>
      </c>
      <c r="J695">
        <v>2</v>
      </c>
      <c r="K695" t="s">
        <v>44</v>
      </c>
      <c r="L695" t="s">
        <v>36</v>
      </c>
      <c r="M695" t="s">
        <v>36</v>
      </c>
      <c r="N695">
        <v>2</v>
      </c>
      <c r="O695" t="s">
        <v>39</v>
      </c>
      <c r="P695">
        <v>100</v>
      </c>
      <c r="Q695" t="s">
        <v>37</v>
      </c>
      <c r="R695" t="s">
        <v>37</v>
      </c>
      <c r="S695" t="s">
        <v>36</v>
      </c>
      <c r="T695" t="s">
        <v>40</v>
      </c>
      <c r="U695">
        <v>5</v>
      </c>
      <c r="V695" t="s">
        <v>52</v>
      </c>
      <c r="W695" t="s">
        <v>42</v>
      </c>
      <c r="X695" t="s">
        <v>36</v>
      </c>
      <c r="Y695" t="s">
        <v>47</v>
      </c>
      <c r="Z695" t="s">
        <v>36</v>
      </c>
      <c r="AA695">
        <v>3.1</v>
      </c>
      <c r="AB695" t="s">
        <v>37</v>
      </c>
      <c r="AC695">
        <v>3.16</v>
      </c>
      <c r="AD695">
        <v>122</v>
      </c>
      <c r="AE695">
        <v>20000</v>
      </c>
      <c r="AF695" t="str">
        <f>IF(Table1[[#This Row],[What is your current CGPA?]]&gt;=3.5,"High",IF(Table1[[#This Row],[What is your current CGPA?]]&gt;=2.5,"Medium","Low"))</f>
        <v>Medium</v>
      </c>
      <c r="AG695" t="str">
        <f>IF(AND(Table1[[#This Row],[Average attendance on class]]&lt;75,Table1[[#This Row],[How many hour do you study daily?]]&lt;1),"At Risk","Normal")</f>
        <v>Normal</v>
      </c>
      <c r="AH695">
        <f>(Table1[[#This Row],[Average attendance on class]]*0.4)+(Table1[[#This Row],[How many hour do you study daily?]]*10*0.3)+(Table1[[#This Row],[How many hour do you spent daily on your skill development?]]*10*0.3)</f>
        <v>61</v>
      </c>
    </row>
    <row r="696" spans="1:34" x14ac:dyDescent="0.25">
      <c r="A696">
        <v>2021</v>
      </c>
      <c r="B696" t="s">
        <v>34</v>
      </c>
      <c r="C696">
        <v>19</v>
      </c>
      <c r="D696">
        <v>2020</v>
      </c>
      <c r="E696" t="s">
        <v>35</v>
      </c>
      <c r="F696">
        <v>4</v>
      </c>
      <c r="G696" t="s">
        <v>37</v>
      </c>
      <c r="H696" t="s">
        <v>36</v>
      </c>
      <c r="I696">
        <v>3</v>
      </c>
      <c r="J696">
        <v>2</v>
      </c>
      <c r="K696" t="s">
        <v>38</v>
      </c>
      <c r="L696" t="s">
        <v>36</v>
      </c>
      <c r="M696" t="s">
        <v>36</v>
      </c>
      <c r="N696">
        <v>1</v>
      </c>
      <c r="O696" t="s">
        <v>45</v>
      </c>
      <c r="P696">
        <v>95</v>
      </c>
      <c r="Q696" t="s">
        <v>36</v>
      </c>
      <c r="R696" t="s">
        <v>37</v>
      </c>
      <c r="S696" t="s">
        <v>37</v>
      </c>
      <c r="T696" t="s">
        <v>108</v>
      </c>
      <c r="U696">
        <v>1</v>
      </c>
      <c r="V696" t="s">
        <v>40</v>
      </c>
      <c r="W696" t="s">
        <v>42</v>
      </c>
      <c r="X696" t="s">
        <v>37</v>
      </c>
      <c r="Y696" t="s">
        <v>47</v>
      </c>
      <c r="Z696" t="s">
        <v>37</v>
      </c>
      <c r="AA696">
        <v>2.37</v>
      </c>
      <c r="AB696" t="s">
        <v>37</v>
      </c>
      <c r="AC696">
        <v>2.46</v>
      </c>
      <c r="AD696">
        <v>31</v>
      </c>
      <c r="AE696">
        <v>50000</v>
      </c>
      <c r="AF696" t="str">
        <f>IF(Table1[[#This Row],[What is your current CGPA?]]&gt;=3.5,"High",IF(Table1[[#This Row],[What is your current CGPA?]]&gt;=2.5,"Medium","Low"))</f>
        <v>Low</v>
      </c>
      <c r="AG696" t="str">
        <f>IF(AND(Table1[[#This Row],[Average attendance on class]]&lt;75,Table1[[#This Row],[How many hour do you study daily?]]&lt;1),"At Risk","Normal")</f>
        <v>Normal</v>
      </c>
      <c r="AH696">
        <f>(Table1[[#This Row],[Average attendance on class]]*0.4)+(Table1[[#This Row],[How many hour do you study daily?]]*10*0.3)+(Table1[[#This Row],[How many hour do you spent daily on your skill development?]]*10*0.3)</f>
        <v>50</v>
      </c>
    </row>
    <row r="697" spans="1:34" x14ac:dyDescent="0.25">
      <c r="A697">
        <v>2022</v>
      </c>
      <c r="B697" t="s">
        <v>34</v>
      </c>
      <c r="C697">
        <v>20</v>
      </c>
      <c r="D697">
        <v>2018</v>
      </c>
      <c r="E697" t="s">
        <v>35</v>
      </c>
      <c r="F697">
        <v>1</v>
      </c>
      <c r="G697" t="s">
        <v>36</v>
      </c>
      <c r="H697" t="s">
        <v>37</v>
      </c>
      <c r="I697">
        <v>4</v>
      </c>
      <c r="J697">
        <v>2</v>
      </c>
      <c r="K697" t="s">
        <v>38</v>
      </c>
      <c r="L697" t="s">
        <v>36</v>
      </c>
      <c r="M697" t="s">
        <v>36</v>
      </c>
      <c r="N697">
        <v>2</v>
      </c>
      <c r="O697" t="s">
        <v>39</v>
      </c>
      <c r="P697">
        <v>85</v>
      </c>
      <c r="Q697" t="s">
        <v>37</v>
      </c>
      <c r="R697" t="s">
        <v>37</v>
      </c>
      <c r="S697" t="s">
        <v>37</v>
      </c>
      <c r="T697" t="s">
        <v>40</v>
      </c>
      <c r="U697">
        <v>2</v>
      </c>
      <c r="V697" t="s">
        <v>40</v>
      </c>
      <c r="W697" t="s">
        <v>42</v>
      </c>
      <c r="X697" t="s">
        <v>36</v>
      </c>
      <c r="Y697" t="s">
        <v>43</v>
      </c>
      <c r="Z697" t="s">
        <v>37</v>
      </c>
      <c r="AA697">
        <v>0</v>
      </c>
      <c r="AB697" t="s">
        <v>37</v>
      </c>
      <c r="AC697">
        <v>0</v>
      </c>
      <c r="AD697">
        <v>0</v>
      </c>
      <c r="AE697">
        <v>30000</v>
      </c>
      <c r="AF697" t="str">
        <f>IF(Table1[[#This Row],[What is your current CGPA?]]&gt;=3.5,"High",IF(Table1[[#This Row],[What is your current CGPA?]]&gt;=2.5,"Medium","Low"))</f>
        <v>Low</v>
      </c>
      <c r="AG697" t="str">
        <f>IF(AND(Table1[[#This Row],[Average attendance on class]]&lt;75,Table1[[#This Row],[How many hour do you study daily?]]&lt;1),"At Risk","Normal")</f>
        <v>Normal</v>
      </c>
      <c r="AH697">
        <f>(Table1[[#This Row],[Average attendance on class]]*0.4)+(Table1[[#This Row],[How many hour do you study daily?]]*10*0.3)+(Table1[[#This Row],[How many hour do you spent daily on your skill development?]]*10*0.3)</f>
        <v>52</v>
      </c>
    </row>
    <row r="698" spans="1:34" x14ac:dyDescent="0.25">
      <c r="A698">
        <v>2022</v>
      </c>
      <c r="B698" t="s">
        <v>34</v>
      </c>
      <c r="C698">
        <v>21</v>
      </c>
      <c r="D698">
        <v>2019</v>
      </c>
      <c r="E698" t="s">
        <v>35</v>
      </c>
      <c r="F698">
        <v>2</v>
      </c>
      <c r="G698" t="s">
        <v>36</v>
      </c>
      <c r="H698" t="s">
        <v>37</v>
      </c>
      <c r="I698">
        <v>1</v>
      </c>
      <c r="J698">
        <v>2</v>
      </c>
      <c r="K698" t="s">
        <v>38</v>
      </c>
      <c r="L698" t="s">
        <v>36</v>
      </c>
      <c r="M698" t="s">
        <v>36</v>
      </c>
      <c r="N698">
        <v>2</v>
      </c>
      <c r="O698" t="s">
        <v>45</v>
      </c>
      <c r="P698">
        <v>90</v>
      </c>
      <c r="Q698" t="s">
        <v>37</v>
      </c>
      <c r="R698" t="s">
        <v>37</v>
      </c>
      <c r="S698" t="s">
        <v>37</v>
      </c>
      <c r="T698" t="s">
        <v>40</v>
      </c>
      <c r="U698">
        <v>1</v>
      </c>
      <c r="V698" t="s">
        <v>40</v>
      </c>
      <c r="W698" t="s">
        <v>42</v>
      </c>
      <c r="X698" t="s">
        <v>37</v>
      </c>
      <c r="Y698" t="s">
        <v>43</v>
      </c>
      <c r="Z698" t="s">
        <v>37</v>
      </c>
      <c r="AA698">
        <v>3.58</v>
      </c>
      <c r="AB698" t="s">
        <v>37</v>
      </c>
      <c r="AC698">
        <v>3.58</v>
      </c>
      <c r="AD698">
        <v>12</v>
      </c>
      <c r="AE698">
        <v>40000</v>
      </c>
      <c r="AF698" t="str">
        <f>IF(Table1[[#This Row],[What is your current CGPA?]]&gt;=3.5,"High",IF(Table1[[#This Row],[What is your current CGPA?]]&gt;=2.5,"Medium","Low"))</f>
        <v>High</v>
      </c>
      <c r="AG698" t="str">
        <f>IF(AND(Table1[[#This Row],[Average attendance on class]]&lt;75,Table1[[#This Row],[How many hour do you study daily?]]&lt;1),"At Risk","Normal")</f>
        <v>Normal</v>
      </c>
      <c r="AH698">
        <f>(Table1[[#This Row],[Average attendance on class]]*0.4)+(Table1[[#This Row],[How many hour do you study daily?]]*10*0.3)+(Table1[[#This Row],[How many hour do you spent daily on your skill development?]]*10*0.3)</f>
        <v>42</v>
      </c>
    </row>
    <row r="699" spans="1:34" x14ac:dyDescent="0.25">
      <c r="A699">
        <v>2019</v>
      </c>
      <c r="B699" t="s">
        <v>34</v>
      </c>
      <c r="C699">
        <v>22</v>
      </c>
      <c r="D699">
        <v>2019</v>
      </c>
      <c r="E699" t="s">
        <v>35</v>
      </c>
      <c r="F699">
        <v>8</v>
      </c>
      <c r="G699" t="s">
        <v>36</v>
      </c>
      <c r="H699" t="s">
        <v>36</v>
      </c>
      <c r="I699">
        <v>4</v>
      </c>
      <c r="J699">
        <v>2</v>
      </c>
      <c r="K699" t="s">
        <v>38</v>
      </c>
      <c r="L699" t="s">
        <v>36</v>
      </c>
      <c r="M699" t="s">
        <v>36</v>
      </c>
      <c r="N699">
        <v>3</v>
      </c>
      <c r="O699" t="s">
        <v>53</v>
      </c>
      <c r="P699">
        <v>100</v>
      </c>
      <c r="Q699" t="s">
        <v>37</v>
      </c>
      <c r="R699" t="s">
        <v>36</v>
      </c>
      <c r="S699" t="s">
        <v>36</v>
      </c>
      <c r="T699" t="s">
        <v>40</v>
      </c>
      <c r="U699">
        <v>4</v>
      </c>
      <c r="V699" t="s">
        <v>51</v>
      </c>
      <c r="W699" t="s">
        <v>42</v>
      </c>
      <c r="X699" t="s">
        <v>36</v>
      </c>
      <c r="Y699" t="s">
        <v>43</v>
      </c>
      <c r="Z699" t="s">
        <v>36</v>
      </c>
      <c r="AA699">
        <v>3.36</v>
      </c>
      <c r="AB699" t="s">
        <v>36</v>
      </c>
      <c r="AC699">
        <v>3.47</v>
      </c>
      <c r="AD699">
        <v>87</v>
      </c>
      <c r="AE699">
        <v>80000</v>
      </c>
      <c r="AF699" t="str">
        <f>IF(Table1[[#This Row],[What is your current CGPA?]]&gt;=3.5,"High",IF(Table1[[#This Row],[What is your current CGPA?]]&gt;=2.5,"Medium","Low"))</f>
        <v>Medium</v>
      </c>
      <c r="AG699" t="str">
        <f>IF(AND(Table1[[#This Row],[Average attendance on class]]&lt;75,Table1[[#This Row],[How many hour do you study daily?]]&lt;1),"At Risk","Normal")</f>
        <v>Normal</v>
      </c>
      <c r="AH699">
        <f>(Table1[[#This Row],[Average attendance on class]]*0.4)+(Table1[[#This Row],[How many hour do you study daily?]]*10*0.3)+(Table1[[#This Row],[How many hour do you spent daily on your skill development?]]*10*0.3)</f>
        <v>64</v>
      </c>
    </row>
    <row r="700" spans="1:34" x14ac:dyDescent="0.25">
      <c r="A700">
        <v>2022</v>
      </c>
      <c r="B700" t="s">
        <v>48</v>
      </c>
      <c r="C700">
        <v>18</v>
      </c>
      <c r="D700">
        <v>2021</v>
      </c>
      <c r="E700" t="s">
        <v>35</v>
      </c>
      <c r="F700">
        <v>1</v>
      </c>
      <c r="G700" t="s">
        <v>36</v>
      </c>
      <c r="H700" t="s">
        <v>36</v>
      </c>
      <c r="I700">
        <v>3</v>
      </c>
      <c r="J700">
        <v>2</v>
      </c>
      <c r="K700" t="s">
        <v>38</v>
      </c>
      <c r="L700" t="s">
        <v>36</v>
      </c>
      <c r="M700" t="s">
        <v>36</v>
      </c>
      <c r="N700">
        <v>2</v>
      </c>
      <c r="O700" t="s">
        <v>53</v>
      </c>
      <c r="P700">
        <v>95</v>
      </c>
      <c r="Q700" t="s">
        <v>37</v>
      </c>
      <c r="R700" t="s">
        <v>37</v>
      </c>
      <c r="S700" t="s">
        <v>36</v>
      </c>
      <c r="T700" t="s">
        <v>109</v>
      </c>
      <c r="U700">
        <v>1</v>
      </c>
      <c r="V700" t="s">
        <v>40</v>
      </c>
      <c r="W700" t="s">
        <v>42</v>
      </c>
      <c r="X700" t="s">
        <v>37</v>
      </c>
      <c r="Y700" t="s">
        <v>47</v>
      </c>
      <c r="Z700" t="s">
        <v>37</v>
      </c>
      <c r="AA700">
        <v>0</v>
      </c>
      <c r="AB700" t="s">
        <v>37</v>
      </c>
      <c r="AC700">
        <v>0</v>
      </c>
      <c r="AD700">
        <v>0</v>
      </c>
      <c r="AE700">
        <v>150000</v>
      </c>
      <c r="AF700" t="str">
        <f>IF(Table1[[#This Row],[What is your current CGPA?]]&gt;=3.5,"High",IF(Table1[[#This Row],[What is your current CGPA?]]&gt;=2.5,"Medium","Low"))</f>
        <v>Low</v>
      </c>
      <c r="AG700" t="str">
        <f>IF(AND(Table1[[#This Row],[Average attendance on class]]&lt;75,Table1[[#This Row],[How many hour do you study daily?]]&lt;1),"At Risk","Normal")</f>
        <v>Normal</v>
      </c>
      <c r="AH700">
        <f>(Table1[[#This Row],[Average attendance on class]]*0.4)+(Table1[[#This Row],[How many hour do you study daily?]]*10*0.3)+(Table1[[#This Row],[How many hour do you spent daily on your skill development?]]*10*0.3)</f>
        <v>50</v>
      </c>
    </row>
    <row r="701" spans="1:34" x14ac:dyDescent="0.25">
      <c r="A701">
        <v>2022</v>
      </c>
      <c r="B701" t="s">
        <v>48</v>
      </c>
      <c r="C701">
        <v>20</v>
      </c>
      <c r="D701">
        <v>2021</v>
      </c>
      <c r="E701" t="s">
        <v>35</v>
      </c>
      <c r="F701">
        <v>1</v>
      </c>
      <c r="G701" t="s">
        <v>36</v>
      </c>
      <c r="H701" t="s">
        <v>37</v>
      </c>
      <c r="I701">
        <v>2</v>
      </c>
      <c r="J701">
        <v>2</v>
      </c>
      <c r="K701" t="s">
        <v>44</v>
      </c>
      <c r="L701" t="s">
        <v>36</v>
      </c>
      <c r="M701" t="s">
        <v>36</v>
      </c>
      <c r="N701">
        <v>1</v>
      </c>
      <c r="O701" t="s">
        <v>39</v>
      </c>
      <c r="P701">
        <v>95</v>
      </c>
      <c r="Q701" t="s">
        <v>37</v>
      </c>
      <c r="R701" t="s">
        <v>37</v>
      </c>
      <c r="S701" t="s">
        <v>36</v>
      </c>
      <c r="T701" t="s">
        <v>109</v>
      </c>
      <c r="U701">
        <v>2</v>
      </c>
      <c r="V701" t="s">
        <v>40</v>
      </c>
      <c r="W701" t="s">
        <v>42</v>
      </c>
      <c r="X701" t="s">
        <v>37</v>
      </c>
      <c r="Y701" t="s">
        <v>47</v>
      </c>
      <c r="Z701" t="s">
        <v>37</v>
      </c>
      <c r="AA701">
        <v>0</v>
      </c>
      <c r="AB701" t="s">
        <v>37</v>
      </c>
      <c r="AC701">
        <v>0</v>
      </c>
      <c r="AD701">
        <v>0</v>
      </c>
      <c r="AE701">
        <v>45000</v>
      </c>
      <c r="AF701" t="str">
        <f>IF(Table1[[#This Row],[What is your current CGPA?]]&gt;=3.5,"High",IF(Table1[[#This Row],[What is your current CGPA?]]&gt;=2.5,"Medium","Low"))</f>
        <v>Low</v>
      </c>
      <c r="AG701" t="str">
        <f>IF(AND(Table1[[#This Row],[Average attendance on class]]&lt;75,Table1[[#This Row],[How many hour do you study daily?]]&lt;1),"At Risk","Normal")</f>
        <v>Normal</v>
      </c>
      <c r="AH701">
        <f>(Table1[[#This Row],[Average attendance on class]]*0.4)+(Table1[[#This Row],[How many hour do you study daily?]]*10*0.3)+(Table1[[#This Row],[How many hour do you spent daily on your skill development?]]*10*0.3)</f>
        <v>50</v>
      </c>
    </row>
    <row r="702" spans="1:34" x14ac:dyDescent="0.25">
      <c r="A702">
        <v>2022</v>
      </c>
      <c r="B702" t="s">
        <v>34</v>
      </c>
      <c r="C702">
        <v>19</v>
      </c>
      <c r="D702">
        <v>2021</v>
      </c>
      <c r="E702" t="s">
        <v>35</v>
      </c>
      <c r="F702">
        <v>1</v>
      </c>
      <c r="G702" t="s">
        <v>36</v>
      </c>
      <c r="H702" t="s">
        <v>36</v>
      </c>
      <c r="I702">
        <v>4</v>
      </c>
      <c r="J702">
        <v>2</v>
      </c>
      <c r="K702" t="s">
        <v>38</v>
      </c>
      <c r="L702" t="s">
        <v>36</v>
      </c>
      <c r="M702" t="s">
        <v>36</v>
      </c>
      <c r="N702">
        <v>2</v>
      </c>
      <c r="O702" t="s">
        <v>45</v>
      </c>
      <c r="P702">
        <v>62</v>
      </c>
      <c r="Q702" t="s">
        <v>37</v>
      </c>
      <c r="R702" t="s">
        <v>37</v>
      </c>
      <c r="S702" t="s">
        <v>36</v>
      </c>
      <c r="T702" t="s">
        <v>40</v>
      </c>
      <c r="U702">
        <v>2</v>
      </c>
      <c r="V702" t="s">
        <v>40</v>
      </c>
      <c r="W702" t="s">
        <v>42</v>
      </c>
      <c r="X702" t="s">
        <v>36</v>
      </c>
      <c r="Y702" t="s">
        <v>43</v>
      </c>
      <c r="Z702" t="s">
        <v>37</v>
      </c>
      <c r="AA702">
        <v>0</v>
      </c>
      <c r="AB702" t="s">
        <v>37</v>
      </c>
      <c r="AC702">
        <v>0</v>
      </c>
      <c r="AD702">
        <v>0</v>
      </c>
      <c r="AE702">
        <v>20000</v>
      </c>
      <c r="AF702" t="str">
        <f>IF(Table1[[#This Row],[What is your current CGPA?]]&gt;=3.5,"High",IF(Table1[[#This Row],[What is your current CGPA?]]&gt;=2.5,"Medium","Low"))</f>
        <v>Low</v>
      </c>
      <c r="AG702" t="str">
        <f>IF(AND(Table1[[#This Row],[Average attendance on class]]&lt;75,Table1[[#This Row],[How many hour do you study daily?]]&lt;1),"At Risk","Normal")</f>
        <v>Normal</v>
      </c>
      <c r="AH702">
        <f>(Table1[[#This Row],[Average attendance on class]]*0.4)+(Table1[[#This Row],[How many hour do you study daily?]]*10*0.3)+(Table1[[#This Row],[How many hour do you spent daily on your skill development?]]*10*0.3)</f>
        <v>42.8</v>
      </c>
    </row>
    <row r="703" spans="1:34" x14ac:dyDescent="0.25">
      <c r="A703">
        <v>2021</v>
      </c>
      <c r="B703" t="s">
        <v>34</v>
      </c>
      <c r="C703">
        <v>22</v>
      </c>
      <c r="D703">
        <v>2020</v>
      </c>
      <c r="E703" t="s">
        <v>35</v>
      </c>
      <c r="F703">
        <v>5</v>
      </c>
      <c r="G703" t="s">
        <v>37</v>
      </c>
      <c r="H703" t="s">
        <v>36</v>
      </c>
      <c r="I703">
        <v>3</v>
      </c>
      <c r="J703">
        <v>3</v>
      </c>
      <c r="K703" t="s">
        <v>38</v>
      </c>
      <c r="L703" t="s">
        <v>36</v>
      </c>
      <c r="M703" t="s">
        <v>36</v>
      </c>
      <c r="N703">
        <v>3</v>
      </c>
      <c r="O703" t="s">
        <v>39</v>
      </c>
      <c r="P703">
        <v>90</v>
      </c>
      <c r="Q703" t="s">
        <v>36</v>
      </c>
      <c r="R703" t="s">
        <v>37</v>
      </c>
      <c r="S703" t="s">
        <v>36</v>
      </c>
      <c r="T703" t="s">
        <v>40</v>
      </c>
      <c r="U703">
        <v>2</v>
      </c>
      <c r="V703" t="s">
        <v>40</v>
      </c>
      <c r="W703" t="s">
        <v>42</v>
      </c>
      <c r="X703" t="s">
        <v>36</v>
      </c>
      <c r="Y703" t="s">
        <v>43</v>
      </c>
      <c r="Z703" t="s">
        <v>36</v>
      </c>
      <c r="AA703">
        <v>2.9</v>
      </c>
      <c r="AB703" t="s">
        <v>37</v>
      </c>
      <c r="AC703">
        <v>2.19</v>
      </c>
      <c r="AD703">
        <v>36</v>
      </c>
      <c r="AE703">
        <v>60000</v>
      </c>
      <c r="AF703" t="str">
        <f>IF(Table1[[#This Row],[What is your current CGPA?]]&gt;=3.5,"High",IF(Table1[[#This Row],[What is your current CGPA?]]&gt;=2.5,"Medium","Low"))</f>
        <v>Low</v>
      </c>
      <c r="AG703" t="str">
        <f>IF(AND(Table1[[#This Row],[Average attendance on class]]&lt;75,Table1[[#This Row],[How many hour do you study daily?]]&lt;1),"At Risk","Normal")</f>
        <v>Normal</v>
      </c>
      <c r="AH703">
        <f>(Table1[[#This Row],[Average attendance on class]]*0.4)+(Table1[[#This Row],[How many hour do you study daily?]]*10*0.3)+(Table1[[#This Row],[How many hour do you spent daily on your skill development?]]*10*0.3)</f>
        <v>51</v>
      </c>
    </row>
    <row r="704" spans="1:34" x14ac:dyDescent="0.25">
      <c r="A704">
        <v>2022</v>
      </c>
      <c r="B704" t="s">
        <v>34</v>
      </c>
      <c r="C704">
        <v>20</v>
      </c>
      <c r="D704">
        <v>2019</v>
      </c>
      <c r="E704" t="s">
        <v>35</v>
      </c>
      <c r="F704">
        <v>2</v>
      </c>
      <c r="G704" t="s">
        <v>37</v>
      </c>
      <c r="H704" t="s">
        <v>37</v>
      </c>
      <c r="I704">
        <v>4</v>
      </c>
      <c r="J704">
        <v>2</v>
      </c>
      <c r="K704" t="s">
        <v>38</v>
      </c>
      <c r="L704" t="s">
        <v>36</v>
      </c>
      <c r="M704" t="s">
        <v>36</v>
      </c>
      <c r="N704">
        <v>3</v>
      </c>
      <c r="O704" t="s">
        <v>39</v>
      </c>
      <c r="P704">
        <v>90</v>
      </c>
      <c r="Q704" t="s">
        <v>37</v>
      </c>
      <c r="R704" t="s">
        <v>37</v>
      </c>
      <c r="S704" t="s">
        <v>36</v>
      </c>
      <c r="T704" t="s">
        <v>40</v>
      </c>
      <c r="U704">
        <v>1</v>
      </c>
      <c r="V704" t="s">
        <v>40</v>
      </c>
      <c r="W704" t="s">
        <v>42</v>
      </c>
      <c r="X704" t="s">
        <v>36</v>
      </c>
      <c r="Y704" t="s">
        <v>43</v>
      </c>
      <c r="Z704" t="s">
        <v>37</v>
      </c>
      <c r="AA704">
        <v>3.32</v>
      </c>
      <c r="AB704" t="s">
        <v>37</v>
      </c>
      <c r="AC704">
        <v>3.25</v>
      </c>
      <c r="AD704">
        <v>12</v>
      </c>
      <c r="AE704">
        <v>30000</v>
      </c>
      <c r="AF704" t="str">
        <f>IF(Table1[[#This Row],[What is your current CGPA?]]&gt;=3.5,"High",IF(Table1[[#This Row],[What is your current CGPA?]]&gt;=2.5,"Medium","Low"))</f>
        <v>Medium</v>
      </c>
      <c r="AG704" t="str">
        <f>IF(AND(Table1[[#This Row],[Average attendance on class]]&lt;75,Table1[[#This Row],[How many hour do you study daily?]]&lt;1),"At Risk","Normal")</f>
        <v>Normal</v>
      </c>
      <c r="AH704">
        <f>(Table1[[#This Row],[Average attendance on class]]*0.4)+(Table1[[#This Row],[How many hour do you study daily?]]*10*0.3)+(Table1[[#This Row],[How many hour do you spent daily on your skill development?]]*10*0.3)</f>
        <v>51</v>
      </c>
    </row>
    <row r="705" spans="1:34" x14ac:dyDescent="0.25">
      <c r="A705">
        <v>2020</v>
      </c>
      <c r="B705" t="s">
        <v>34</v>
      </c>
      <c r="C705">
        <v>22</v>
      </c>
      <c r="D705">
        <v>2019</v>
      </c>
      <c r="E705" t="s">
        <v>35</v>
      </c>
      <c r="F705">
        <v>8</v>
      </c>
      <c r="G705" t="s">
        <v>37</v>
      </c>
      <c r="H705" t="s">
        <v>37</v>
      </c>
      <c r="I705">
        <v>6</v>
      </c>
      <c r="J705">
        <v>2</v>
      </c>
      <c r="K705" t="s">
        <v>38</v>
      </c>
      <c r="L705" t="s">
        <v>36</v>
      </c>
      <c r="M705" t="s">
        <v>36</v>
      </c>
      <c r="N705">
        <v>2</v>
      </c>
      <c r="O705" t="s">
        <v>39</v>
      </c>
      <c r="P705">
        <v>0</v>
      </c>
      <c r="Q705" t="s">
        <v>36</v>
      </c>
      <c r="R705" t="s">
        <v>37</v>
      </c>
      <c r="S705" t="s">
        <v>36</v>
      </c>
      <c r="T705" t="s">
        <v>40</v>
      </c>
      <c r="U705">
        <v>1</v>
      </c>
      <c r="V705" t="s">
        <v>40</v>
      </c>
      <c r="W705" t="s">
        <v>42</v>
      </c>
      <c r="X705" t="s">
        <v>37</v>
      </c>
      <c r="Y705" t="s">
        <v>43</v>
      </c>
      <c r="Z705" t="s">
        <v>37</v>
      </c>
      <c r="AA705">
        <v>3.3</v>
      </c>
      <c r="AB705" t="s">
        <v>37</v>
      </c>
      <c r="AC705">
        <v>3.15</v>
      </c>
      <c r="AD705">
        <v>90</v>
      </c>
      <c r="AE705">
        <v>36000</v>
      </c>
      <c r="AF705" t="str">
        <f>IF(Table1[[#This Row],[What is your current CGPA?]]&gt;=3.5,"High",IF(Table1[[#This Row],[What is your current CGPA?]]&gt;=2.5,"Medium","Low"))</f>
        <v>Medium</v>
      </c>
      <c r="AG705" t="str">
        <f>IF(AND(Table1[[#This Row],[Average attendance on class]]&lt;75,Table1[[#This Row],[How many hour do you study daily?]]&lt;1),"At Risk","Normal")</f>
        <v>Normal</v>
      </c>
      <c r="AH705">
        <f>(Table1[[#This Row],[Average attendance on class]]*0.4)+(Table1[[#This Row],[How many hour do you study daily?]]*10*0.3)+(Table1[[#This Row],[How many hour do you spent daily on your skill development?]]*10*0.3)</f>
        <v>21</v>
      </c>
    </row>
    <row r="706" spans="1:34" x14ac:dyDescent="0.25">
      <c r="A706">
        <v>2019</v>
      </c>
      <c r="B706" t="s">
        <v>34</v>
      </c>
      <c r="C706">
        <v>23</v>
      </c>
      <c r="D706">
        <v>2017</v>
      </c>
      <c r="E706" t="s">
        <v>35</v>
      </c>
      <c r="F706">
        <v>10</v>
      </c>
      <c r="G706" t="s">
        <v>37</v>
      </c>
      <c r="H706" t="s">
        <v>37</v>
      </c>
      <c r="I706">
        <v>4</v>
      </c>
      <c r="J706">
        <v>2</v>
      </c>
      <c r="K706" t="s">
        <v>38</v>
      </c>
      <c r="L706" t="s">
        <v>36</v>
      </c>
      <c r="M706" t="s">
        <v>36</v>
      </c>
      <c r="N706">
        <v>3</v>
      </c>
      <c r="O706" t="s">
        <v>39</v>
      </c>
      <c r="P706">
        <v>95</v>
      </c>
      <c r="Q706" t="s">
        <v>37</v>
      </c>
      <c r="R706" t="s">
        <v>37</v>
      </c>
      <c r="S706" t="s">
        <v>37</v>
      </c>
      <c r="T706" t="s">
        <v>40</v>
      </c>
      <c r="U706">
        <v>6</v>
      </c>
      <c r="V706" t="s">
        <v>40</v>
      </c>
      <c r="W706" t="s">
        <v>42</v>
      </c>
      <c r="X706" t="s">
        <v>37</v>
      </c>
      <c r="Y706" t="s">
        <v>43</v>
      </c>
      <c r="Z706" t="s">
        <v>37</v>
      </c>
      <c r="AA706">
        <v>3.92</v>
      </c>
      <c r="AB706" t="s">
        <v>37</v>
      </c>
      <c r="AC706">
        <v>3.78</v>
      </c>
      <c r="AD706">
        <v>123</v>
      </c>
      <c r="AE706">
        <v>30000</v>
      </c>
      <c r="AF706" t="str">
        <f>IF(Table1[[#This Row],[What is your current CGPA?]]&gt;=3.5,"High",IF(Table1[[#This Row],[What is your current CGPA?]]&gt;=2.5,"Medium","Low"))</f>
        <v>High</v>
      </c>
      <c r="AG706" t="str">
        <f>IF(AND(Table1[[#This Row],[Average attendance on class]]&lt;75,Table1[[#This Row],[How many hour do you study daily?]]&lt;1),"At Risk","Normal")</f>
        <v>Normal</v>
      </c>
      <c r="AH706">
        <f>(Table1[[#This Row],[Average attendance on class]]*0.4)+(Table1[[#This Row],[How many hour do you study daily?]]*10*0.3)+(Table1[[#This Row],[How many hour do you spent daily on your skill development?]]*10*0.3)</f>
        <v>68</v>
      </c>
    </row>
    <row r="707" spans="1:34" x14ac:dyDescent="0.25">
      <c r="A707">
        <v>2014</v>
      </c>
      <c r="B707" t="s">
        <v>48</v>
      </c>
      <c r="C707">
        <v>25</v>
      </c>
      <c r="D707">
        <v>2013</v>
      </c>
      <c r="E707" t="s">
        <v>35</v>
      </c>
      <c r="F707">
        <v>24</v>
      </c>
      <c r="G707" t="s">
        <v>37</v>
      </c>
      <c r="H707" t="s">
        <v>37</v>
      </c>
      <c r="I707">
        <v>1</v>
      </c>
      <c r="J707">
        <v>1</v>
      </c>
      <c r="K707" t="s">
        <v>44</v>
      </c>
      <c r="L707" t="s">
        <v>36</v>
      </c>
      <c r="M707" t="s">
        <v>36</v>
      </c>
      <c r="N707">
        <v>12</v>
      </c>
      <c r="O707" t="s">
        <v>39</v>
      </c>
      <c r="P707">
        <v>80</v>
      </c>
      <c r="Q707" t="s">
        <v>36</v>
      </c>
      <c r="R707" t="s">
        <v>36</v>
      </c>
      <c r="S707" t="s">
        <v>36</v>
      </c>
      <c r="T707" t="s">
        <v>40</v>
      </c>
      <c r="U707">
        <v>4</v>
      </c>
      <c r="V707" t="s">
        <v>40</v>
      </c>
      <c r="W707" t="s">
        <v>56</v>
      </c>
      <c r="X707" t="s">
        <v>37</v>
      </c>
      <c r="Y707" t="s">
        <v>47</v>
      </c>
      <c r="Z707" t="s">
        <v>36</v>
      </c>
      <c r="AA707">
        <v>2.8</v>
      </c>
      <c r="AB707" t="s">
        <v>36</v>
      </c>
      <c r="AC707">
        <v>2.5</v>
      </c>
      <c r="AD707">
        <v>115</v>
      </c>
      <c r="AE707">
        <v>20000</v>
      </c>
      <c r="AF707" t="str">
        <f>IF(Table1[[#This Row],[What is your current CGPA?]]&gt;=3.5,"High",IF(Table1[[#This Row],[What is your current CGPA?]]&gt;=2.5,"Medium","Low"))</f>
        <v>Medium</v>
      </c>
      <c r="AG707" t="str">
        <f>IF(AND(Table1[[#This Row],[Average attendance on class]]&lt;75,Table1[[#This Row],[How many hour do you study daily?]]&lt;1),"At Risk","Normal")</f>
        <v>Normal</v>
      </c>
      <c r="AH707">
        <f>(Table1[[#This Row],[Average attendance on class]]*0.4)+(Table1[[#This Row],[How many hour do you study daily?]]*10*0.3)+(Table1[[#This Row],[How many hour do you spent daily on your skill development?]]*10*0.3)</f>
        <v>47</v>
      </c>
    </row>
    <row r="708" spans="1:34" x14ac:dyDescent="0.25">
      <c r="A708">
        <v>2022</v>
      </c>
      <c r="B708" t="s">
        <v>34</v>
      </c>
      <c r="C708">
        <v>21</v>
      </c>
      <c r="D708">
        <v>2020</v>
      </c>
      <c r="E708" t="s">
        <v>35</v>
      </c>
      <c r="F708">
        <v>2</v>
      </c>
      <c r="G708" t="s">
        <v>36</v>
      </c>
      <c r="H708" t="s">
        <v>37</v>
      </c>
      <c r="I708">
        <v>3</v>
      </c>
      <c r="J708">
        <v>2</v>
      </c>
      <c r="K708" t="s">
        <v>44</v>
      </c>
      <c r="L708" t="s">
        <v>36</v>
      </c>
      <c r="M708" t="s">
        <v>37</v>
      </c>
      <c r="N708">
        <v>3</v>
      </c>
      <c r="O708" t="s">
        <v>39</v>
      </c>
      <c r="P708">
        <v>98</v>
      </c>
      <c r="Q708" t="s">
        <v>36</v>
      </c>
      <c r="R708" t="s">
        <v>37</v>
      </c>
      <c r="S708" t="s">
        <v>36</v>
      </c>
      <c r="T708" t="s">
        <v>40</v>
      </c>
      <c r="U708">
        <v>2</v>
      </c>
      <c r="V708" t="s">
        <v>40</v>
      </c>
      <c r="W708" t="s">
        <v>42</v>
      </c>
      <c r="X708" t="s">
        <v>36</v>
      </c>
      <c r="Y708" t="s">
        <v>43</v>
      </c>
      <c r="Z708" t="s">
        <v>37</v>
      </c>
      <c r="AA708">
        <v>3.33</v>
      </c>
      <c r="AB708" t="s">
        <v>37</v>
      </c>
      <c r="AC708">
        <v>2.9</v>
      </c>
      <c r="AD708">
        <v>12</v>
      </c>
      <c r="AE708">
        <v>20000</v>
      </c>
      <c r="AF708" t="str">
        <f>IF(Table1[[#This Row],[What is your current CGPA?]]&gt;=3.5,"High",IF(Table1[[#This Row],[What is your current CGPA?]]&gt;=2.5,"Medium","Low"))</f>
        <v>Medium</v>
      </c>
      <c r="AG708" t="str">
        <f>IF(AND(Table1[[#This Row],[Average attendance on class]]&lt;75,Table1[[#This Row],[How many hour do you study daily?]]&lt;1),"At Risk","Normal")</f>
        <v>Normal</v>
      </c>
      <c r="AH708">
        <f>(Table1[[#This Row],[Average attendance on class]]*0.4)+(Table1[[#This Row],[How many hour do you study daily?]]*10*0.3)+(Table1[[#This Row],[How many hour do you spent daily on your skill development?]]*10*0.3)</f>
        <v>54.2</v>
      </c>
    </row>
    <row r="709" spans="1:34" x14ac:dyDescent="0.25">
      <c r="A709">
        <v>2020</v>
      </c>
      <c r="B709" t="s">
        <v>34</v>
      </c>
      <c r="C709">
        <v>22</v>
      </c>
      <c r="D709">
        <v>2017</v>
      </c>
      <c r="E709" t="s">
        <v>35</v>
      </c>
      <c r="F709">
        <v>8</v>
      </c>
      <c r="G709" t="s">
        <v>36</v>
      </c>
      <c r="H709" t="s">
        <v>37</v>
      </c>
      <c r="I709">
        <v>3</v>
      </c>
      <c r="J709">
        <v>2</v>
      </c>
      <c r="K709" t="s">
        <v>38</v>
      </c>
      <c r="L709" t="s">
        <v>36</v>
      </c>
      <c r="M709" t="s">
        <v>36</v>
      </c>
      <c r="N709">
        <v>1</v>
      </c>
      <c r="O709" t="s">
        <v>39</v>
      </c>
      <c r="P709">
        <v>87</v>
      </c>
      <c r="Q709" t="s">
        <v>37</v>
      </c>
      <c r="R709" t="s">
        <v>37</v>
      </c>
      <c r="S709" t="s">
        <v>37</v>
      </c>
      <c r="T709" t="s">
        <v>40</v>
      </c>
      <c r="U709">
        <v>3</v>
      </c>
      <c r="V709" t="s">
        <v>40</v>
      </c>
      <c r="W709" t="s">
        <v>42</v>
      </c>
      <c r="X709" t="s">
        <v>37</v>
      </c>
      <c r="Y709" t="s">
        <v>43</v>
      </c>
      <c r="Z709" t="s">
        <v>37</v>
      </c>
      <c r="AA709">
        <v>3.54</v>
      </c>
      <c r="AB709" t="s">
        <v>37</v>
      </c>
      <c r="AC709">
        <v>3.4</v>
      </c>
      <c r="AD709">
        <v>87</v>
      </c>
      <c r="AE709">
        <v>30000</v>
      </c>
      <c r="AF709" t="str">
        <f>IF(Table1[[#This Row],[What is your current CGPA?]]&gt;=3.5,"High",IF(Table1[[#This Row],[What is your current CGPA?]]&gt;=2.5,"Medium","Low"))</f>
        <v>Medium</v>
      </c>
      <c r="AG709" t="str">
        <f>IF(AND(Table1[[#This Row],[Average attendance on class]]&lt;75,Table1[[#This Row],[How many hour do you study daily?]]&lt;1),"At Risk","Normal")</f>
        <v>Normal</v>
      </c>
      <c r="AH709">
        <f>(Table1[[#This Row],[Average attendance on class]]*0.4)+(Table1[[#This Row],[How many hour do you study daily?]]*10*0.3)+(Table1[[#This Row],[How many hour do you spent daily on your skill development?]]*10*0.3)</f>
        <v>52.800000000000004</v>
      </c>
    </row>
    <row r="710" spans="1:34" x14ac:dyDescent="0.25">
      <c r="A710">
        <v>2020</v>
      </c>
      <c r="B710" t="s">
        <v>34</v>
      </c>
      <c r="C710">
        <v>23</v>
      </c>
      <c r="D710">
        <v>2018</v>
      </c>
      <c r="E710" t="s">
        <v>35</v>
      </c>
      <c r="F710">
        <v>8</v>
      </c>
      <c r="G710" t="s">
        <v>36</v>
      </c>
      <c r="H710" t="s">
        <v>36</v>
      </c>
      <c r="I710">
        <v>5</v>
      </c>
      <c r="J710">
        <v>6</v>
      </c>
      <c r="K710" t="s">
        <v>38</v>
      </c>
      <c r="L710" t="s">
        <v>36</v>
      </c>
      <c r="M710" t="s">
        <v>36</v>
      </c>
      <c r="N710">
        <v>2</v>
      </c>
      <c r="O710" t="s">
        <v>39</v>
      </c>
      <c r="P710">
        <v>98</v>
      </c>
      <c r="Q710" t="s">
        <v>37</v>
      </c>
      <c r="R710" t="s">
        <v>37</v>
      </c>
      <c r="S710" t="s">
        <v>37</v>
      </c>
      <c r="T710" t="s">
        <v>40</v>
      </c>
      <c r="U710">
        <v>2</v>
      </c>
      <c r="V710" t="s">
        <v>51</v>
      </c>
      <c r="W710" t="s">
        <v>42</v>
      </c>
      <c r="X710" t="s">
        <v>37</v>
      </c>
      <c r="Y710" t="s">
        <v>43</v>
      </c>
      <c r="Z710" t="s">
        <v>37</v>
      </c>
      <c r="AA710">
        <v>3.66</v>
      </c>
      <c r="AB710" t="s">
        <v>37</v>
      </c>
      <c r="AC710">
        <v>3.81</v>
      </c>
      <c r="AD710">
        <v>87</v>
      </c>
      <c r="AE710">
        <v>38000</v>
      </c>
      <c r="AF710" t="str">
        <f>IF(Table1[[#This Row],[What is your current CGPA?]]&gt;=3.5,"High",IF(Table1[[#This Row],[What is your current CGPA?]]&gt;=2.5,"Medium","Low"))</f>
        <v>High</v>
      </c>
      <c r="AG710" t="str">
        <f>IF(AND(Table1[[#This Row],[Average attendance on class]]&lt;75,Table1[[#This Row],[How many hour do you study daily?]]&lt;1),"At Risk","Normal")</f>
        <v>Normal</v>
      </c>
      <c r="AH710">
        <f>(Table1[[#This Row],[Average attendance on class]]*0.4)+(Table1[[#This Row],[How many hour do you study daily?]]*10*0.3)+(Table1[[#This Row],[How many hour do you spent daily on your skill development?]]*10*0.3)</f>
        <v>60.2</v>
      </c>
    </row>
    <row r="711" spans="1:34" x14ac:dyDescent="0.25">
      <c r="A711">
        <v>2019</v>
      </c>
      <c r="B711" t="s">
        <v>34</v>
      </c>
      <c r="C711">
        <v>24</v>
      </c>
      <c r="D711">
        <v>2018</v>
      </c>
      <c r="E711" t="s">
        <v>35</v>
      </c>
      <c r="F711">
        <v>11</v>
      </c>
      <c r="G711" t="s">
        <v>37</v>
      </c>
      <c r="H711" t="s">
        <v>37</v>
      </c>
      <c r="I711">
        <v>2</v>
      </c>
      <c r="J711">
        <v>2</v>
      </c>
      <c r="K711" t="s">
        <v>38</v>
      </c>
      <c r="L711" t="s">
        <v>36</v>
      </c>
      <c r="M711" t="s">
        <v>36</v>
      </c>
      <c r="N711">
        <v>2</v>
      </c>
      <c r="O711" t="s">
        <v>39</v>
      </c>
      <c r="P711">
        <v>80</v>
      </c>
      <c r="Q711" t="s">
        <v>37</v>
      </c>
      <c r="R711" t="s">
        <v>37</v>
      </c>
      <c r="S711" t="s">
        <v>36</v>
      </c>
      <c r="T711" t="s">
        <v>40</v>
      </c>
      <c r="U711">
        <v>3</v>
      </c>
      <c r="V711" t="s">
        <v>40</v>
      </c>
      <c r="W711" t="s">
        <v>42</v>
      </c>
      <c r="X711" t="s">
        <v>36</v>
      </c>
      <c r="Y711" t="s">
        <v>43</v>
      </c>
      <c r="Z711" t="s">
        <v>37</v>
      </c>
      <c r="AA711">
        <v>3.78</v>
      </c>
      <c r="AB711" t="s">
        <v>37</v>
      </c>
      <c r="AC711">
        <v>3.13</v>
      </c>
      <c r="AD711">
        <v>124</v>
      </c>
      <c r="AE711">
        <v>15000</v>
      </c>
      <c r="AF711" t="str">
        <f>IF(Table1[[#This Row],[What is your current CGPA?]]&gt;=3.5,"High",IF(Table1[[#This Row],[What is your current CGPA?]]&gt;=2.5,"Medium","Low"))</f>
        <v>Medium</v>
      </c>
      <c r="AG711" t="str">
        <f>IF(AND(Table1[[#This Row],[Average attendance on class]]&lt;75,Table1[[#This Row],[How many hour do you study daily?]]&lt;1),"At Risk","Normal")</f>
        <v>Normal</v>
      </c>
      <c r="AH711">
        <f>(Table1[[#This Row],[Average attendance on class]]*0.4)+(Table1[[#This Row],[How many hour do you study daily?]]*10*0.3)+(Table1[[#This Row],[How many hour do you spent daily on your skill development?]]*10*0.3)</f>
        <v>47</v>
      </c>
    </row>
    <row r="712" spans="1:34" x14ac:dyDescent="0.25">
      <c r="A712">
        <v>2020</v>
      </c>
      <c r="B712" t="s">
        <v>34</v>
      </c>
      <c r="C712">
        <v>21</v>
      </c>
      <c r="D712">
        <v>2019</v>
      </c>
      <c r="E712" t="s">
        <v>35</v>
      </c>
      <c r="F712">
        <v>8</v>
      </c>
      <c r="G712" t="s">
        <v>37</v>
      </c>
      <c r="H712" t="s">
        <v>37</v>
      </c>
      <c r="I712">
        <v>5</v>
      </c>
      <c r="J712">
        <v>4</v>
      </c>
      <c r="K712" t="s">
        <v>38</v>
      </c>
      <c r="L712" t="s">
        <v>36</v>
      </c>
      <c r="M712" t="s">
        <v>36</v>
      </c>
      <c r="N712">
        <v>3</v>
      </c>
      <c r="O712" t="s">
        <v>39</v>
      </c>
      <c r="P712">
        <v>99</v>
      </c>
      <c r="Q712" t="s">
        <v>37</v>
      </c>
      <c r="R712" t="s">
        <v>37</v>
      </c>
      <c r="S712" t="s">
        <v>36</v>
      </c>
      <c r="T712" t="s">
        <v>40</v>
      </c>
      <c r="U712">
        <v>1</v>
      </c>
      <c r="V712" t="s">
        <v>40</v>
      </c>
      <c r="W712" t="s">
        <v>42</v>
      </c>
      <c r="X712" t="s">
        <v>36</v>
      </c>
      <c r="Y712" t="s">
        <v>47</v>
      </c>
      <c r="Z712" t="s">
        <v>36</v>
      </c>
      <c r="AA712">
        <v>3.82</v>
      </c>
      <c r="AB712" t="s">
        <v>37</v>
      </c>
      <c r="AC712">
        <v>3.81</v>
      </c>
      <c r="AD712">
        <v>89</v>
      </c>
      <c r="AE712">
        <v>15000</v>
      </c>
      <c r="AF712" t="str">
        <f>IF(Table1[[#This Row],[What is your current CGPA?]]&gt;=3.5,"High",IF(Table1[[#This Row],[What is your current CGPA?]]&gt;=2.5,"Medium","Low"))</f>
        <v>High</v>
      </c>
      <c r="AG712" t="str">
        <f>IF(AND(Table1[[#This Row],[Average attendance on class]]&lt;75,Table1[[#This Row],[How many hour do you study daily?]]&lt;1),"At Risk","Normal")</f>
        <v>Normal</v>
      </c>
      <c r="AH712">
        <f>(Table1[[#This Row],[Average attendance on class]]*0.4)+(Table1[[#This Row],[How many hour do you study daily?]]*10*0.3)+(Table1[[#This Row],[How many hour do you spent daily on your skill development?]]*10*0.3)</f>
        <v>57.6</v>
      </c>
    </row>
    <row r="713" spans="1:34" x14ac:dyDescent="0.25">
      <c r="A713">
        <v>2019</v>
      </c>
      <c r="B713" t="s">
        <v>48</v>
      </c>
      <c r="C713">
        <v>23</v>
      </c>
      <c r="D713">
        <v>2018</v>
      </c>
      <c r="E713" t="s">
        <v>35</v>
      </c>
      <c r="F713">
        <v>11</v>
      </c>
      <c r="G713" t="s">
        <v>36</v>
      </c>
      <c r="H713" t="s">
        <v>36</v>
      </c>
      <c r="I713">
        <v>4</v>
      </c>
      <c r="J713">
        <v>1</v>
      </c>
      <c r="K713" t="s">
        <v>38</v>
      </c>
      <c r="L713" t="s">
        <v>36</v>
      </c>
      <c r="M713" t="s">
        <v>36</v>
      </c>
      <c r="N713">
        <v>1</v>
      </c>
      <c r="O713" t="s">
        <v>39</v>
      </c>
      <c r="P713">
        <v>95</v>
      </c>
      <c r="Q713" t="s">
        <v>37</v>
      </c>
      <c r="R713" t="s">
        <v>37</v>
      </c>
      <c r="S713" t="s">
        <v>36</v>
      </c>
      <c r="T713" t="s">
        <v>51</v>
      </c>
      <c r="U713">
        <v>4</v>
      </c>
      <c r="V713" t="s">
        <v>51</v>
      </c>
      <c r="W713" t="s">
        <v>42</v>
      </c>
      <c r="X713" t="s">
        <v>36</v>
      </c>
      <c r="Y713" t="s">
        <v>43</v>
      </c>
      <c r="Z713" t="s">
        <v>36</v>
      </c>
      <c r="AA713">
        <v>4</v>
      </c>
      <c r="AB713" t="s">
        <v>37</v>
      </c>
      <c r="AC713">
        <v>3.93</v>
      </c>
      <c r="AD713">
        <v>118</v>
      </c>
      <c r="AE713">
        <v>50000</v>
      </c>
      <c r="AF713" t="str">
        <f>IF(Table1[[#This Row],[What is your current CGPA?]]&gt;=3.5,"High",IF(Table1[[#This Row],[What is your current CGPA?]]&gt;=2.5,"Medium","Low"))</f>
        <v>High</v>
      </c>
      <c r="AG713" t="str">
        <f>IF(AND(Table1[[#This Row],[Average attendance on class]]&lt;75,Table1[[#This Row],[How many hour do you study daily?]]&lt;1),"At Risk","Normal")</f>
        <v>Normal</v>
      </c>
      <c r="AH713">
        <f>(Table1[[#This Row],[Average attendance on class]]*0.4)+(Table1[[#This Row],[How many hour do you study daily?]]*10*0.3)+(Table1[[#This Row],[How many hour do you spent daily on your skill development?]]*10*0.3)</f>
        <v>62</v>
      </c>
    </row>
    <row r="714" spans="1:34" x14ac:dyDescent="0.25">
      <c r="A714">
        <v>2022</v>
      </c>
      <c r="B714" t="s">
        <v>34</v>
      </c>
      <c r="C714">
        <v>19</v>
      </c>
      <c r="D714">
        <v>2020</v>
      </c>
      <c r="E714" t="s">
        <v>35</v>
      </c>
      <c r="F714">
        <v>2</v>
      </c>
      <c r="G714" t="s">
        <v>36</v>
      </c>
      <c r="H714" t="s">
        <v>37</v>
      </c>
      <c r="I714">
        <v>4</v>
      </c>
      <c r="J714">
        <v>2</v>
      </c>
      <c r="K714" t="s">
        <v>38</v>
      </c>
      <c r="L714" t="s">
        <v>36</v>
      </c>
      <c r="M714" t="s">
        <v>36</v>
      </c>
      <c r="N714">
        <v>1</v>
      </c>
      <c r="O714" t="s">
        <v>45</v>
      </c>
      <c r="P714">
        <v>80</v>
      </c>
      <c r="Q714" t="s">
        <v>37</v>
      </c>
      <c r="R714" t="s">
        <v>37</v>
      </c>
      <c r="S714" t="s">
        <v>36</v>
      </c>
      <c r="T714" t="s">
        <v>40</v>
      </c>
      <c r="U714">
        <v>2</v>
      </c>
      <c r="V714" t="s">
        <v>40</v>
      </c>
      <c r="W714" t="s">
        <v>42</v>
      </c>
      <c r="X714" t="s">
        <v>36</v>
      </c>
      <c r="Y714" t="s">
        <v>43</v>
      </c>
      <c r="Z714" t="s">
        <v>36</v>
      </c>
      <c r="AA714">
        <v>3.54</v>
      </c>
      <c r="AB714" t="s">
        <v>37</v>
      </c>
      <c r="AC714">
        <v>3.54</v>
      </c>
      <c r="AD714">
        <v>11</v>
      </c>
      <c r="AE714">
        <v>20000</v>
      </c>
      <c r="AF714" t="str">
        <f>IF(Table1[[#This Row],[What is your current CGPA?]]&gt;=3.5,"High",IF(Table1[[#This Row],[What is your current CGPA?]]&gt;=2.5,"Medium","Low"))</f>
        <v>High</v>
      </c>
      <c r="AG714" t="str">
        <f>IF(AND(Table1[[#This Row],[Average attendance on class]]&lt;75,Table1[[#This Row],[How many hour do you study daily?]]&lt;1),"At Risk","Normal")</f>
        <v>Normal</v>
      </c>
      <c r="AH714">
        <f>(Table1[[#This Row],[Average attendance on class]]*0.4)+(Table1[[#This Row],[How many hour do you study daily?]]*10*0.3)+(Table1[[#This Row],[How many hour do you spent daily on your skill development?]]*10*0.3)</f>
        <v>50</v>
      </c>
    </row>
    <row r="715" spans="1:34" x14ac:dyDescent="0.25">
      <c r="A715">
        <v>2022</v>
      </c>
      <c r="B715" t="s">
        <v>34</v>
      </c>
      <c r="C715">
        <v>21</v>
      </c>
      <c r="D715">
        <v>2019</v>
      </c>
      <c r="E715" t="s">
        <v>35</v>
      </c>
      <c r="F715">
        <v>2</v>
      </c>
      <c r="G715" t="s">
        <v>36</v>
      </c>
      <c r="H715" t="s">
        <v>37</v>
      </c>
      <c r="I715">
        <v>4</v>
      </c>
      <c r="J715">
        <v>2</v>
      </c>
      <c r="K715" t="s">
        <v>38</v>
      </c>
      <c r="L715" t="s">
        <v>36</v>
      </c>
      <c r="M715" t="s">
        <v>36</v>
      </c>
      <c r="N715">
        <v>2</v>
      </c>
      <c r="O715" t="s">
        <v>45</v>
      </c>
      <c r="P715">
        <v>95</v>
      </c>
      <c r="Q715" t="s">
        <v>37</v>
      </c>
      <c r="R715" t="s">
        <v>37</v>
      </c>
      <c r="S715" t="s">
        <v>36</v>
      </c>
      <c r="T715" t="s">
        <v>40</v>
      </c>
      <c r="U715">
        <v>2</v>
      </c>
      <c r="V715" t="s">
        <v>40</v>
      </c>
      <c r="W715" t="s">
        <v>42</v>
      </c>
      <c r="X715" t="s">
        <v>37</v>
      </c>
      <c r="Y715" t="s">
        <v>43</v>
      </c>
      <c r="Z715" t="s">
        <v>37</v>
      </c>
      <c r="AA715">
        <v>2.5499999999999998</v>
      </c>
      <c r="AB715" t="s">
        <v>37</v>
      </c>
      <c r="AC715">
        <v>2.5499999999999998</v>
      </c>
      <c r="AD715">
        <v>11</v>
      </c>
      <c r="AE715">
        <v>20000</v>
      </c>
      <c r="AF715" t="str">
        <f>IF(Table1[[#This Row],[What is your current CGPA?]]&gt;=3.5,"High",IF(Table1[[#This Row],[What is your current CGPA?]]&gt;=2.5,"Medium","Low"))</f>
        <v>Medium</v>
      </c>
      <c r="AG715" t="str">
        <f>IF(AND(Table1[[#This Row],[Average attendance on class]]&lt;75,Table1[[#This Row],[How many hour do you study daily?]]&lt;1),"At Risk","Normal")</f>
        <v>Normal</v>
      </c>
      <c r="AH715">
        <f>(Table1[[#This Row],[Average attendance on class]]*0.4)+(Table1[[#This Row],[How many hour do you study daily?]]*10*0.3)+(Table1[[#This Row],[How many hour do you spent daily on your skill development?]]*10*0.3)</f>
        <v>56</v>
      </c>
    </row>
    <row r="716" spans="1:34" x14ac:dyDescent="0.25">
      <c r="A716">
        <v>2018</v>
      </c>
      <c r="B716" t="s">
        <v>34</v>
      </c>
      <c r="C716">
        <v>25</v>
      </c>
      <c r="D716">
        <v>2016</v>
      </c>
      <c r="E716" t="s">
        <v>35</v>
      </c>
      <c r="F716">
        <v>12</v>
      </c>
      <c r="G716" t="s">
        <v>36</v>
      </c>
      <c r="H716" t="s">
        <v>37</v>
      </c>
      <c r="I716">
        <v>3</v>
      </c>
      <c r="J716">
        <v>2</v>
      </c>
      <c r="K716" t="s">
        <v>38</v>
      </c>
      <c r="L716" t="s">
        <v>36</v>
      </c>
      <c r="M716" t="s">
        <v>36</v>
      </c>
      <c r="N716">
        <v>2</v>
      </c>
      <c r="O716" t="s">
        <v>53</v>
      </c>
      <c r="P716">
        <v>90</v>
      </c>
      <c r="Q716" t="s">
        <v>37</v>
      </c>
      <c r="R716" t="s">
        <v>37</v>
      </c>
      <c r="S716" t="s">
        <v>37</v>
      </c>
      <c r="T716" t="s">
        <v>40</v>
      </c>
      <c r="U716">
        <v>2</v>
      </c>
      <c r="V716" t="s">
        <v>40</v>
      </c>
      <c r="W716" t="s">
        <v>42</v>
      </c>
      <c r="X716" t="s">
        <v>37</v>
      </c>
      <c r="Y716" t="s">
        <v>43</v>
      </c>
      <c r="Z716" t="s">
        <v>36</v>
      </c>
      <c r="AA716">
        <v>3.4</v>
      </c>
      <c r="AB716" t="s">
        <v>36</v>
      </c>
      <c r="AC716">
        <v>3.4</v>
      </c>
      <c r="AD716">
        <v>136</v>
      </c>
      <c r="AE716">
        <v>12000</v>
      </c>
      <c r="AF716" t="str">
        <f>IF(Table1[[#This Row],[What is your current CGPA?]]&gt;=3.5,"High",IF(Table1[[#This Row],[What is your current CGPA?]]&gt;=2.5,"Medium","Low"))</f>
        <v>Medium</v>
      </c>
      <c r="AG716" t="str">
        <f>IF(AND(Table1[[#This Row],[Average attendance on class]]&lt;75,Table1[[#This Row],[How many hour do you study daily?]]&lt;1),"At Risk","Normal")</f>
        <v>Normal</v>
      </c>
      <c r="AH716">
        <f>(Table1[[#This Row],[Average attendance on class]]*0.4)+(Table1[[#This Row],[How many hour do you study daily?]]*10*0.3)+(Table1[[#This Row],[How many hour do you spent daily on your skill development?]]*10*0.3)</f>
        <v>51</v>
      </c>
    </row>
    <row r="717" spans="1:34" x14ac:dyDescent="0.25">
      <c r="A717">
        <v>2019</v>
      </c>
      <c r="B717" t="s">
        <v>48</v>
      </c>
      <c r="C717">
        <v>22</v>
      </c>
      <c r="D717">
        <v>2017</v>
      </c>
      <c r="E717" t="s">
        <v>35</v>
      </c>
      <c r="F717">
        <v>11</v>
      </c>
      <c r="G717" t="s">
        <v>37</v>
      </c>
      <c r="H717" t="s">
        <v>37</v>
      </c>
      <c r="I717">
        <v>3</v>
      </c>
      <c r="J717">
        <v>1</v>
      </c>
      <c r="K717" t="s">
        <v>44</v>
      </c>
      <c r="L717" t="s">
        <v>36</v>
      </c>
      <c r="M717" t="s">
        <v>36</v>
      </c>
      <c r="N717">
        <v>5</v>
      </c>
      <c r="O717" t="s">
        <v>39</v>
      </c>
      <c r="P717">
        <v>90</v>
      </c>
      <c r="Q717" t="s">
        <v>37</v>
      </c>
      <c r="R717" t="s">
        <v>37</v>
      </c>
      <c r="S717" t="s">
        <v>37</v>
      </c>
      <c r="T717" t="s">
        <v>40</v>
      </c>
      <c r="U717">
        <v>2</v>
      </c>
      <c r="V717" t="s">
        <v>40</v>
      </c>
      <c r="W717" t="s">
        <v>42</v>
      </c>
      <c r="X717" t="s">
        <v>37</v>
      </c>
      <c r="Y717" t="s">
        <v>43</v>
      </c>
      <c r="Z717" t="s">
        <v>37</v>
      </c>
      <c r="AA717">
        <v>3.65</v>
      </c>
      <c r="AB717" t="s">
        <v>37</v>
      </c>
      <c r="AC717">
        <v>3.59</v>
      </c>
      <c r="AD717">
        <v>126</v>
      </c>
      <c r="AE717">
        <v>30000</v>
      </c>
      <c r="AF717" t="str">
        <f>IF(Table1[[#This Row],[What is your current CGPA?]]&gt;=3.5,"High",IF(Table1[[#This Row],[What is your current CGPA?]]&gt;=2.5,"Medium","Low"))</f>
        <v>High</v>
      </c>
      <c r="AG717" t="str">
        <f>IF(AND(Table1[[#This Row],[Average attendance on class]]&lt;75,Table1[[#This Row],[How many hour do you study daily?]]&lt;1),"At Risk","Normal")</f>
        <v>Normal</v>
      </c>
      <c r="AH717">
        <f>(Table1[[#This Row],[Average attendance on class]]*0.4)+(Table1[[#This Row],[How many hour do you study daily?]]*10*0.3)+(Table1[[#This Row],[How many hour do you spent daily on your skill development?]]*10*0.3)</f>
        <v>51</v>
      </c>
    </row>
    <row r="718" spans="1:34" x14ac:dyDescent="0.25">
      <c r="A718">
        <v>2020</v>
      </c>
      <c r="B718" t="s">
        <v>48</v>
      </c>
      <c r="C718">
        <v>21</v>
      </c>
      <c r="D718">
        <v>2019</v>
      </c>
      <c r="E718" t="s">
        <v>35</v>
      </c>
      <c r="F718">
        <v>8</v>
      </c>
      <c r="G718" t="s">
        <v>36</v>
      </c>
      <c r="H718" t="s">
        <v>36</v>
      </c>
      <c r="I718">
        <v>3</v>
      </c>
      <c r="J718">
        <v>2</v>
      </c>
      <c r="K718" t="s">
        <v>38</v>
      </c>
      <c r="L718" t="s">
        <v>36</v>
      </c>
      <c r="M718" t="s">
        <v>36</v>
      </c>
      <c r="N718">
        <v>4</v>
      </c>
      <c r="O718" t="s">
        <v>39</v>
      </c>
      <c r="P718">
        <v>94</v>
      </c>
      <c r="Q718" t="s">
        <v>37</v>
      </c>
      <c r="R718" t="s">
        <v>37</v>
      </c>
      <c r="S718" t="s">
        <v>37</v>
      </c>
      <c r="T718" t="s">
        <v>40</v>
      </c>
      <c r="U718">
        <v>2</v>
      </c>
      <c r="V718" t="s">
        <v>52</v>
      </c>
      <c r="W718" t="s">
        <v>42</v>
      </c>
      <c r="X718" t="s">
        <v>37</v>
      </c>
      <c r="Y718" t="s">
        <v>47</v>
      </c>
      <c r="Z718" t="s">
        <v>37</v>
      </c>
      <c r="AA718">
        <v>3.62</v>
      </c>
      <c r="AB718" t="s">
        <v>37</v>
      </c>
      <c r="AC718">
        <v>3.62</v>
      </c>
      <c r="AD718">
        <v>85</v>
      </c>
      <c r="AE718">
        <v>30000</v>
      </c>
      <c r="AF718" t="str">
        <f>IF(Table1[[#This Row],[What is your current CGPA?]]&gt;=3.5,"High",IF(Table1[[#This Row],[What is your current CGPA?]]&gt;=2.5,"Medium","Low"))</f>
        <v>High</v>
      </c>
      <c r="AG718" t="str">
        <f>IF(AND(Table1[[#This Row],[Average attendance on class]]&lt;75,Table1[[#This Row],[How many hour do you study daily?]]&lt;1),"At Risk","Normal")</f>
        <v>Normal</v>
      </c>
      <c r="AH718">
        <f>(Table1[[#This Row],[Average attendance on class]]*0.4)+(Table1[[#This Row],[How many hour do you study daily?]]*10*0.3)+(Table1[[#This Row],[How many hour do you spent daily on your skill development?]]*10*0.3)</f>
        <v>52.6</v>
      </c>
    </row>
    <row r="719" spans="1:34" x14ac:dyDescent="0.25">
      <c r="A719">
        <v>2019</v>
      </c>
      <c r="B719" t="s">
        <v>34</v>
      </c>
      <c r="C719">
        <v>20</v>
      </c>
      <c r="D719">
        <v>2018</v>
      </c>
      <c r="E719" t="s">
        <v>35</v>
      </c>
      <c r="F719">
        <v>9</v>
      </c>
      <c r="G719" t="s">
        <v>37</v>
      </c>
      <c r="H719" t="s">
        <v>36</v>
      </c>
      <c r="I719">
        <v>2</v>
      </c>
      <c r="J719">
        <v>2</v>
      </c>
      <c r="K719" t="s">
        <v>38</v>
      </c>
      <c r="L719" t="s">
        <v>36</v>
      </c>
      <c r="M719" t="s">
        <v>36</v>
      </c>
      <c r="N719">
        <v>1</v>
      </c>
      <c r="O719" t="s">
        <v>45</v>
      </c>
      <c r="P719">
        <v>90</v>
      </c>
      <c r="Q719" t="s">
        <v>37</v>
      </c>
      <c r="R719" t="s">
        <v>37</v>
      </c>
      <c r="S719" t="s">
        <v>37</v>
      </c>
      <c r="T719" t="s">
        <v>110</v>
      </c>
      <c r="U719">
        <v>1</v>
      </c>
      <c r="V719" t="s">
        <v>51</v>
      </c>
      <c r="W719" t="s">
        <v>42</v>
      </c>
      <c r="X719" t="s">
        <v>37</v>
      </c>
      <c r="Y719" t="s">
        <v>47</v>
      </c>
      <c r="Z719" t="s">
        <v>37</v>
      </c>
      <c r="AA719">
        <v>3.7</v>
      </c>
      <c r="AB719" t="s">
        <v>37</v>
      </c>
      <c r="AC719">
        <v>3.45</v>
      </c>
      <c r="AD719">
        <v>101</v>
      </c>
      <c r="AE719">
        <v>30000</v>
      </c>
      <c r="AF719" t="str">
        <f>IF(Table1[[#This Row],[What is your current CGPA?]]&gt;=3.5,"High",IF(Table1[[#This Row],[What is your current CGPA?]]&gt;=2.5,"Medium","Low"))</f>
        <v>Medium</v>
      </c>
      <c r="AG719" t="str">
        <f>IF(AND(Table1[[#This Row],[Average attendance on class]]&lt;75,Table1[[#This Row],[How many hour do you study daily?]]&lt;1),"At Risk","Normal")</f>
        <v>Normal</v>
      </c>
      <c r="AH719">
        <f>(Table1[[#This Row],[Average attendance on class]]*0.4)+(Table1[[#This Row],[How many hour do you study daily?]]*10*0.3)+(Table1[[#This Row],[How many hour do you spent daily on your skill development?]]*10*0.3)</f>
        <v>45</v>
      </c>
    </row>
    <row r="720" spans="1:34" x14ac:dyDescent="0.25">
      <c r="A720">
        <v>2020</v>
      </c>
      <c r="B720" t="s">
        <v>48</v>
      </c>
      <c r="C720">
        <v>21</v>
      </c>
      <c r="D720">
        <v>2019</v>
      </c>
      <c r="E720" t="s">
        <v>35</v>
      </c>
      <c r="F720">
        <v>7</v>
      </c>
      <c r="G720" t="s">
        <v>36</v>
      </c>
      <c r="H720" t="s">
        <v>36</v>
      </c>
      <c r="I720">
        <v>3</v>
      </c>
      <c r="J720">
        <v>2</v>
      </c>
      <c r="K720" t="s">
        <v>44</v>
      </c>
      <c r="L720" t="s">
        <v>36</v>
      </c>
      <c r="M720" t="s">
        <v>36</v>
      </c>
      <c r="N720">
        <v>2</v>
      </c>
      <c r="O720" t="s">
        <v>39</v>
      </c>
      <c r="P720">
        <v>95</v>
      </c>
      <c r="Q720" t="s">
        <v>37</v>
      </c>
      <c r="R720" t="s">
        <v>37</v>
      </c>
      <c r="S720" t="s">
        <v>36</v>
      </c>
      <c r="T720" t="s">
        <v>40</v>
      </c>
      <c r="U720">
        <v>1</v>
      </c>
      <c r="V720" t="s">
        <v>40</v>
      </c>
      <c r="W720" t="s">
        <v>42</v>
      </c>
      <c r="X720" t="s">
        <v>36</v>
      </c>
      <c r="Y720" t="s">
        <v>47</v>
      </c>
      <c r="Z720" t="s">
        <v>37</v>
      </c>
      <c r="AA720">
        <v>3.5</v>
      </c>
      <c r="AB720" t="s">
        <v>37</v>
      </c>
      <c r="AC720">
        <v>3.5</v>
      </c>
      <c r="AD720">
        <v>89</v>
      </c>
      <c r="AE720">
        <v>55000</v>
      </c>
      <c r="AF720" t="str">
        <f>IF(Table1[[#This Row],[What is your current CGPA?]]&gt;=3.5,"High",IF(Table1[[#This Row],[What is your current CGPA?]]&gt;=2.5,"Medium","Low"))</f>
        <v>High</v>
      </c>
      <c r="AG720" t="str">
        <f>IF(AND(Table1[[#This Row],[Average attendance on class]]&lt;75,Table1[[#This Row],[How many hour do you study daily?]]&lt;1),"At Risk","Normal")</f>
        <v>Normal</v>
      </c>
      <c r="AH720">
        <f>(Table1[[#This Row],[Average attendance on class]]*0.4)+(Table1[[#This Row],[How many hour do you study daily?]]*10*0.3)+(Table1[[#This Row],[How many hour do you spent daily on your skill development?]]*10*0.3)</f>
        <v>50</v>
      </c>
    </row>
    <row r="721" spans="1:34" x14ac:dyDescent="0.25">
      <c r="A721">
        <v>2022</v>
      </c>
      <c r="B721" t="s">
        <v>34</v>
      </c>
      <c r="C721">
        <v>21</v>
      </c>
      <c r="D721">
        <v>2020</v>
      </c>
      <c r="E721" t="s">
        <v>35</v>
      </c>
      <c r="F721">
        <v>2</v>
      </c>
      <c r="G721" t="s">
        <v>36</v>
      </c>
      <c r="H721" t="s">
        <v>36</v>
      </c>
      <c r="I721">
        <v>5</v>
      </c>
      <c r="J721">
        <v>2</v>
      </c>
      <c r="K721" t="s">
        <v>44</v>
      </c>
      <c r="L721" t="s">
        <v>36</v>
      </c>
      <c r="M721" t="s">
        <v>36</v>
      </c>
      <c r="N721">
        <v>3</v>
      </c>
      <c r="O721" t="s">
        <v>39</v>
      </c>
      <c r="P721">
        <v>100</v>
      </c>
      <c r="Q721" t="s">
        <v>37</v>
      </c>
      <c r="R721" t="s">
        <v>37</v>
      </c>
      <c r="S721" t="s">
        <v>36</v>
      </c>
      <c r="T721" t="s">
        <v>40</v>
      </c>
      <c r="U721">
        <v>4</v>
      </c>
      <c r="V721" t="s">
        <v>40</v>
      </c>
      <c r="W721" t="s">
        <v>42</v>
      </c>
      <c r="X721" t="s">
        <v>37</v>
      </c>
      <c r="Y721" t="s">
        <v>47</v>
      </c>
      <c r="Z721" t="s">
        <v>37</v>
      </c>
      <c r="AA721">
        <v>3.48</v>
      </c>
      <c r="AB721" t="s">
        <v>37</v>
      </c>
      <c r="AC721">
        <v>3.48</v>
      </c>
      <c r="AD721">
        <v>11</v>
      </c>
      <c r="AE721">
        <v>50000</v>
      </c>
      <c r="AF721" t="str">
        <f>IF(Table1[[#This Row],[What is your current CGPA?]]&gt;=3.5,"High",IF(Table1[[#This Row],[What is your current CGPA?]]&gt;=2.5,"Medium","Low"))</f>
        <v>Medium</v>
      </c>
      <c r="AG721" t="str">
        <f>IF(AND(Table1[[#This Row],[Average attendance on class]]&lt;75,Table1[[#This Row],[How many hour do you study daily?]]&lt;1),"At Risk","Normal")</f>
        <v>Normal</v>
      </c>
      <c r="AH721">
        <f>(Table1[[#This Row],[Average attendance on class]]*0.4)+(Table1[[#This Row],[How many hour do you study daily?]]*10*0.3)+(Table1[[#This Row],[How many hour do you spent daily on your skill development?]]*10*0.3)</f>
        <v>67</v>
      </c>
    </row>
    <row r="722" spans="1:34" x14ac:dyDescent="0.25">
      <c r="A722">
        <v>2019</v>
      </c>
      <c r="B722" t="s">
        <v>34</v>
      </c>
      <c r="C722">
        <v>22</v>
      </c>
      <c r="D722">
        <v>2018</v>
      </c>
      <c r="E722" t="s">
        <v>35</v>
      </c>
      <c r="F722">
        <v>10</v>
      </c>
      <c r="G722" t="s">
        <v>37</v>
      </c>
      <c r="H722" t="s">
        <v>37</v>
      </c>
      <c r="I722">
        <v>3</v>
      </c>
      <c r="J722">
        <v>2</v>
      </c>
      <c r="K722" t="s">
        <v>38</v>
      </c>
      <c r="L722" t="s">
        <v>36</v>
      </c>
      <c r="M722" t="s">
        <v>37</v>
      </c>
      <c r="N722">
        <v>3</v>
      </c>
      <c r="O722" t="s">
        <v>39</v>
      </c>
      <c r="P722">
        <v>100</v>
      </c>
      <c r="Q722" t="s">
        <v>37</v>
      </c>
      <c r="R722" t="s">
        <v>37</v>
      </c>
      <c r="S722" t="s">
        <v>36</v>
      </c>
      <c r="T722" t="s">
        <v>51</v>
      </c>
      <c r="U722">
        <v>2</v>
      </c>
      <c r="V722" t="s">
        <v>51</v>
      </c>
      <c r="W722" t="s">
        <v>50</v>
      </c>
      <c r="X722" t="s">
        <v>36</v>
      </c>
      <c r="Y722" t="s">
        <v>43</v>
      </c>
      <c r="Z722" t="s">
        <v>37</v>
      </c>
      <c r="AA722">
        <v>3.01</v>
      </c>
      <c r="AB722" t="s">
        <v>37</v>
      </c>
      <c r="AC722">
        <v>2.92</v>
      </c>
      <c r="AD722">
        <v>112</v>
      </c>
      <c r="AE722">
        <v>50000</v>
      </c>
      <c r="AF722" t="str">
        <f>IF(Table1[[#This Row],[What is your current CGPA?]]&gt;=3.5,"High",IF(Table1[[#This Row],[What is your current CGPA?]]&gt;=2.5,"Medium","Low"))</f>
        <v>Medium</v>
      </c>
      <c r="AG722" t="str">
        <f>IF(AND(Table1[[#This Row],[Average attendance on class]]&lt;75,Table1[[#This Row],[How many hour do you study daily?]]&lt;1),"At Risk","Normal")</f>
        <v>Normal</v>
      </c>
      <c r="AH722">
        <f>(Table1[[#This Row],[Average attendance on class]]*0.4)+(Table1[[#This Row],[How many hour do you study daily?]]*10*0.3)+(Table1[[#This Row],[How many hour do you spent daily on your skill development?]]*10*0.3)</f>
        <v>55</v>
      </c>
    </row>
    <row r="723" spans="1:34" x14ac:dyDescent="0.25">
      <c r="A723">
        <v>2018</v>
      </c>
      <c r="B723" t="s">
        <v>34</v>
      </c>
      <c r="C723">
        <v>25</v>
      </c>
      <c r="D723">
        <v>2016</v>
      </c>
      <c r="E723" t="s">
        <v>35</v>
      </c>
      <c r="F723">
        <v>11</v>
      </c>
      <c r="G723" t="s">
        <v>36</v>
      </c>
      <c r="H723" t="s">
        <v>36</v>
      </c>
      <c r="I723">
        <v>4</v>
      </c>
      <c r="J723">
        <v>2</v>
      </c>
      <c r="K723" t="s">
        <v>38</v>
      </c>
      <c r="L723" t="s">
        <v>36</v>
      </c>
      <c r="M723" t="s">
        <v>36</v>
      </c>
      <c r="N723">
        <v>3</v>
      </c>
      <c r="O723" t="s">
        <v>39</v>
      </c>
      <c r="P723">
        <v>100</v>
      </c>
      <c r="Q723" t="s">
        <v>37</v>
      </c>
      <c r="R723" t="s">
        <v>37</v>
      </c>
      <c r="S723" t="s">
        <v>36</v>
      </c>
      <c r="T723" t="s">
        <v>40</v>
      </c>
      <c r="U723">
        <v>2</v>
      </c>
      <c r="V723" t="s">
        <v>40</v>
      </c>
      <c r="W723" t="s">
        <v>42</v>
      </c>
      <c r="X723" t="s">
        <v>36</v>
      </c>
      <c r="Y723" t="s">
        <v>47</v>
      </c>
      <c r="Z723" t="s">
        <v>37</v>
      </c>
      <c r="AA723">
        <v>3.86</v>
      </c>
      <c r="AB723" t="s">
        <v>37</v>
      </c>
      <c r="AC723">
        <v>3.56</v>
      </c>
      <c r="AD723">
        <v>129</v>
      </c>
      <c r="AE723">
        <v>60000</v>
      </c>
      <c r="AF723" t="str">
        <f>IF(Table1[[#This Row],[What is your current CGPA?]]&gt;=3.5,"High",IF(Table1[[#This Row],[What is your current CGPA?]]&gt;=2.5,"Medium","Low"))</f>
        <v>High</v>
      </c>
      <c r="AG723" t="str">
        <f>IF(AND(Table1[[#This Row],[Average attendance on class]]&lt;75,Table1[[#This Row],[How many hour do you study daily?]]&lt;1),"At Risk","Normal")</f>
        <v>Normal</v>
      </c>
      <c r="AH723">
        <f>(Table1[[#This Row],[Average attendance on class]]*0.4)+(Table1[[#This Row],[How many hour do you study daily?]]*10*0.3)+(Table1[[#This Row],[How many hour do you spent daily on your skill development?]]*10*0.3)</f>
        <v>58</v>
      </c>
    </row>
    <row r="724" spans="1:34" x14ac:dyDescent="0.25">
      <c r="A724">
        <v>2019</v>
      </c>
      <c r="B724" t="s">
        <v>34</v>
      </c>
      <c r="C724">
        <v>23</v>
      </c>
      <c r="D724">
        <v>2017</v>
      </c>
      <c r="E724" t="s">
        <v>35</v>
      </c>
      <c r="F724">
        <v>10</v>
      </c>
      <c r="G724" t="s">
        <v>36</v>
      </c>
      <c r="H724" t="s">
        <v>36</v>
      </c>
      <c r="I724">
        <v>4</v>
      </c>
      <c r="J724">
        <v>4</v>
      </c>
      <c r="K724" t="s">
        <v>44</v>
      </c>
      <c r="L724" t="s">
        <v>36</v>
      </c>
      <c r="M724" t="s">
        <v>36</v>
      </c>
      <c r="N724">
        <v>10</v>
      </c>
      <c r="O724" t="s">
        <v>39</v>
      </c>
      <c r="P724">
        <v>98</v>
      </c>
      <c r="Q724" t="s">
        <v>37</v>
      </c>
      <c r="R724" t="s">
        <v>37</v>
      </c>
      <c r="S724" t="s">
        <v>36</v>
      </c>
      <c r="T724" t="s">
        <v>40</v>
      </c>
      <c r="U724">
        <v>2</v>
      </c>
      <c r="V724" t="s">
        <v>40</v>
      </c>
      <c r="W724" t="s">
        <v>50</v>
      </c>
      <c r="X724" t="s">
        <v>37</v>
      </c>
      <c r="Y724" t="s">
        <v>47</v>
      </c>
      <c r="Z724" t="s">
        <v>37</v>
      </c>
      <c r="AA724">
        <v>3.38</v>
      </c>
      <c r="AB724" t="s">
        <v>37</v>
      </c>
      <c r="AC724">
        <v>3.81</v>
      </c>
      <c r="AD724">
        <v>117</v>
      </c>
      <c r="AE724">
        <v>15000</v>
      </c>
      <c r="AF724" t="str">
        <f>IF(Table1[[#This Row],[What is your current CGPA?]]&gt;=3.5,"High",IF(Table1[[#This Row],[What is your current CGPA?]]&gt;=2.5,"Medium","Low"))</f>
        <v>High</v>
      </c>
      <c r="AG724" t="str">
        <f>IF(AND(Table1[[#This Row],[Average attendance on class]]&lt;75,Table1[[#This Row],[How many hour do you study daily?]]&lt;1),"At Risk","Normal")</f>
        <v>Normal</v>
      </c>
      <c r="AH724">
        <f>(Table1[[#This Row],[Average attendance on class]]*0.4)+(Table1[[#This Row],[How many hour do you study daily?]]*10*0.3)+(Table1[[#This Row],[How many hour do you spent daily on your skill development?]]*10*0.3)</f>
        <v>57.2</v>
      </c>
    </row>
    <row r="725" spans="1:34" x14ac:dyDescent="0.25">
      <c r="A725">
        <v>2020</v>
      </c>
      <c r="B725" t="s">
        <v>48</v>
      </c>
      <c r="C725">
        <v>22</v>
      </c>
      <c r="D725">
        <v>2019</v>
      </c>
      <c r="E725" t="s">
        <v>35</v>
      </c>
      <c r="F725">
        <v>8</v>
      </c>
      <c r="G725" t="s">
        <v>36</v>
      </c>
      <c r="H725" t="s">
        <v>36</v>
      </c>
      <c r="I725">
        <v>5</v>
      </c>
      <c r="J725">
        <v>1</v>
      </c>
      <c r="K725" t="s">
        <v>38</v>
      </c>
      <c r="L725" t="s">
        <v>36</v>
      </c>
      <c r="M725" t="s">
        <v>36</v>
      </c>
      <c r="N725">
        <v>2</v>
      </c>
      <c r="O725" t="s">
        <v>39</v>
      </c>
      <c r="P725">
        <v>90</v>
      </c>
      <c r="Q725" t="s">
        <v>37</v>
      </c>
      <c r="R725" t="s">
        <v>37</v>
      </c>
      <c r="S725" t="s">
        <v>36</v>
      </c>
      <c r="T725" t="s">
        <v>40</v>
      </c>
      <c r="U725">
        <v>1</v>
      </c>
      <c r="V725" t="s">
        <v>40</v>
      </c>
      <c r="W725" t="s">
        <v>56</v>
      </c>
      <c r="X725" t="s">
        <v>37</v>
      </c>
      <c r="Y725" t="s">
        <v>47</v>
      </c>
      <c r="Z725" t="s">
        <v>37</v>
      </c>
      <c r="AA725">
        <v>3.07</v>
      </c>
      <c r="AB725" t="s">
        <v>37</v>
      </c>
      <c r="AC725">
        <v>3.42</v>
      </c>
      <c r="AD725">
        <v>75</v>
      </c>
      <c r="AE725">
        <v>500000</v>
      </c>
      <c r="AF725" t="str">
        <f>IF(Table1[[#This Row],[What is your current CGPA?]]&gt;=3.5,"High",IF(Table1[[#This Row],[What is your current CGPA?]]&gt;=2.5,"Medium","Low"))</f>
        <v>Medium</v>
      </c>
      <c r="AG725" t="str">
        <f>IF(AND(Table1[[#This Row],[Average attendance on class]]&lt;75,Table1[[#This Row],[How many hour do you study daily?]]&lt;1),"At Risk","Normal")</f>
        <v>Normal</v>
      </c>
      <c r="AH725">
        <f>(Table1[[#This Row],[Average attendance on class]]*0.4)+(Table1[[#This Row],[How many hour do you study daily?]]*10*0.3)+(Table1[[#This Row],[How many hour do you spent daily on your skill development?]]*10*0.3)</f>
        <v>54</v>
      </c>
    </row>
    <row r="726" spans="1:34" x14ac:dyDescent="0.25">
      <c r="A726">
        <v>2019</v>
      </c>
      <c r="B726" t="s">
        <v>48</v>
      </c>
      <c r="C726">
        <v>23</v>
      </c>
      <c r="D726">
        <v>2017</v>
      </c>
      <c r="E726" t="s">
        <v>35</v>
      </c>
      <c r="F726">
        <v>11</v>
      </c>
      <c r="G726" t="s">
        <v>36</v>
      </c>
      <c r="H726" t="s">
        <v>36</v>
      </c>
      <c r="I726">
        <v>3</v>
      </c>
      <c r="J726">
        <v>2</v>
      </c>
      <c r="K726" t="s">
        <v>38</v>
      </c>
      <c r="L726" t="s">
        <v>36</v>
      </c>
      <c r="M726" t="s">
        <v>36</v>
      </c>
      <c r="N726">
        <v>5</v>
      </c>
      <c r="O726" t="s">
        <v>39</v>
      </c>
      <c r="P726">
        <v>96</v>
      </c>
      <c r="Q726" t="s">
        <v>37</v>
      </c>
      <c r="R726" t="s">
        <v>37</v>
      </c>
      <c r="S726" t="s">
        <v>37</v>
      </c>
      <c r="T726" t="s">
        <v>40</v>
      </c>
      <c r="U726">
        <v>3</v>
      </c>
      <c r="V726" t="s">
        <v>51</v>
      </c>
      <c r="W726" t="s">
        <v>42</v>
      </c>
      <c r="X726" t="s">
        <v>37</v>
      </c>
      <c r="Y726" t="s">
        <v>47</v>
      </c>
      <c r="Z726" t="s">
        <v>37</v>
      </c>
      <c r="AA726">
        <v>3.59</v>
      </c>
      <c r="AB726" t="s">
        <v>37</v>
      </c>
      <c r="AC726">
        <v>3.56</v>
      </c>
      <c r="AD726">
        <v>119</v>
      </c>
      <c r="AE726">
        <v>20000</v>
      </c>
      <c r="AF726" t="str">
        <f>IF(Table1[[#This Row],[What is your current CGPA?]]&gt;=3.5,"High",IF(Table1[[#This Row],[What is your current CGPA?]]&gt;=2.5,"Medium","Low"))</f>
        <v>High</v>
      </c>
      <c r="AG726" t="str">
        <f>IF(AND(Table1[[#This Row],[Average attendance on class]]&lt;75,Table1[[#This Row],[How many hour do you study daily?]]&lt;1),"At Risk","Normal")</f>
        <v>Normal</v>
      </c>
      <c r="AH726">
        <f>(Table1[[#This Row],[Average attendance on class]]*0.4)+(Table1[[#This Row],[How many hour do you study daily?]]*10*0.3)+(Table1[[#This Row],[How many hour do you spent daily on your skill development?]]*10*0.3)</f>
        <v>56.400000000000006</v>
      </c>
    </row>
    <row r="727" spans="1:34" x14ac:dyDescent="0.25">
      <c r="A727">
        <v>2019</v>
      </c>
      <c r="B727" t="s">
        <v>34</v>
      </c>
      <c r="C727">
        <v>25</v>
      </c>
      <c r="D727">
        <v>2017</v>
      </c>
      <c r="E727" t="s">
        <v>35</v>
      </c>
      <c r="F727">
        <v>11</v>
      </c>
      <c r="G727" t="s">
        <v>37</v>
      </c>
      <c r="H727" t="s">
        <v>37</v>
      </c>
      <c r="I727">
        <v>2</v>
      </c>
      <c r="J727">
        <v>1</v>
      </c>
      <c r="K727" t="s">
        <v>38</v>
      </c>
      <c r="L727" t="s">
        <v>36</v>
      </c>
      <c r="M727" t="s">
        <v>36</v>
      </c>
      <c r="N727">
        <v>6</v>
      </c>
      <c r="O727" t="s">
        <v>39</v>
      </c>
      <c r="P727">
        <v>90</v>
      </c>
      <c r="Q727" t="s">
        <v>37</v>
      </c>
      <c r="R727" t="s">
        <v>37</v>
      </c>
      <c r="S727" t="s">
        <v>36</v>
      </c>
      <c r="T727" t="s">
        <v>40</v>
      </c>
      <c r="U727">
        <v>4</v>
      </c>
      <c r="V727" t="s">
        <v>40</v>
      </c>
      <c r="W727" t="s">
        <v>42</v>
      </c>
      <c r="X727" t="s">
        <v>36</v>
      </c>
      <c r="Y727" t="s">
        <v>43</v>
      </c>
      <c r="Z727" t="s">
        <v>37</v>
      </c>
      <c r="AA727">
        <v>2.59</v>
      </c>
      <c r="AB727" t="s">
        <v>37</v>
      </c>
      <c r="AC727">
        <v>3.06</v>
      </c>
      <c r="AD727">
        <v>130</v>
      </c>
      <c r="AE727">
        <v>50000</v>
      </c>
      <c r="AF727" t="str">
        <f>IF(Table1[[#This Row],[What is your current CGPA?]]&gt;=3.5,"High",IF(Table1[[#This Row],[What is your current CGPA?]]&gt;=2.5,"Medium","Low"))</f>
        <v>Medium</v>
      </c>
      <c r="AG727" t="str">
        <f>IF(AND(Table1[[#This Row],[Average attendance on class]]&lt;75,Table1[[#This Row],[How many hour do you study daily?]]&lt;1),"At Risk","Normal")</f>
        <v>Normal</v>
      </c>
      <c r="AH727">
        <f>(Table1[[#This Row],[Average attendance on class]]*0.4)+(Table1[[#This Row],[How many hour do you study daily?]]*10*0.3)+(Table1[[#This Row],[How many hour do you spent daily on your skill development?]]*10*0.3)</f>
        <v>54</v>
      </c>
    </row>
    <row r="728" spans="1:34" x14ac:dyDescent="0.25">
      <c r="A728">
        <v>2019</v>
      </c>
      <c r="B728" t="s">
        <v>34</v>
      </c>
      <c r="C728">
        <v>23</v>
      </c>
      <c r="D728">
        <v>2018</v>
      </c>
      <c r="E728" t="s">
        <v>35</v>
      </c>
      <c r="F728">
        <v>11</v>
      </c>
      <c r="G728" t="s">
        <v>37</v>
      </c>
      <c r="H728" t="s">
        <v>37</v>
      </c>
      <c r="I728">
        <v>2</v>
      </c>
      <c r="J728">
        <v>3</v>
      </c>
      <c r="K728" t="s">
        <v>38</v>
      </c>
      <c r="L728" t="s">
        <v>36</v>
      </c>
      <c r="M728" t="s">
        <v>36</v>
      </c>
      <c r="N728">
        <v>2</v>
      </c>
      <c r="O728" t="s">
        <v>39</v>
      </c>
      <c r="P728">
        <v>99</v>
      </c>
      <c r="Q728" t="s">
        <v>36</v>
      </c>
      <c r="R728" t="s">
        <v>37</v>
      </c>
      <c r="S728" t="s">
        <v>37</v>
      </c>
      <c r="T728" t="s">
        <v>40</v>
      </c>
      <c r="U728">
        <v>0</v>
      </c>
      <c r="V728" t="s">
        <v>59</v>
      </c>
      <c r="W728" t="s">
        <v>42</v>
      </c>
      <c r="X728" t="s">
        <v>37</v>
      </c>
      <c r="Y728" t="s">
        <v>43</v>
      </c>
      <c r="Z728" t="s">
        <v>37</v>
      </c>
      <c r="AA728">
        <v>3.3</v>
      </c>
      <c r="AB728" t="s">
        <v>37</v>
      </c>
      <c r="AC728">
        <v>3.24</v>
      </c>
      <c r="AD728">
        <v>130</v>
      </c>
      <c r="AE728">
        <v>15000</v>
      </c>
      <c r="AF728" t="str">
        <f>IF(Table1[[#This Row],[What is your current CGPA?]]&gt;=3.5,"High",IF(Table1[[#This Row],[What is your current CGPA?]]&gt;=2.5,"Medium","Low"))</f>
        <v>Medium</v>
      </c>
      <c r="AG728" t="str">
        <f>IF(AND(Table1[[#This Row],[Average attendance on class]]&lt;75,Table1[[#This Row],[How many hour do you study daily?]]&lt;1),"At Risk","Normal")</f>
        <v>Normal</v>
      </c>
      <c r="AH728">
        <f>(Table1[[#This Row],[Average attendance on class]]*0.4)+(Table1[[#This Row],[How many hour do you study daily?]]*10*0.3)+(Table1[[#This Row],[How many hour do you spent daily on your skill development?]]*10*0.3)</f>
        <v>45.6</v>
      </c>
    </row>
    <row r="729" spans="1:34" x14ac:dyDescent="0.25">
      <c r="A729">
        <v>2019</v>
      </c>
      <c r="B729" t="s">
        <v>48</v>
      </c>
      <c r="C729">
        <v>22</v>
      </c>
      <c r="D729">
        <v>2018</v>
      </c>
      <c r="E729" t="s">
        <v>35</v>
      </c>
      <c r="F729">
        <v>11</v>
      </c>
      <c r="G729" t="s">
        <v>36</v>
      </c>
      <c r="H729" t="s">
        <v>36</v>
      </c>
      <c r="I729">
        <v>4</v>
      </c>
      <c r="J729">
        <v>4</v>
      </c>
      <c r="K729" t="s">
        <v>38</v>
      </c>
      <c r="L729" t="s">
        <v>36</v>
      </c>
      <c r="M729" t="s">
        <v>36</v>
      </c>
      <c r="N729">
        <v>10</v>
      </c>
      <c r="O729" t="s">
        <v>39</v>
      </c>
      <c r="P729">
        <v>99</v>
      </c>
      <c r="Q729" t="s">
        <v>37</v>
      </c>
      <c r="R729" t="s">
        <v>37</v>
      </c>
      <c r="S729" t="s">
        <v>36</v>
      </c>
      <c r="T729" t="s">
        <v>40</v>
      </c>
      <c r="U729">
        <v>2</v>
      </c>
      <c r="V729" t="s">
        <v>51</v>
      </c>
      <c r="W729" t="s">
        <v>42</v>
      </c>
      <c r="X729" t="s">
        <v>36</v>
      </c>
      <c r="Y729" t="s">
        <v>47</v>
      </c>
      <c r="Z729" t="s">
        <v>37</v>
      </c>
      <c r="AA729">
        <v>3.72</v>
      </c>
      <c r="AB729" t="s">
        <v>37</v>
      </c>
      <c r="AC729">
        <v>3.78</v>
      </c>
      <c r="AD729">
        <v>127</v>
      </c>
      <c r="AE729">
        <v>62488</v>
      </c>
      <c r="AF729" t="str">
        <f>IF(Table1[[#This Row],[What is your current CGPA?]]&gt;=3.5,"High",IF(Table1[[#This Row],[What is your current CGPA?]]&gt;=2.5,"Medium","Low"))</f>
        <v>High</v>
      </c>
      <c r="AG729" t="str">
        <f>IF(AND(Table1[[#This Row],[Average attendance on class]]&lt;75,Table1[[#This Row],[How many hour do you study daily?]]&lt;1),"At Risk","Normal")</f>
        <v>Normal</v>
      </c>
      <c r="AH729">
        <f>(Table1[[#This Row],[Average attendance on class]]*0.4)+(Table1[[#This Row],[How many hour do you study daily?]]*10*0.3)+(Table1[[#This Row],[How many hour do you spent daily on your skill development?]]*10*0.3)</f>
        <v>57.6</v>
      </c>
    </row>
    <row r="730" spans="1:34" x14ac:dyDescent="0.25">
      <c r="A730">
        <v>2022</v>
      </c>
      <c r="B730" t="s">
        <v>34</v>
      </c>
      <c r="C730">
        <v>19</v>
      </c>
      <c r="D730">
        <v>2020</v>
      </c>
      <c r="E730" t="s">
        <v>35</v>
      </c>
      <c r="F730">
        <v>1</v>
      </c>
      <c r="G730" t="s">
        <v>36</v>
      </c>
      <c r="H730" t="s">
        <v>36</v>
      </c>
      <c r="I730">
        <v>3</v>
      </c>
      <c r="J730">
        <v>2</v>
      </c>
      <c r="K730" t="s">
        <v>38</v>
      </c>
      <c r="L730" t="s">
        <v>36</v>
      </c>
      <c r="M730" t="s">
        <v>36</v>
      </c>
      <c r="N730">
        <v>2</v>
      </c>
      <c r="O730" t="s">
        <v>45</v>
      </c>
      <c r="P730">
        <v>100</v>
      </c>
      <c r="Q730" t="s">
        <v>37</v>
      </c>
      <c r="R730" t="s">
        <v>37</v>
      </c>
      <c r="S730" t="s">
        <v>36</v>
      </c>
      <c r="T730" t="s">
        <v>40</v>
      </c>
      <c r="U730">
        <v>1</v>
      </c>
      <c r="V730" t="s">
        <v>40</v>
      </c>
      <c r="W730" t="s">
        <v>42</v>
      </c>
      <c r="X730" t="s">
        <v>37</v>
      </c>
      <c r="Y730" t="s">
        <v>47</v>
      </c>
      <c r="Z730" t="s">
        <v>37</v>
      </c>
      <c r="AA730">
        <v>3.9</v>
      </c>
      <c r="AB730" t="s">
        <v>37</v>
      </c>
      <c r="AC730">
        <v>3.9</v>
      </c>
      <c r="AD730">
        <v>11</v>
      </c>
      <c r="AE730">
        <v>40000</v>
      </c>
      <c r="AF730" t="str">
        <f>IF(Table1[[#This Row],[What is your current CGPA?]]&gt;=3.5,"High",IF(Table1[[#This Row],[What is your current CGPA?]]&gt;=2.5,"Medium","Low"))</f>
        <v>High</v>
      </c>
      <c r="AG730" t="str">
        <f>IF(AND(Table1[[#This Row],[Average attendance on class]]&lt;75,Table1[[#This Row],[How many hour do you study daily?]]&lt;1),"At Risk","Normal")</f>
        <v>Normal</v>
      </c>
      <c r="AH730">
        <f>(Table1[[#This Row],[Average attendance on class]]*0.4)+(Table1[[#This Row],[How many hour do you study daily?]]*10*0.3)+(Table1[[#This Row],[How many hour do you spent daily on your skill development?]]*10*0.3)</f>
        <v>52</v>
      </c>
    </row>
    <row r="731" spans="1:34" x14ac:dyDescent="0.25">
      <c r="A731">
        <v>2018</v>
      </c>
      <c r="B731" t="s">
        <v>34</v>
      </c>
      <c r="C731">
        <v>23</v>
      </c>
      <c r="D731">
        <v>2016</v>
      </c>
      <c r="E731" t="s">
        <v>35</v>
      </c>
      <c r="F731">
        <v>13</v>
      </c>
      <c r="G731" t="s">
        <v>37</v>
      </c>
      <c r="H731" t="s">
        <v>37</v>
      </c>
      <c r="I731">
        <v>2</v>
      </c>
      <c r="J731">
        <v>2</v>
      </c>
      <c r="K731" t="s">
        <v>38</v>
      </c>
      <c r="L731" t="s">
        <v>36</v>
      </c>
      <c r="M731" t="s">
        <v>36</v>
      </c>
      <c r="N731">
        <v>5</v>
      </c>
      <c r="O731" t="s">
        <v>45</v>
      </c>
      <c r="P731">
        <v>75</v>
      </c>
      <c r="Q731" t="s">
        <v>36</v>
      </c>
      <c r="R731" t="s">
        <v>36</v>
      </c>
      <c r="S731" t="s">
        <v>36</v>
      </c>
      <c r="T731" t="s">
        <v>40</v>
      </c>
      <c r="U731">
        <v>1</v>
      </c>
      <c r="V731" t="s">
        <v>59</v>
      </c>
      <c r="W731" t="s">
        <v>42</v>
      </c>
      <c r="X731" t="s">
        <v>36</v>
      </c>
      <c r="Y731" t="s">
        <v>43</v>
      </c>
      <c r="Z731" t="s">
        <v>37</v>
      </c>
      <c r="AA731">
        <v>2.5499999999999998</v>
      </c>
      <c r="AB731" t="s">
        <v>37</v>
      </c>
      <c r="AC731">
        <v>2.65</v>
      </c>
      <c r="AD731">
        <v>120</v>
      </c>
      <c r="AE731">
        <v>20000</v>
      </c>
      <c r="AF731" t="str">
        <f>IF(Table1[[#This Row],[What is your current CGPA?]]&gt;=3.5,"High",IF(Table1[[#This Row],[What is your current CGPA?]]&gt;=2.5,"Medium","Low"))</f>
        <v>Medium</v>
      </c>
      <c r="AG731" t="str">
        <f>IF(AND(Table1[[#This Row],[Average attendance on class]]&lt;75,Table1[[#This Row],[How many hour do you study daily?]]&lt;1),"At Risk","Normal")</f>
        <v>Normal</v>
      </c>
      <c r="AH731">
        <f>(Table1[[#This Row],[Average attendance on class]]*0.4)+(Table1[[#This Row],[How many hour do you study daily?]]*10*0.3)+(Table1[[#This Row],[How many hour do you spent daily on your skill development?]]*10*0.3)</f>
        <v>39</v>
      </c>
    </row>
    <row r="732" spans="1:34" x14ac:dyDescent="0.25">
      <c r="A732">
        <v>2021</v>
      </c>
      <c r="B732" t="s">
        <v>34</v>
      </c>
      <c r="C732">
        <v>20</v>
      </c>
      <c r="D732">
        <v>2020</v>
      </c>
      <c r="E732" t="s">
        <v>35</v>
      </c>
      <c r="F732">
        <v>4</v>
      </c>
      <c r="G732" t="s">
        <v>36</v>
      </c>
      <c r="H732" t="s">
        <v>37</v>
      </c>
      <c r="I732">
        <v>4</v>
      </c>
      <c r="J732">
        <v>2</v>
      </c>
      <c r="K732" t="s">
        <v>38</v>
      </c>
      <c r="L732" t="s">
        <v>36</v>
      </c>
      <c r="M732" t="s">
        <v>36</v>
      </c>
      <c r="N732">
        <v>2</v>
      </c>
      <c r="O732" t="s">
        <v>45</v>
      </c>
      <c r="P732">
        <v>85</v>
      </c>
      <c r="Q732" t="s">
        <v>37</v>
      </c>
      <c r="R732" t="s">
        <v>37</v>
      </c>
      <c r="S732" t="s">
        <v>37</v>
      </c>
      <c r="T732" t="s">
        <v>40</v>
      </c>
      <c r="U732">
        <v>3</v>
      </c>
      <c r="V732" t="s">
        <v>40</v>
      </c>
      <c r="W732" t="s">
        <v>42</v>
      </c>
      <c r="X732" t="s">
        <v>37</v>
      </c>
      <c r="Y732" t="s">
        <v>43</v>
      </c>
      <c r="Z732" t="s">
        <v>37</v>
      </c>
      <c r="AA732">
        <v>3</v>
      </c>
      <c r="AB732" t="s">
        <v>37</v>
      </c>
      <c r="AC732">
        <v>2.8</v>
      </c>
      <c r="AD732">
        <v>36</v>
      </c>
      <c r="AE732">
        <v>20000</v>
      </c>
      <c r="AF732" t="str">
        <f>IF(Table1[[#This Row],[What is your current CGPA?]]&gt;=3.5,"High",IF(Table1[[#This Row],[What is your current CGPA?]]&gt;=2.5,"Medium","Low"))</f>
        <v>Medium</v>
      </c>
      <c r="AG732" t="str">
        <f>IF(AND(Table1[[#This Row],[Average attendance on class]]&lt;75,Table1[[#This Row],[How many hour do you study daily?]]&lt;1),"At Risk","Normal")</f>
        <v>Normal</v>
      </c>
      <c r="AH732">
        <f>(Table1[[#This Row],[Average attendance on class]]*0.4)+(Table1[[#This Row],[How many hour do you study daily?]]*10*0.3)+(Table1[[#This Row],[How many hour do you spent daily on your skill development?]]*10*0.3)</f>
        <v>55</v>
      </c>
    </row>
    <row r="733" spans="1:34" x14ac:dyDescent="0.25">
      <c r="A733">
        <v>2021</v>
      </c>
      <c r="B733" t="s">
        <v>34</v>
      </c>
      <c r="C733">
        <v>22</v>
      </c>
      <c r="D733">
        <v>2021</v>
      </c>
      <c r="E733" t="s">
        <v>35</v>
      </c>
      <c r="F733">
        <v>4</v>
      </c>
      <c r="G733" t="s">
        <v>36</v>
      </c>
      <c r="H733" t="s">
        <v>37</v>
      </c>
      <c r="I733">
        <v>4</v>
      </c>
      <c r="J733">
        <v>2</v>
      </c>
      <c r="K733" t="s">
        <v>44</v>
      </c>
      <c r="L733" t="s">
        <v>36</v>
      </c>
      <c r="M733" t="s">
        <v>36</v>
      </c>
      <c r="N733">
        <v>2</v>
      </c>
      <c r="O733" t="s">
        <v>45</v>
      </c>
      <c r="P733">
        <v>80</v>
      </c>
      <c r="Q733" t="s">
        <v>36</v>
      </c>
      <c r="R733" t="s">
        <v>37</v>
      </c>
      <c r="S733" t="s">
        <v>36</v>
      </c>
      <c r="T733" t="s">
        <v>40</v>
      </c>
      <c r="U733">
        <v>1</v>
      </c>
      <c r="V733" t="s">
        <v>40</v>
      </c>
      <c r="W733" t="s">
        <v>42</v>
      </c>
      <c r="X733" t="s">
        <v>37</v>
      </c>
      <c r="Y733" t="s">
        <v>43</v>
      </c>
      <c r="Z733" t="s">
        <v>37</v>
      </c>
      <c r="AA733">
        <v>2</v>
      </c>
      <c r="AB733" t="s">
        <v>37</v>
      </c>
      <c r="AC733">
        <v>2.59</v>
      </c>
      <c r="AD733">
        <v>24</v>
      </c>
      <c r="AE733">
        <v>25000</v>
      </c>
      <c r="AF733" t="str">
        <f>IF(Table1[[#This Row],[What is your current CGPA?]]&gt;=3.5,"High",IF(Table1[[#This Row],[What is your current CGPA?]]&gt;=2.5,"Medium","Low"))</f>
        <v>Medium</v>
      </c>
      <c r="AG733" t="str">
        <f>IF(AND(Table1[[#This Row],[Average attendance on class]]&lt;75,Table1[[#This Row],[How many hour do you study daily?]]&lt;1),"At Risk","Normal")</f>
        <v>Normal</v>
      </c>
      <c r="AH733">
        <f>(Table1[[#This Row],[Average attendance on class]]*0.4)+(Table1[[#This Row],[How many hour do you study daily?]]*10*0.3)+(Table1[[#This Row],[How many hour do you spent daily on your skill development?]]*10*0.3)</f>
        <v>47</v>
      </c>
    </row>
    <row r="734" spans="1:34" x14ac:dyDescent="0.25">
      <c r="A734">
        <v>2019</v>
      </c>
      <c r="B734" t="s">
        <v>48</v>
      </c>
      <c r="C734">
        <v>22</v>
      </c>
      <c r="D734">
        <v>2018</v>
      </c>
      <c r="E734" t="s">
        <v>35</v>
      </c>
      <c r="F734">
        <v>11</v>
      </c>
      <c r="G734" t="s">
        <v>36</v>
      </c>
      <c r="H734" t="s">
        <v>37</v>
      </c>
      <c r="I734">
        <v>5</v>
      </c>
      <c r="J734">
        <v>2</v>
      </c>
      <c r="K734" t="s">
        <v>38</v>
      </c>
      <c r="L734" t="s">
        <v>36</v>
      </c>
      <c r="M734" t="s">
        <v>36</v>
      </c>
      <c r="N734">
        <v>2</v>
      </c>
      <c r="O734" t="s">
        <v>39</v>
      </c>
      <c r="P734">
        <v>95</v>
      </c>
      <c r="Q734" t="s">
        <v>37</v>
      </c>
      <c r="R734" t="s">
        <v>37</v>
      </c>
      <c r="S734" t="s">
        <v>36</v>
      </c>
      <c r="T734" t="s">
        <v>40</v>
      </c>
      <c r="U734">
        <v>4</v>
      </c>
      <c r="V734" t="s">
        <v>40</v>
      </c>
      <c r="W734" t="s">
        <v>42</v>
      </c>
      <c r="X734" t="s">
        <v>37</v>
      </c>
      <c r="Y734" t="s">
        <v>43</v>
      </c>
      <c r="Z734" t="s">
        <v>36</v>
      </c>
      <c r="AA734">
        <v>3.96</v>
      </c>
      <c r="AB734" t="s">
        <v>37</v>
      </c>
      <c r="AC734">
        <v>3.9</v>
      </c>
      <c r="AD734">
        <v>135</v>
      </c>
      <c r="AE734">
        <v>200000</v>
      </c>
      <c r="AF734" t="str">
        <f>IF(Table1[[#This Row],[What is your current CGPA?]]&gt;=3.5,"High",IF(Table1[[#This Row],[What is your current CGPA?]]&gt;=2.5,"Medium","Low"))</f>
        <v>High</v>
      </c>
      <c r="AG734" t="str">
        <f>IF(AND(Table1[[#This Row],[Average attendance on class]]&lt;75,Table1[[#This Row],[How many hour do you study daily?]]&lt;1),"At Risk","Normal")</f>
        <v>Normal</v>
      </c>
      <c r="AH734">
        <f>(Table1[[#This Row],[Average attendance on class]]*0.4)+(Table1[[#This Row],[How many hour do you study daily?]]*10*0.3)+(Table1[[#This Row],[How many hour do you spent daily on your skill development?]]*10*0.3)</f>
        <v>65</v>
      </c>
    </row>
    <row r="735" spans="1:34" x14ac:dyDescent="0.25">
      <c r="A735">
        <v>2022</v>
      </c>
      <c r="B735" t="s">
        <v>34</v>
      </c>
      <c r="C735">
        <v>20</v>
      </c>
      <c r="D735">
        <v>2020</v>
      </c>
      <c r="E735" t="s">
        <v>35</v>
      </c>
      <c r="F735">
        <v>2</v>
      </c>
      <c r="G735" t="s">
        <v>36</v>
      </c>
      <c r="H735" t="s">
        <v>36</v>
      </c>
      <c r="I735">
        <v>2</v>
      </c>
      <c r="J735">
        <v>2</v>
      </c>
      <c r="K735" t="s">
        <v>38</v>
      </c>
      <c r="L735" t="s">
        <v>36</v>
      </c>
      <c r="M735" t="s">
        <v>36</v>
      </c>
      <c r="N735">
        <v>1</v>
      </c>
      <c r="O735" t="s">
        <v>39</v>
      </c>
      <c r="P735">
        <v>80</v>
      </c>
      <c r="Q735" t="s">
        <v>37</v>
      </c>
      <c r="R735" t="s">
        <v>37</v>
      </c>
      <c r="S735" t="s">
        <v>36</v>
      </c>
      <c r="T735" t="s">
        <v>40</v>
      </c>
      <c r="U735">
        <v>1</v>
      </c>
      <c r="V735" t="s">
        <v>40</v>
      </c>
      <c r="W735" t="s">
        <v>42</v>
      </c>
      <c r="X735" t="s">
        <v>37</v>
      </c>
      <c r="Y735" t="s">
        <v>43</v>
      </c>
      <c r="Z735" t="s">
        <v>37</v>
      </c>
      <c r="AA735">
        <v>3.7</v>
      </c>
      <c r="AB735" t="s">
        <v>37</v>
      </c>
      <c r="AC735">
        <v>3.7</v>
      </c>
      <c r="AD735">
        <v>10</v>
      </c>
      <c r="AE735">
        <v>25000</v>
      </c>
      <c r="AF735" t="str">
        <f>IF(Table1[[#This Row],[What is your current CGPA?]]&gt;=3.5,"High",IF(Table1[[#This Row],[What is your current CGPA?]]&gt;=2.5,"Medium","Low"))</f>
        <v>High</v>
      </c>
      <c r="AG735" t="str">
        <f>IF(AND(Table1[[#This Row],[Average attendance on class]]&lt;75,Table1[[#This Row],[How many hour do you study daily?]]&lt;1),"At Risk","Normal")</f>
        <v>Normal</v>
      </c>
      <c r="AH735">
        <f>(Table1[[#This Row],[Average attendance on class]]*0.4)+(Table1[[#This Row],[How many hour do you study daily?]]*10*0.3)+(Table1[[#This Row],[How many hour do you spent daily on your skill development?]]*10*0.3)</f>
        <v>41</v>
      </c>
    </row>
    <row r="736" spans="1:34" x14ac:dyDescent="0.25">
      <c r="A736">
        <v>2022</v>
      </c>
      <c r="B736" t="s">
        <v>34</v>
      </c>
      <c r="C736">
        <v>19</v>
      </c>
      <c r="D736">
        <v>2020</v>
      </c>
      <c r="E736" t="s">
        <v>35</v>
      </c>
      <c r="F736">
        <v>1</v>
      </c>
      <c r="G736" t="s">
        <v>37</v>
      </c>
      <c r="H736" t="s">
        <v>37</v>
      </c>
      <c r="I736">
        <v>5</v>
      </c>
      <c r="J736">
        <v>2</v>
      </c>
      <c r="K736" t="s">
        <v>44</v>
      </c>
      <c r="L736" t="s">
        <v>36</v>
      </c>
      <c r="M736" t="s">
        <v>36</v>
      </c>
      <c r="N736">
        <v>7</v>
      </c>
      <c r="O736" t="s">
        <v>45</v>
      </c>
      <c r="P736">
        <v>90</v>
      </c>
      <c r="Q736" t="s">
        <v>37</v>
      </c>
      <c r="R736" t="s">
        <v>37</v>
      </c>
      <c r="S736" t="s">
        <v>37</v>
      </c>
      <c r="T736" t="s">
        <v>40</v>
      </c>
      <c r="U736">
        <v>3</v>
      </c>
      <c r="V736" t="s">
        <v>40</v>
      </c>
      <c r="W736" t="s">
        <v>42</v>
      </c>
      <c r="X736" t="s">
        <v>37</v>
      </c>
      <c r="Y736" t="s">
        <v>47</v>
      </c>
      <c r="Z736" t="s">
        <v>37</v>
      </c>
      <c r="AA736">
        <v>3.3</v>
      </c>
      <c r="AB736" t="s">
        <v>37</v>
      </c>
      <c r="AC736">
        <v>3.3</v>
      </c>
      <c r="AD736">
        <v>11</v>
      </c>
      <c r="AE736">
        <v>35000</v>
      </c>
      <c r="AF736" t="str">
        <f>IF(Table1[[#This Row],[What is your current CGPA?]]&gt;=3.5,"High",IF(Table1[[#This Row],[What is your current CGPA?]]&gt;=2.5,"Medium","Low"))</f>
        <v>Medium</v>
      </c>
      <c r="AG736" t="str">
        <f>IF(AND(Table1[[#This Row],[Average attendance on class]]&lt;75,Table1[[#This Row],[How many hour do you study daily?]]&lt;1),"At Risk","Normal")</f>
        <v>Normal</v>
      </c>
      <c r="AH736">
        <f>(Table1[[#This Row],[Average attendance on class]]*0.4)+(Table1[[#This Row],[How many hour do you study daily?]]*10*0.3)+(Table1[[#This Row],[How many hour do you spent daily on your skill development?]]*10*0.3)</f>
        <v>60</v>
      </c>
    </row>
    <row r="737" spans="1:34" x14ac:dyDescent="0.25">
      <c r="A737">
        <v>2020</v>
      </c>
      <c r="B737" t="s">
        <v>34</v>
      </c>
      <c r="C737">
        <v>22</v>
      </c>
      <c r="D737">
        <v>2019</v>
      </c>
      <c r="E737" t="s">
        <v>35</v>
      </c>
      <c r="F737">
        <v>7</v>
      </c>
      <c r="G737" t="s">
        <v>37</v>
      </c>
      <c r="H737" t="s">
        <v>37</v>
      </c>
      <c r="I737">
        <v>5</v>
      </c>
      <c r="J737">
        <v>2</v>
      </c>
      <c r="K737" t="s">
        <v>38</v>
      </c>
      <c r="L737" t="s">
        <v>36</v>
      </c>
      <c r="M737" t="s">
        <v>36</v>
      </c>
      <c r="N737">
        <v>2</v>
      </c>
      <c r="O737" t="s">
        <v>39</v>
      </c>
      <c r="P737">
        <v>95</v>
      </c>
      <c r="Q737" t="s">
        <v>37</v>
      </c>
      <c r="R737" t="s">
        <v>37</v>
      </c>
      <c r="S737" t="s">
        <v>37</v>
      </c>
      <c r="T737" t="s">
        <v>40</v>
      </c>
      <c r="U737">
        <v>2</v>
      </c>
      <c r="V737" t="s">
        <v>40</v>
      </c>
      <c r="W737" t="s">
        <v>42</v>
      </c>
      <c r="X737" t="s">
        <v>36</v>
      </c>
      <c r="Y737" t="s">
        <v>43</v>
      </c>
      <c r="Z737" t="s">
        <v>36</v>
      </c>
      <c r="AA737">
        <v>3.2</v>
      </c>
      <c r="AB737" t="s">
        <v>37</v>
      </c>
      <c r="AC737">
        <v>3.51</v>
      </c>
      <c r="AD737">
        <v>90</v>
      </c>
      <c r="AE737">
        <v>62488</v>
      </c>
      <c r="AF737" t="str">
        <f>IF(Table1[[#This Row],[What is your current CGPA?]]&gt;=3.5,"High",IF(Table1[[#This Row],[What is your current CGPA?]]&gt;=2.5,"Medium","Low"))</f>
        <v>High</v>
      </c>
      <c r="AG737" t="str">
        <f>IF(AND(Table1[[#This Row],[Average attendance on class]]&lt;75,Table1[[#This Row],[How many hour do you study daily?]]&lt;1),"At Risk","Normal")</f>
        <v>Normal</v>
      </c>
      <c r="AH737">
        <f>(Table1[[#This Row],[Average attendance on class]]*0.4)+(Table1[[#This Row],[How many hour do you study daily?]]*10*0.3)+(Table1[[#This Row],[How many hour do you spent daily on your skill development?]]*10*0.3)</f>
        <v>59</v>
      </c>
    </row>
    <row r="738" spans="1:34" x14ac:dyDescent="0.25">
      <c r="A738">
        <v>2021</v>
      </c>
      <c r="B738" t="s">
        <v>34</v>
      </c>
      <c r="C738">
        <v>21</v>
      </c>
      <c r="D738">
        <v>2020</v>
      </c>
      <c r="E738" t="s">
        <v>35</v>
      </c>
      <c r="F738">
        <v>3</v>
      </c>
      <c r="G738" t="s">
        <v>36</v>
      </c>
      <c r="H738" t="s">
        <v>36</v>
      </c>
      <c r="I738">
        <v>4</v>
      </c>
      <c r="J738">
        <v>2</v>
      </c>
      <c r="K738" t="s">
        <v>38</v>
      </c>
      <c r="L738" t="s">
        <v>36</v>
      </c>
      <c r="M738" t="s">
        <v>36</v>
      </c>
      <c r="N738">
        <v>3</v>
      </c>
      <c r="O738" t="s">
        <v>39</v>
      </c>
      <c r="P738">
        <v>90</v>
      </c>
      <c r="Q738" t="s">
        <v>37</v>
      </c>
      <c r="R738" t="s">
        <v>37</v>
      </c>
      <c r="S738" t="s">
        <v>36</v>
      </c>
      <c r="T738" t="s">
        <v>40</v>
      </c>
      <c r="U738">
        <v>4</v>
      </c>
      <c r="V738" t="s">
        <v>40</v>
      </c>
      <c r="W738" t="s">
        <v>42</v>
      </c>
      <c r="X738" t="s">
        <v>37</v>
      </c>
      <c r="Y738" t="s">
        <v>47</v>
      </c>
      <c r="Z738" t="s">
        <v>37</v>
      </c>
      <c r="AA738">
        <v>3.57</v>
      </c>
      <c r="AB738" t="s">
        <v>37</v>
      </c>
      <c r="AC738">
        <v>3.67</v>
      </c>
      <c r="AD738">
        <v>23</v>
      </c>
      <c r="AE738">
        <v>35000</v>
      </c>
      <c r="AF738" t="str">
        <f>IF(Table1[[#This Row],[What is your current CGPA?]]&gt;=3.5,"High",IF(Table1[[#This Row],[What is your current CGPA?]]&gt;=2.5,"Medium","Low"))</f>
        <v>High</v>
      </c>
      <c r="AG738" t="str">
        <f>IF(AND(Table1[[#This Row],[Average attendance on class]]&lt;75,Table1[[#This Row],[How many hour do you study daily?]]&lt;1),"At Risk","Normal")</f>
        <v>Normal</v>
      </c>
      <c r="AH738">
        <f>(Table1[[#This Row],[Average attendance on class]]*0.4)+(Table1[[#This Row],[How many hour do you study daily?]]*10*0.3)+(Table1[[#This Row],[How many hour do you spent daily on your skill development?]]*10*0.3)</f>
        <v>60</v>
      </c>
    </row>
    <row r="739" spans="1:34" x14ac:dyDescent="0.25">
      <c r="A739">
        <v>2019</v>
      </c>
      <c r="B739" t="s">
        <v>48</v>
      </c>
      <c r="C739">
        <v>22</v>
      </c>
      <c r="D739">
        <v>2018</v>
      </c>
      <c r="E739" t="s">
        <v>35</v>
      </c>
      <c r="F739">
        <v>11</v>
      </c>
      <c r="G739" t="s">
        <v>37</v>
      </c>
      <c r="H739" t="s">
        <v>36</v>
      </c>
      <c r="I739">
        <v>3</v>
      </c>
      <c r="J739">
        <v>2</v>
      </c>
      <c r="K739" t="s">
        <v>38</v>
      </c>
      <c r="L739" t="s">
        <v>36</v>
      </c>
      <c r="M739" t="s">
        <v>36</v>
      </c>
      <c r="N739">
        <v>1</v>
      </c>
      <c r="O739" t="s">
        <v>39</v>
      </c>
      <c r="P739">
        <v>100</v>
      </c>
      <c r="Q739" t="s">
        <v>37</v>
      </c>
      <c r="R739" t="s">
        <v>37</v>
      </c>
      <c r="S739" t="s">
        <v>36</v>
      </c>
      <c r="T739" t="s">
        <v>40</v>
      </c>
      <c r="U739">
        <v>1</v>
      </c>
      <c r="V739" t="s">
        <v>40</v>
      </c>
      <c r="W739" t="s">
        <v>42</v>
      </c>
      <c r="X739" t="s">
        <v>36</v>
      </c>
      <c r="Y739" t="s">
        <v>47</v>
      </c>
      <c r="Z739" t="s">
        <v>37</v>
      </c>
      <c r="AA739">
        <v>3.37</v>
      </c>
      <c r="AB739" t="s">
        <v>37</v>
      </c>
      <c r="AC739">
        <v>3.11</v>
      </c>
      <c r="AD739">
        <v>140</v>
      </c>
      <c r="AE739">
        <v>40000</v>
      </c>
      <c r="AF739" t="str">
        <f>IF(Table1[[#This Row],[What is your current CGPA?]]&gt;=3.5,"High",IF(Table1[[#This Row],[What is your current CGPA?]]&gt;=2.5,"Medium","Low"))</f>
        <v>Medium</v>
      </c>
      <c r="AG739" t="str">
        <f>IF(AND(Table1[[#This Row],[Average attendance on class]]&lt;75,Table1[[#This Row],[How many hour do you study daily?]]&lt;1),"At Risk","Normal")</f>
        <v>Normal</v>
      </c>
      <c r="AH739">
        <f>(Table1[[#This Row],[Average attendance on class]]*0.4)+(Table1[[#This Row],[How many hour do you study daily?]]*10*0.3)+(Table1[[#This Row],[How many hour do you spent daily on your skill development?]]*10*0.3)</f>
        <v>52</v>
      </c>
    </row>
    <row r="740" spans="1:34" x14ac:dyDescent="0.25">
      <c r="A740">
        <v>2021</v>
      </c>
      <c r="B740" t="s">
        <v>34</v>
      </c>
      <c r="C740">
        <v>21</v>
      </c>
      <c r="D740">
        <v>2020</v>
      </c>
      <c r="E740" t="s">
        <v>35</v>
      </c>
      <c r="F740">
        <v>3</v>
      </c>
      <c r="G740" t="s">
        <v>36</v>
      </c>
      <c r="H740" t="s">
        <v>37</v>
      </c>
      <c r="I740">
        <v>4</v>
      </c>
      <c r="J740">
        <v>2</v>
      </c>
      <c r="K740" t="s">
        <v>38</v>
      </c>
      <c r="L740" t="s">
        <v>36</v>
      </c>
      <c r="M740" t="s">
        <v>36</v>
      </c>
      <c r="N740">
        <v>1</v>
      </c>
      <c r="O740" t="s">
        <v>53</v>
      </c>
      <c r="P740">
        <v>97</v>
      </c>
      <c r="Q740" t="s">
        <v>36</v>
      </c>
      <c r="R740" t="s">
        <v>37</v>
      </c>
      <c r="S740" t="s">
        <v>36</v>
      </c>
      <c r="T740" t="s">
        <v>40</v>
      </c>
      <c r="U740">
        <v>2</v>
      </c>
      <c r="V740" t="s">
        <v>40</v>
      </c>
      <c r="W740" t="s">
        <v>42</v>
      </c>
      <c r="X740" t="s">
        <v>36</v>
      </c>
      <c r="Y740" t="s">
        <v>43</v>
      </c>
      <c r="Z740" t="s">
        <v>37</v>
      </c>
      <c r="AA740">
        <v>3.17</v>
      </c>
      <c r="AB740" t="s">
        <v>37</v>
      </c>
      <c r="AC740">
        <v>2.85</v>
      </c>
      <c r="AD740">
        <v>20</v>
      </c>
      <c r="AE740">
        <v>30000</v>
      </c>
      <c r="AF740" t="str">
        <f>IF(Table1[[#This Row],[What is your current CGPA?]]&gt;=3.5,"High",IF(Table1[[#This Row],[What is your current CGPA?]]&gt;=2.5,"Medium","Low"))</f>
        <v>Medium</v>
      </c>
      <c r="AG740" t="str">
        <f>IF(AND(Table1[[#This Row],[Average attendance on class]]&lt;75,Table1[[#This Row],[How many hour do you study daily?]]&lt;1),"At Risk","Normal")</f>
        <v>Normal</v>
      </c>
      <c r="AH740">
        <f>(Table1[[#This Row],[Average attendance on class]]*0.4)+(Table1[[#This Row],[How many hour do you study daily?]]*10*0.3)+(Table1[[#This Row],[How many hour do you spent daily on your skill development?]]*10*0.3)</f>
        <v>56.800000000000004</v>
      </c>
    </row>
    <row r="741" spans="1:34" x14ac:dyDescent="0.25">
      <c r="A741">
        <v>2022</v>
      </c>
      <c r="B741" t="s">
        <v>34</v>
      </c>
      <c r="C741">
        <v>19</v>
      </c>
      <c r="D741">
        <v>2020</v>
      </c>
      <c r="E741" t="s">
        <v>35</v>
      </c>
      <c r="F741">
        <v>1</v>
      </c>
      <c r="G741" t="s">
        <v>37</v>
      </c>
      <c r="H741" t="s">
        <v>37</v>
      </c>
      <c r="I741">
        <v>1</v>
      </c>
      <c r="J741">
        <v>1</v>
      </c>
      <c r="K741" t="s">
        <v>38</v>
      </c>
      <c r="L741" t="s">
        <v>36</v>
      </c>
      <c r="M741" t="s">
        <v>36</v>
      </c>
      <c r="N741">
        <v>1</v>
      </c>
      <c r="O741" t="s">
        <v>45</v>
      </c>
      <c r="P741">
        <v>90</v>
      </c>
      <c r="Q741" t="s">
        <v>37</v>
      </c>
      <c r="R741" t="s">
        <v>37</v>
      </c>
      <c r="S741" t="s">
        <v>36</v>
      </c>
      <c r="T741" t="s">
        <v>40</v>
      </c>
      <c r="U741">
        <v>1</v>
      </c>
      <c r="V741" t="s">
        <v>40</v>
      </c>
      <c r="W741" t="s">
        <v>42</v>
      </c>
      <c r="X741" t="s">
        <v>37</v>
      </c>
      <c r="Y741" t="s">
        <v>43</v>
      </c>
      <c r="Z741" t="s">
        <v>37</v>
      </c>
      <c r="AA741">
        <v>3.5</v>
      </c>
      <c r="AB741" t="s">
        <v>37</v>
      </c>
      <c r="AC741">
        <v>3.45</v>
      </c>
      <c r="AD741">
        <v>11</v>
      </c>
      <c r="AE741">
        <v>10000</v>
      </c>
      <c r="AF741" t="str">
        <f>IF(Table1[[#This Row],[What is your current CGPA?]]&gt;=3.5,"High",IF(Table1[[#This Row],[What is your current CGPA?]]&gt;=2.5,"Medium","Low"))</f>
        <v>Medium</v>
      </c>
      <c r="AG741" t="str">
        <f>IF(AND(Table1[[#This Row],[Average attendance on class]]&lt;75,Table1[[#This Row],[How many hour do you study daily?]]&lt;1),"At Risk","Normal")</f>
        <v>Normal</v>
      </c>
      <c r="AH741">
        <f>(Table1[[#This Row],[Average attendance on class]]*0.4)+(Table1[[#This Row],[How many hour do you study daily?]]*10*0.3)+(Table1[[#This Row],[How many hour do you spent daily on your skill development?]]*10*0.3)</f>
        <v>42</v>
      </c>
    </row>
    <row r="742" spans="1:34" x14ac:dyDescent="0.25">
      <c r="A742">
        <v>2022</v>
      </c>
      <c r="B742" t="s">
        <v>34</v>
      </c>
      <c r="C742">
        <v>20</v>
      </c>
      <c r="D742">
        <v>2020</v>
      </c>
      <c r="E742" t="s">
        <v>35</v>
      </c>
      <c r="F742">
        <v>1</v>
      </c>
      <c r="G742" t="s">
        <v>37</v>
      </c>
      <c r="H742" t="s">
        <v>37</v>
      </c>
      <c r="I742">
        <v>4</v>
      </c>
      <c r="J742">
        <v>2</v>
      </c>
      <c r="K742" t="s">
        <v>38</v>
      </c>
      <c r="L742" t="s">
        <v>36</v>
      </c>
      <c r="M742" t="s">
        <v>36</v>
      </c>
      <c r="N742">
        <v>1</v>
      </c>
      <c r="O742" t="s">
        <v>45</v>
      </c>
      <c r="P742">
        <v>90</v>
      </c>
      <c r="Q742" t="s">
        <v>37</v>
      </c>
      <c r="R742" t="s">
        <v>37</v>
      </c>
      <c r="S742" t="s">
        <v>36</v>
      </c>
      <c r="T742" t="s">
        <v>40</v>
      </c>
      <c r="U742">
        <v>3</v>
      </c>
      <c r="V742" t="s">
        <v>40</v>
      </c>
      <c r="W742" t="s">
        <v>42</v>
      </c>
      <c r="X742" t="s">
        <v>37</v>
      </c>
      <c r="Y742" t="s">
        <v>43</v>
      </c>
      <c r="Z742" t="s">
        <v>37</v>
      </c>
      <c r="AA742">
        <v>3.78</v>
      </c>
      <c r="AB742" t="s">
        <v>37</v>
      </c>
      <c r="AC742">
        <v>3.78</v>
      </c>
      <c r="AD742">
        <v>28</v>
      </c>
      <c r="AE742">
        <v>25000</v>
      </c>
      <c r="AF742" t="str">
        <f>IF(Table1[[#This Row],[What is your current CGPA?]]&gt;=3.5,"High",IF(Table1[[#This Row],[What is your current CGPA?]]&gt;=2.5,"Medium","Low"))</f>
        <v>High</v>
      </c>
      <c r="AG742" t="str">
        <f>IF(AND(Table1[[#This Row],[Average attendance on class]]&lt;75,Table1[[#This Row],[How many hour do you study daily?]]&lt;1),"At Risk","Normal")</f>
        <v>Normal</v>
      </c>
      <c r="AH742">
        <f>(Table1[[#This Row],[Average attendance on class]]*0.4)+(Table1[[#This Row],[How many hour do you study daily?]]*10*0.3)+(Table1[[#This Row],[How many hour do you spent daily on your skill development?]]*10*0.3)</f>
        <v>57</v>
      </c>
    </row>
    <row r="743" spans="1:34" x14ac:dyDescent="0.25">
      <c r="A743">
        <v>2019</v>
      </c>
      <c r="B743" t="s">
        <v>34</v>
      </c>
      <c r="C743">
        <v>25</v>
      </c>
      <c r="D743">
        <v>2017</v>
      </c>
      <c r="E743" t="s">
        <v>35</v>
      </c>
      <c r="F743">
        <v>10</v>
      </c>
      <c r="G743" t="s">
        <v>36</v>
      </c>
      <c r="H743" t="s">
        <v>36</v>
      </c>
      <c r="I743">
        <v>2</v>
      </c>
      <c r="J743">
        <v>2</v>
      </c>
      <c r="K743" t="s">
        <v>38</v>
      </c>
      <c r="L743" t="s">
        <v>36</v>
      </c>
      <c r="M743" t="s">
        <v>36</v>
      </c>
      <c r="N743">
        <v>1</v>
      </c>
      <c r="O743" t="s">
        <v>39</v>
      </c>
      <c r="P743">
        <v>87</v>
      </c>
      <c r="Q743" t="s">
        <v>37</v>
      </c>
      <c r="R743" t="s">
        <v>37</v>
      </c>
      <c r="S743" t="s">
        <v>36</v>
      </c>
      <c r="T743" t="s">
        <v>40</v>
      </c>
      <c r="U743">
        <v>3</v>
      </c>
      <c r="V743" t="s">
        <v>40</v>
      </c>
      <c r="W743" t="s">
        <v>42</v>
      </c>
      <c r="X743" t="s">
        <v>36</v>
      </c>
      <c r="Y743" t="s">
        <v>43</v>
      </c>
      <c r="Z743" t="s">
        <v>36</v>
      </c>
      <c r="AA743">
        <v>3.9</v>
      </c>
      <c r="AB743" t="s">
        <v>37</v>
      </c>
      <c r="AC743">
        <v>3.59</v>
      </c>
      <c r="AD743">
        <v>128</v>
      </c>
      <c r="AE743">
        <v>40000</v>
      </c>
      <c r="AF743" t="str">
        <f>IF(Table1[[#This Row],[What is your current CGPA?]]&gt;=3.5,"High",IF(Table1[[#This Row],[What is your current CGPA?]]&gt;=2.5,"Medium","Low"))</f>
        <v>High</v>
      </c>
      <c r="AG743" t="str">
        <f>IF(AND(Table1[[#This Row],[Average attendance on class]]&lt;75,Table1[[#This Row],[How many hour do you study daily?]]&lt;1),"At Risk","Normal")</f>
        <v>Normal</v>
      </c>
      <c r="AH743">
        <f>(Table1[[#This Row],[Average attendance on class]]*0.4)+(Table1[[#This Row],[How many hour do you study daily?]]*10*0.3)+(Table1[[#This Row],[How many hour do you spent daily on your skill development?]]*10*0.3)</f>
        <v>49.800000000000004</v>
      </c>
    </row>
    <row r="744" spans="1:34" x14ac:dyDescent="0.25">
      <c r="A744">
        <v>2021</v>
      </c>
      <c r="B744" t="s">
        <v>34</v>
      </c>
      <c r="C744">
        <v>21</v>
      </c>
      <c r="D744">
        <v>2020</v>
      </c>
      <c r="E744" t="s">
        <v>35</v>
      </c>
      <c r="F744">
        <v>3</v>
      </c>
      <c r="G744" t="s">
        <v>37</v>
      </c>
      <c r="H744" t="s">
        <v>36</v>
      </c>
      <c r="I744">
        <v>4</v>
      </c>
      <c r="J744">
        <v>2</v>
      </c>
      <c r="K744" t="s">
        <v>38</v>
      </c>
      <c r="L744" t="s">
        <v>36</v>
      </c>
      <c r="M744" t="s">
        <v>36</v>
      </c>
      <c r="N744">
        <v>4</v>
      </c>
      <c r="O744" t="s">
        <v>39</v>
      </c>
      <c r="P744">
        <v>50</v>
      </c>
      <c r="Q744" t="s">
        <v>37</v>
      </c>
      <c r="R744" t="s">
        <v>37</v>
      </c>
      <c r="S744" t="s">
        <v>37</v>
      </c>
      <c r="T744" t="s">
        <v>40</v>
      </c>
      <c r="U744">
        <v>1</v>
      </c>
      <c r="V744" t="s">
        <v>40</v>
      </c>
      <c r="W744" t="s">
        <v>42</v>
      </c>
      <c r="X744" t="s">
        <v>37</v>
      </c>
      <c r="Y744" t="s">
        <v>47</v>
      </c>
      <c r="Z744" t="s">
        <v>37</v>
      </c>
      <c r="AA744">
        <v>2.94</v>
      </c>
      <c r="AB744" t="s">
        <v>37</v>
      </c>
      <c r="AC744">
        <v>2.5</v>
      </c>
      <c r="AD744">
        <v>23</v>
      </c>
      <c r="AE744">
        <v>62488</v>
      </c>
      <c r="AF744" t="str">
        <f>IF(Table1[[#This Row],[What is your current CGPA?]]&gt;=3.5,"High",IF(Table1[[#This Row],[What is your current CGPA?]]&gt;=2.5,"Medium","Low"))</f>
        <v>Medium</v>
      </c>
      <c r="AG744" t="str">
        <f>IF(AND(Table1[[#This Row],[Average attendance on class]]&lt;75,Table1[[#This Row],[How many hour do you study daily?]]&lt;1),"At Risk","Normal")</f>
        <v>Normal</v>
      </c>
      <c r="AH744">
        <f>(Table1[[#This Row],[Average attendance on class]]*0.4)+(Table1[[#This Row],[How many hour do you study daily?]]*10*0.3)+(Table1[[#This Row],[How many hour do you spent daily on your skill development?]]*10*0.3)</f>
        <v>35</v>
      </c>
    </row>
    <row r="745" spans="1:34" x14ac:dyDescent="0.25">
      <c r="A745">
        <v>2021</v>
      </c>
      <c r="B745" t="s">
        <v>48</v>
      </c>
      <c r="C745">
        <v>21</v>
      </c>
      <c r="D745">
        <v>2020</v>
      </c>
      <c r="E745" t="s">
        <v>35</v>
      </c>
      <c r="F745">
        <v>5</v>
      </c>
      <c r="G745" t="s">
        <v>36</v>
      </c>
      <c r="H745" t="s">
        <v>36</v>
      </c>
      <c r="I745">
        <v>3</v>
      </c>
      <c r="J745">
        <v>2</v>
      </c>
      <c r="K745" t="s">
        <v>38</v>
      </c>
      <c r="L745" t="s">
        <v>36</v>
      </c>
      <c r="M745" t="s">
        <v>36</v>
      </c>
      <c r="N745">
        <v>5</v>
      </c>
      <c r="O745" t="s">
        <v>45</v>
      </c>
      <c r="P745">
        <v>80</v>
      </c>
      <c r="Q745" t="s">
        <v>37</v>
      </c>
      <c r="R745" t="s">
        <v>37</v>
      </c>
      <c r="S745" t="s">
        <v>37</v>
      </c>
      <c r="T745" t="s">
        <v>40</v>
      </c>
      <c r="U745">
        <v>2</v>
      </c>
      <c r="V745" t="s">
        <v>40</v>
      </c>
      <c r="W745" t="s">
        <v>42</v>
      </c>
      <c r="X745" t="s">
        <v>37</v>
      </c>
      <c r="Y745" t="s">
        <v>47</v>
      </c>
      <c r="Z745" t="s">
        <v>37</v>
      </c>
      <c r="AA745">
        <v>2.89</v>
      </c>
      <c r="AB745" t="s">
        <v>37</v>
      </c>
      <c r="AC745">
        <v>2.8</v>
      </c>
      <c r="AD745">
        <v>65</v>
      </c>
      <c r="AE745">
        <v>20000</v>
      </c>
      <c r="AF745" t="str">
        <f>IF(Table1[[#This Row],[What is your current CGPA?]]&gt;=3.5,"High",IF(Table1[[#This Row],[What is your current CGPA?]]&gt;=2.5,"Medium","Low"))</f>
        <v>Medium</v>
      </c>
      <c r="AG745" t="str">
        <f>IF(AND(Table1[[#This Row],[Average attendance on class]]&lt;75,Table1[[#This Row],[How many hour do you study daily?]]&lt;1),"At Risk","Normal")</f>
        <v>Normal</v>
      </c>
      <c r="AH745">
        <f>(Table1[[#This Row],[Average attendance on class]]*0.4)+(Table1[[#This Row],[How many hour do you study daily?]]*10*0.3)+(Table1[[#This Row],[How many hour do you spent daily on your skill development?]]*10*0.3)</f>
        <v>47</v>
      </c>
    </row>
    <row r="746" spans="1:34" x14ac:dyDescent="0.25">
      <c r="A746">
        <v>2021</v>
      </c>
      <c r="B746" t="s">
        <v>48</v>
      </c>
      <c r="C746">
        <v>22</v>
      </c>
      <c r="D746">
        <v>2020</v>
      </c>
      <c r="E746" t="s">
        <v>35</v>
      </c>
      <c r="F746">
        <v>4</v>
      </c>
      <c r="G746" t="s">
        <v>37</v>
      </c>
      <c r="H746" t="s">
        <v>37</v>
      </c>
      <c r="I746">
        <v>4</v>
      </c>
      <c r="J746">
        <v>2</v>
      </c>
      <c r="K746" t="s">
        <v>38</v>
      </c>
      <c r="L746" t="s">
        <v>36</v>
      </c>
      <c r="M746" t="s">
        <v>36</v>
      </c>
      <c r="N746">
        <v>2</v>
      </c>
      <c r="O746" t="s">
        <v>39</v>
      </c>
      <c r="P746">
        <v>90</v>
      </c>
      <c r="Q746" t="s">
        <v>37</v>
      </c>
      <c r="R746" t="s">
        <v>37</v>
      </c>
      <c r="S746" t="s">
        <v>37</v>
      </c>
      <c r="T746" t="s">
        <v>40</v>
      </c>
      <c r="U746">
        <v>1</v>
      </c>
      <c r="V746" t="s">
        <v>40</v>
      </c>
      <c r="W746" t="s">
        <v>42</v>
      </c>
      <c r="X746" t="s">
        <v>37</v>
      </c>
      <c r="Y746" t="s">
        <v>43</v>
      </c>
      <c r="Z746" t="s">
        <v>37</v>
      </c>
      <c r="AA746">
        <v>1.8</v>
      </c>
      <c r="AB746" t="s">
        <v>37</v>
      </c>
      <c r="AC746">
        <v>2.56</v>
      </c>
      <c r="AD746">
        <v>23</v>
      </c>
      <c r="AE746">
        <v>20000</v>
      </c>
      <c r="AF746" t="str">
        <f>IF(Table1[[#This Row],[What is your current CGPA?]]&gt;=3.5,"High",IF(Table1[[#This Row],[What is your current CGPA?]]&gt;=2.5,"Medium","Low"))</f>
        <v>Medium</v>
      </c>
      <c r="AG746" t="str">
        <f>IF(AND(Table1[[#This Row],[Average attendance on class]]&lt;75,Table1[[#This Row],[How many hour do you study daily?]]&lt;1),"At Risk","Normal")</f>
        <v>Normal</v>
      </c>
      <c r="AH746">
        <f>(Table1[[#This Row],[Average attendance on class]]*0.4)+(Table1[[#This Row],[How many hour do you study daily?]]*10*0.3)+(Table1[[#This Row],[How many hour do you spent daily on your skill development?]]*10*0.3)</f>
        <v>51</v>
      </c>
    </row>
    <row r="747" spans="1:34" x14ac:dyDescent="0.25">
      <c r="A747">
        <v>2020</v>
      </c>
      <c r="B747" t="s">
        <v>48</v>
      </c>
      <c r="C747">
        <v>22</v>
      </c>
      <c r="D747">
        <v>2019</v>
      </c>
      <c r="E747" t="s">
        <v>35</v>
      </c>
      <c r="F747">
        <v>8</v>
      </c>
      <c r="G747" t="s">
        <v>37</v>
      </c>
      <c r="H747" t="s">
        <v>37</v>
      </c>
      <c r="I747">
        <v>4</v>
      </c>
      <c r="J747">
        <v>3</v>
      </c>
      <c r="K747" t="s">
        <v>44</v>
      </c>
      <c r="L747" t="s">
        <v>36</v>
      </c>
      <c r="M747" t="s">
        <v>36</v>
      </c>
      <c r="N747">
        <v>3</v>
      </c>
      <c r="O747" t="s">
        <v>39</v>
      </c>
      <c r="P747">
        <v>85</v>
      </c>
      <c r="Q747" t="s">
        <v>37</v>
      </c>
      <c r="R747" t="s">
        <v>37</v>
      </c>
      <c r="S747" t="s">
        <v>37</v>
      </c>
      <c r="T747" t="s">
        <v>40</v>
      </c>
      <c r="U747">
        <v>4</v>
      </c>
      <c r="V747" t="s">
        <v>59</v>
      </c>
      <c r="W747" t="s">
        <v>42</v>
      </c>
      <c r="X747" t="s">
        <v>37</v>
      </c>
      <c r="Y747" t="s">
        <v>43</v>
      </c>
      <c r="Z747" t="s">
        <v>37</v>
      </c>
      <c r="AA747">
        <v>2.78</v>
      </c>
      <c r="AB747" t="s">
        <v>37</v>
      </c>
      <c r="AC747">
        <v>3.75</v>
      </c>
      <c r="AD747">
        <v>78</v>
      </c>
      <c r="AE747">
        <v>30000</v>
      </c>
      <c r="AF747" t="str">
        <f>IF(Table1[[#This Row],[What is your current CGPA?]]&gt;=3.5,"High",IF(Table1[[#This Row],[What is your current CGPA?]]&gt;=2.5,"Medium","Low"))</f>
        <v>High</v>
      </c>
      <c r="AG747" t="str">
        <f>IF(AND(Table1[[#This Row],[Average attendance on class]]&lt;75,Table1[[#This Row],[How many hour do you study daily?]]&lt;1),"At Risk","Normal")</f>
        <v>Normal</v>
      </c>
      <c r="AH747">
        <f>(Table1[[#This Row],[Average attendance on class]]*0.4)+(Table1[[#This Row],[How many hour do you study daily?]]*10*0.3)+(Table1[[#This Row],[How many hour do you spent daily on your skill development?]]*10*0.3)</f>
        <v>58</v>
      </c>
    </row>
    <row r="748" spans="1:34" x14ac:dyDescent="0.25">
      <c r="A748">
        <v>2022</v>
      </c>
      <c r="B748" t="s">
        <v>48</v>
      </c>
      <c r="C748">
        <v>20</v>
      </c>
      <c r="D748">
        <v>2021</v>
      </c>
      <c r="E748" t="s">
        <v>35</v>
      </c>
      <c r="F748">
        <v>6</v>
      </c>
      <c r="G748" t="s">
        <v>37</v>
      </c>
      <c r="H748" t="s">
        <v>37</v>
      </c>
      <c r="I748">
        <v>1</v>
      </c>
      <c r="J748">
        <v>2</v>
      </c>
      <c r="K748" t="s">
        <v>38</v>
      </c>
      <c r="L748" t="s">
        <v>36</v>
      </c>
      <c r="M748" t="s">
        <v>37</v>
      </c>
      <c r="N748">
        <v>2</v>
      </c>
      <c r="O748" t="s">
        <v>45</v>
      </c>
      <c r="P748">
        <v>100</v>
      </c>
      <c r="Q748" t="s">
        <v>36</v>
      </c>
      <c r="R748" t="s">
        <v>37</v>
      </c>
      <c r="S748" t="s">
        <v>36</v>
      </c>
      <c r="T748" t="s">
        <v>40</v>
      </c>
      <c r="U748">
        <v>4</v>
      </c>
      <c r="V748" t="s">
        <v>41</v>
      </c>
      <c r="W748" t="s">
        <v>42</v>
      </c>
      <c r="X748" t="s">
        <v>37</v>
      </c>
      <c r="Y748" t="s">
        <v>47</v>
      </c>
      <c r="Z748" t="s">
        <v>37</v>
      </c>
      <c r="AA748">
        <v>1.45</v>
      </c>
      <c r="AB748" t="s">
        <v>37</v>
      </c>
      <c r="AC748">
        <v>2.38</v>
      </c>
      <c r="AD748">
        <v>50</v>
      </c>
      <c r="AE748">
        <v>30000</v>
      </c>
      <c r="AF748" t="str">
        <f>IF(Table1[[#This Row],[What is your current CGPA?]]&gt;=3.5,"High",IF(Table1[[#This Row],[What is your current CGPA?]]&gt;=2.5,"Medium","Low"))</f>
        <v>Low</v>
      </c>
      <c r="AG748" t="str">
        <f>IF(AND(Table1[[#This Row],[Average attendance on class]]&lt;75,Table1[[#This Row],[How many hour do you study daily?]]&lt;1),"At Risk","Normal")</f>
        <v>Normal</v>
      </c>
      <c r="AH748">
        <f>(Table1[[#This Row],[Average attendance on class]]*0.4)+(Table1[[#This Row],[How many hour do you study daily?]]*10*0.3)+(Table1[[#This Row],[How many hour do you spent daily on your skill development?]]*10*0.3)</f>
        <v>55</v>
      </c>
    </row>
    <row r="749" spans="1:34" x14ac:dyDescent="0.25">
      <c r="A749">
        <v>2019</v>
      </c>
      <c r="B749" t="s">
        <v>48</v>
      </c>
      <c r="C749">
        <v>25</v>
      </c>
      <c r="D749">
        <v>2018</v>
      </c>
      <c r="E749" t="s">
        <v>35</v>
      </c>
      <c r="F749">
        <v>10</v>
      </c>
      <c r="G749" t="s">
        <v>37</v>
      </c>
      <c r="H749" t="s">
        <v>37</v>
      </c>
      <c r="I749">
        <v>5</v>
      </c>
      <c r="J749">
        <v>3</v>
      </c>
      <c r="K749" t="s">
        <v>44</v>
      </c>
      <c r="L749" t="s">
        <v>36</v>
      </c>
      <c r="M749" t="s">
        <v>36</v>
      </c>
      <c r="N749">
        <v>2</v>
      </c>
      <c r="O749" t="s">
        <v>39</v>
      </c>
      <c r="P749">
        <v>100</v>
      </c>
      <c r="Q749" t="s">
        <v>37</v>
      </c>
      <c r="R749" t="s">
        <v>37</v>
      </c>
      <c r="S749" t="s">
        <v>36</v>
      </c>
      <c r="T749" t="s">
        <v>61</v>
      </c>
      <c r="U749">
        <v>2</v>
      </c>
      <c r="V749" t="s">
        <v>41</v>
      </c>
      <c r="W749" t="s">
        <v>50</v>
      </c>
      <c r="X749" t="s">
        <v>36</v>
      </c>
      <c r="Y749" t="s">
        <v>43</v>
      </c>
      <c r="Z749" t="s">
        <v>37</v>
      </c>
      <c r="AA749">
        <v>2.4500000000000002</v>
      </c>
      <c r="AB749" t="s">
        <v>37</v>
      </c>
      <c r="AC749">
        <v>3.54</v>
      </c>
      <c r="AD749">
        <v>116</v>
      </c>
      <c r="AE749">
        <v>34000</v>
      </c>
      <c r="AF749" t="str">
        <f>IF(Table1[[#This Row],[What is your current CGPA?]]&gt;=3.5,"High",IF(Table1[[#This Row],[What is your current CGPA?]]&gt;=2.5,"Medium","Low"))</f>
        <v>High</v>
      </c>
      <c r="AG749" t="str">
        <f>IF(AND(Table1[[#This Row],[Average attendance on class]]&lt;75,Table1[[#This Row],[How many hour do you study daily?]]&lt;1),"At Risk","Normal")</f>
        <v>Normal</v>
      </c>
      <c r="AH749">
        <f>(Table1[[#This Row],[Average attendance on class]]*0.4)+(Table1[[#This Row],[How many hour do you study daily?]]*10*0.3)+(Table1[[#This Row],[How many hour do you spent daily on your skill development?]]*10*0.3)</f>
        <v>61</v>
      </c>
    </row>
    <row r="750" spans="1:34" x14ac:dyDescent="0.25">
      <c r="A750">
        <v>2019</v>
      </c>
      <c r="B750" t="s">
        <v>34</v>
      </c>
      <c r="C750">
        <v>23</v>
      </c>
      <c r="D750">
        <v>2019</v>
      </c>
      <c r="E750" t="s">
        <v>35</v>
      </c>
      <c r="F750">
        <v>10</v>
      </c>
      <c r="G750" t="s">
        <v>36</v>
      </c>
      <c r="H750" t="s">
        <v>37</v>
      </c>
      <c r="I750">
        <v>6</v>
      </c>
      <c r="J750">
        <v>3</v>
      </c>
      <c r="K750" t="s">
        <v>38</v>
      </c>
      <c r="L750" t="s">
        <v>36</v>
      </c>
      <c r="M750" t="s">
        <v>37</v>
      </c>
      <c r="N750">
        <v>4</v>
      </c>
      <c r="O750" t="s">
        <v>53</v>
      </c>
      <c r="P750">
        <v>80</v>
      </c>
      <c r="Q750" t="s">
        <v>37</v>
      </c>
      <c r="R750" t="s">
        <v>37</v>
      </c>
      <c r="S750" t="s">
        <v>37</v>
      </c>
      <c r="T750" t="s">
        <v>40</v>
      </c>
      <c r="U750">
        <v>1</v>
      </c>
      <c r="V750" t="s">
        <v>40</v>
      </c>
      <c r="W750" t="s">
        <v>42</v>
      </c>
      <c r="X750" t="s">
        <v>36</v>
      </c>
      <c r="Y750" t="s">
        <v>47</v>
      </c>
      <c r="Z750" t="s">
        <v>37</v>
      </c>
      <c r="AA750">
        <v>1.45</v>
      </c>
      <c r="AB750" t="s">
        <v>37</v>
      </c>
      <c r="AC750">
        <v>2.4500000000000002</v>
      </c>
      <c r="AD750">
        <v>116</v>
      </c>
      <c r="AE750">
        <v>35000</v>
      </c>
      <c r="AF750" t="str">
        <f>IF(Table1[[#This Row],[What is your current CGPA?]]&gt;=3.5,"High",IF(Table1[[#This Row],[What is your current CGPA?]]&gt;=2.5,"Medium","Low"))</f>
        <v>Low</v>
      </c>
      <c r="AG750" t="str">
        <f>IF(AND(Table1[[#This Row],[Average attendance on class]]&lt;75,Table1[[#This Row],[How many hour do you study daily?]]&lt;1),"At Risk","Normal")</f>
        <v>Normal</v>
      </c>
      <c r="AH750">
        <f>(Table1[[#This Row],[Average attendance on class]]*0.4)+(Table1[[#This Row],[How many hour do you study daily?]]*10*0.3)+(Table1[[#This Row],[How many hour do you spent daily on your skill development?]]*10*0.3)</f>
        <v>53</v>
      </c>
    </row>
    <row r="751" spans="1:34" x14ac:dyDescent="0.25">
      <c r="A751">
        <v>2021</v>
      </c>
      <c r="B751" t="s">
        <v>48</v>
      </c>
      <c r="C751">
        <v>20</v>
      </c>
      <c r="D751">
        <v>2019</v>
      </c>
      <c r="E751" t="s">
        <v>35</v>
      </c>
      <c r="F751">
        <v>6</v>
      </c>
      <c r="G751" t="s">
        <v>37</v>
      </c>
      <c r="H751" t="s">
        <v>37</v>
      </c>
      <c r="I751">
        <v>3</v>
      </c>
      <c r="J751">
        <v>2</v>
      </c>
      <c r="K751" t="s">
        <v>38</v>
      </c>
      <c r="L751" t="s">
        <v>36</v>
      </c>
      <c r="M751" t="s">
        <v>36</v>
      </c>
      <c r="N751">
        <v>7</v>
      </c>
      <c r="O751" t="s">
        <v>39</v>
      </c>
      <c r="P751">
        <v>100</v>
      </c>
      <c r="Q751" t="s">
        <v>37</v>
      </c>
      <c r="R751" t="s">
        <v>37</v>
      </c>
      <c r="S751" t="s">
        <v>37</v>
      </c>
      <c r="T751" t="s">
        <v>52</v>
      </c>
      <c r="U751">
        <v>2</v>
      </c>
      <c r="V751" t="s">
        <v>59</v>
      </c>
      <c r="W751" t="s">
        <v>42</v>
      </c>
      <c r="X751" t="s">
        <v>37</v>
      </c>
      <c r="Y751" t="s">
        <v>47</v>
      </c>
      <c r="Z751" t="s">
        <v>37</v>
      </c>
      <c r="AA751">
        <v>2</v>
      </c>
      <c r="AB751" t="s">
        <v>37</v>
      </c>
      <c r="AC751">
        <v>3.19</v>
      </c>
      <c r="AD751">
        <v>78</v>
      </c>
      <c r="AE751">
        <v>35000</v>
      </c>
      <c r="AF751" t="str">
        <f>IF(Table1[[#This Row],[What is your current CGPA?]]&gt;=3.5,"High",IF(Table1[[#This Row],[What is your current CGPA?]]&gt;=2.5,"Medium","Low"))</f>
        <v>Medium</v>
      </c>
      <c r="AG751" t="str">
        <f>IF(AND(Table1[[#This Row],[Average attendance on class]]&lt;75,Table1[[#This Row],[How many hour do you study daily?]]&lt;1),"At Risk","Normal")</f>
        <v>Normal</v>
      </c>
      <c r="AH751">
        <f>(Table1[[#This Row],[Average attendance on class]]*0.4)+(Table1[[#This Row],[How many hour do you study daily?]]*10*0.3)+(Table1[[#This Row],[How many hour do you spent daily on your skill development?]]*10*0.3)</f>
        <v>55</v>
      </c>
    </row>
    <row r="752" spans="1:34" x14ac:dyDescent="0.25">
      <c r="A752">
        <v>2020</v>
      </c>
      <c r="B752" t="s">
        <v>34</v>
      </c>
      <c r="C752">
        <v>24</v>
      </c>
      <c r="D752">
        <v>2018</v>
      </c>
      <c r="E752" t="s">
        <v>35</v>
      </c>
      <c r="F752">
        <v>11</v>
      </c>
      <c r="G752" t="s">
        <v>36</v>
      </c>
      <c r="H752" t="s">
        <v>37</v>
      </c>
      <c r="I752">
        <v>1</v>
      </c>
      <c r="J752">
        <v>2</v>
      </c>
      <c r="K752" t="s">
        <v>38</v>
      </c>
      <c r="L752" t="s">
        <v>36</v>
      </c>
      <c r="M752" t="s">
        <v>36</v>
      </c>
      <c r="N752">
        <v>8</v>
      </c>
      <c r="O752" t="s">
        <v>53</v>
      </c>
      <c r="P752">
        <v>100</v>
      </c>
      <c r="Q752" t="s">
        <v>37</v>
      </c>
      <c r="R752" t="s">
        <v>37</v>
      </c>
      <c r="S752" t="s">
        <v>36</v>
      </c>
      <c r="T752" t="s">
        <v>40</v>
      </c>
      <c r="U752">
        <v>2</v>
      </c>
      <c r="V752" t="s">
        <v>59</v>
      </c>
      <c r="W752" t="s">
        <v>42</v>
      </c>
      <c r="X752" t="s">
        <v>37</v>
      </c>
      <c r="Y752" t="s">
        <v>43</v>
      </c>
      <c r="Z752" t="s">
        <v>37</v>
      </c>
      <c r="AA752">
        <v>2.89</v>
      </c>
      <c r="AB752" t="s">
        <v>37</v>
      </c>
      <c r="AC752">
        <v>3.99</v>
      </c>
      <c r="AD752">
        <v>140</v>
      </c>
      <c r="AE752">
        <v>36000</v>
      </c>
      <c r="AF752" t="str">
        <f>IF(Table1[[#This Row],[What is your current CGPA?]]&gt;=3.5,"High",IF(Table1[[#This Row],[What is your current CGPA?]]&gt;=2.5,"Medium","Low"))</f>
        <v>High</v>
      </c>
      <c r="AG752" t="str">
        <f>IF(AND(Table1[[#This Row],[Average attendance on class]]&lt;75,Table1[[#This Row],[How many hour do you study daily?]]&lt;1),"At Risk","Normal")</f>
        <v>Normal</v>
      </c>
      <c r="AH752">
        <f>(Table1[[#This Row],[Average attendance on class]]*0.4)+(Table1[[#This Row],[How many hour do you study daily?]]*10*0.3)+(Table1[[#This Row],[How many hour do you spent daily on your skill development?]]*10*0.3)</f>
        <v>49</v>
      </c>
    </row>
    <row r="753" spans="1:34" x14ac:dyDescent="0.25">
      <c r="A753">
        <v>2020</v>
      </c>
      <c r="B753" t="s">
        <v>48</v>
      </c>
      <c r="C753">
        <v>20</v>
      </c>
      <c r="D753">
        <v>2019</v>
      </c>
      <c r="E753" t="s">
        <v>35</v>
      </c>
      <c r="F753">
        <v>10</v>
      </c>
      <c r="G753" t="s">
        <v>37</v>
      </c>
      <c r="H753" t="s">
        <v>37</v>
      </c>
      <c r="I753">
        <v>2</v>
      </c>
      <c r="J753">
        <v>1</v>
      </c>
      <c r="K753" t="s">
        <v>38</v>
      </c>
      <c r="L753" t="s">
        <v>36</v>
      </c>
      <c r="M753" t="s">
        <v>36</v>
      </c>
      <c r="N753">
        <v>8</v>
      </c>
      <c r="O753" t="s">
        <v>39</v>
      </c>
      <c r="P753">
        <v>70</v>
      </c>
      <c r="Q753" t="s">
        <v>37</v>
      </c>
      <c r="R753" t="s">
        <v>37</v>
      </c>
      <c r="S753" t="s">
        <v>36</v>
      </c>
      <c r="T753" t="s">
        <v>61</v>
      </c>
      <c r="U753">
        <v>1</v>
      </c>
      <c r="V753" t="s">
        <v>41</v>
      </c>
      <c r="W753" t="s">
        <v>50</v>
      </c>
      <c r="X753" t="s">
        <v>37</v>
      </c>
      <c r="Y753" t="s">
        <v>43</v>
      </c>
      <c r="Z753" t="s">
        <v>37</v>
      </c>
      <c r="AA753">
        <v>2.88</v>
      </c>
      <c r="AB753" t="s">
        <v>37</v>
      </c>
      <c r="AC753">
        <v>3.75</v>
      </c>
      <c r="AD753">
        <v>116</v>
      </c>
      <c r="AE753">
        <v>36000</v>
      </c>
      <c r="AF753" t="str">
        <f>IF(Table1[[#This Row],[What is your current CGPA?]]&gt;=3.5,"High",IF(Table1[[#This Row],[What is your current CGPA?]]&gt;=2.5,"Medium","Low"))</f>
        <v>High</v>
      </c>
      <c r="AG753" t="str">
        <f>IF(AND(Table1[[#This Row],[Average attendance on class]]&lt;75,Table1[[#This Row],[How many hour do you study daily?]]&lt;1),"At Risk","Normal")</f>
        <v>Normal</v>
      </c>
      <c r="AH753">
        <f>(Table1[[#This Row],[Average attendance on class]]*0.4)+(Table1[[#This Row],[How many hour do you study daily?]]*10*0.3)+(Table1[[#This Row],[How many hour do you spent daily on your skill development?]]*10*0.3)</f>
        <v>37</v>
      </c>
    </row>
    <row r="754" spans="1:34" x14ac:dyDescent="0.25">
      <c r="A754">
        <v>2021</v>
      </c>
      <c r="B754" t="s">
        <v>34</v>
      </c>
      <c r="C754">
        <v>20</v>
      </c>
      <c r="D754">
        <v>2020</v>
      </c>
      <c r="E754" t="s">
        <v>35</v>
      </c>
      <c r="F754">
        <v>7</v>
      </c>
      <c r="G754" t="s">
        <v>37</v>
      </c>
      <c r="H754" t="s">
        <v>37</v>
      </c>
      <c r="I754">
        <v>3</v>
      </c>
      <c r="J754">
        <v>2</v>
      </c>
      <c r="K754" t="s">
        <v>38</v>
      </c>
      <c r="L754" t="s">
        <v>36</v>
      </c>
      <c r="M754" t="s">
        <v>36</v>
      </c>
      <c r="N754">
        <v>7</v>
      </c>
      <c r="O754" t="s">
        <v>45</v>
      </c>
      <c r="P754">
        <v>60</v>
      </c>
      <c r="Q754" t="s">
        <v>36</v>
      </c>
      <c r="R754" t="s">
        <v>37</v>
      </c>
      <c r="S754" t="s">
        <v>36</v>
      </c>
      <c r="T754" t="s">
        <v>40</v>
      </c>
      <c r="U754">
        <v>2</v>
      </c>
      <c r="V754" t="s">
        <v>40</v>
      </c>
      <c r="W754" t="s">
        <v>42</v>
      </c>
      <c r="X754" t="s">
        <v>36</v>
      </c>
      <c r="Y754" t="s">
        <v>43</v>
      </c>
      <c r="Z754" t="s">
        <v>37</v>
      </c>
      <c r="AA754">
        <v>1.87</v>
      </c>
      <c r="AB754" t="s">
        <v>37</v>
      </c>
      <c r="AC754">
        <v>2.98</v>
      </c>
      <c r="AD754">
        <v>101</v>
      </c>
      <c r="AE754">
        <v>37000</v>
      </c>
      <c r="AF754" t="str">
        <f>IF(Table1[[#This Row],[What is your current CGPA?]]&gt;=3.5,"High",IF(Table1[[#This Row],[What is your current CGPA?]]&gt;=2.5,"Medium","Low"))</f>
        <v>Medium</v>
      </c>
      <c r="AG754" t="str">
        <f>IF(AND(Table1[[#This Row],[Average attendance on class]]&lt;75,Table1[[#This Row],[How many hour do you study daily?]]&lt;1),"At Risk","Normal")</f>
        <v>Normal</v>
      </c>
      <c r="AH754">
        <f>(Table1[[#This Row],[Average attendance on class]]*0.4)+(Table1[[#This Row],[How many hour do you study daily?]]*10*0.3)+(Table1[[#This Row],[How many hour do you spent daily on your skill development?]]*10*0.3)</f>
        <v>39</v>
      </c>
    </row>
    <row r="755" spans="1:34" x14ac:dyDescent="0.25">
      <c r="A755">
        <v>2020</v>
      </c>
      <c r="B755" t="s">
        <v>34</v>
      </c>
      <c r="C755">
        <v>20</v>
      </c>
      <c r="D755">
        <v>2020</v>
      </c>
      <c r="E755" t="s">
        <v>35</v>
      </c>
      <c r="F755">
        <v>9</v>
      </c>
      <c r="G755" t="s">
        <v>37</v>
      </c>
      <c r="H755" t="s">
        <v>37</v>
      </c>
      <c r="I755">
        <v>1</v>
      </c>
      <c r="J755">
        <v>1</v>
      </c>
      <c r="K755" t="s">
        <v>38</v>
      </c>
      <c r="L755" t="s">
        <v>36</v>
      </c>
      <c r="M755" t="s">
        <v>37</v>
      </c>
      <c r="N755">
        <v>3</v>
      </c>
      <c r="O755" t="s">
        <v>53</v>
      </c>
      <c r="P755">
        <v>54</v>
      </c>
      <c r="Q755" t="s">
        <v>36</v>
      </c>
      <c r="R755" t="s">
        <v>37</v>
      </c>
      <c r="S755" t="s">
        <v>36</v>
      </c>
      <c r="T755" t="s">
        <v>51</v>
      </c>
      <c r="U755">
        <v>3</v>
      </c>
      <c r="V755" t="s">
        <v>59</v>
      </c>
      <c r="W755" t="s">
        <v>42</v>
      </c>
      <c r="X755" t="s">
        <v>36</v>
      </c>
      <c r="Y755" t="s">
        <v>47</v>
      </c>
      <c r="Z755" t="s">
        <v>37</v>
      </c>
      <c r="AA755">
        <v>2.44</v>
      </c>
      <c r="AB755" t="s">
        <v>37</v>
      </c>
      <c r="AC755">
        <v>3.53</v>
      </c>
      <c r="AD755">
        <v>127</v>
      </c>
      <c r="AE755">
        <v>39000</v>
      </c>
      <c r="AF755" t="str">
        <f>IF(Table1[[#This Row],[What is your current CGPA?]]&gt;=3.5,"High",IF(Table1[[#This Row],[What is your current CGPA?]]&gt;=2.5,"Medium","Low"))</f>
        <v>High</v>
      </c>
      <c r="AG755" t="str">
        <f>IF(AND(Table1[[#This Row],[Average attendance on class]]&lt;75,Table1[[#This Row],[How many hour do you study daily?]]&lt;1),"At Risk","Normal")</f>
        <v>Normal</v>
      </c>
      <c r="AH755">
        <f>(Table1[[#This Row],[Average attendance on class]]*0.4)+(Table1[[#This Row],[How many hour do you study daily?]]*10*0.3)+(Table1[[#This Row],[How many hour do you spent daily on your skill development?]]*10*0.3)</f>
        <v>33.6</v>
      </c>
    </row>
    <row r="756" spans="1:34" x14ac:dyDescent="0.25">
      <c r="A756">
        <v>2019</v>
      </c>
      <c r="B756" t="s">
        <v>48</v>
      </c>
      <c r="C756">
        <v>22</v>
      </c>
      <c r="D756">
        <v>2019</v>
      </c>
      <c r="E756" t="s">
        <v>35</v>
      </c>
      <c r="F756">
        <v>10</v>
      </c>
      <c r="G756" t="s">
        <v>37</v>
      </c>
      <c r="H756" t="s">
        <v>37</v>
      </c>
      <c r="I756">
        <v>4</v>
      </c>
      <c r="J756">
        <v>2</v>
      </c>
      <c r="K756" t="s">
        <v>38</v>
      </c>
      <c r="L756" t="s">
        <v>36</v>
      </c>
      <c r="M756" t="s">
        <v>37</v>
      </c>
      <c r="N756">
        <v>2</v>
      </c>
      <c r="O756" t="s">
        <v>39</v>
      </c>
      <c r="P756">
        <v>90</v>
      </c>
      <c r="Q756" t="s">
        <v>37</v>
      </c>
      <c r="R756" t="s">
        <v>37</v>
      </c>
      <c r="S756" t="s">
        <v>36</v>
      </c>
      <c r="T756" t="s">
        <v>40</v>
      </c>
      <c r="U756">
        <v>1</v>
      </c>
      <c r="V756" t="s">
        <v>40</v>
      </c>
      <c r="W756" t="s">
        <v>42</v>
      </c>
      <c r="X756" t="s">
        <v>37</v>
      </c>
      <c r="Y756" t="s">
        <v>47</v>
      </c>
      <c r="Z756" t="s">
        <v>36</v>
      </c>
      <c r="AA756">
        <v>2.8</v>
      </c>
      <c r="AB756" t="s">
        <v>37</v>
      </c>
      <c r="AC756">
        <v>3.65</v>
      </c>
      <c r="AD756">
        <v>126</v>
      </c>
      <c r="AE756">
        <v>40000</v>
      </c>
      <c r="AF756" t="str">
        <f>IF(Table1[[#This Row],[What is your current CGPA?]]&gt;=3.5,"High",IF(Table1[[#This Row],[What is your current CGPA?]]&gt;=2.5,"Medium","Low"))</f>
        <v>High</v>
      </c>
      <c r="AG756" t="str">
        <f>IF(AND(Table1[[#This Row],[Average attendance on class]]&lt;75,Table1[[#This Row],[How many hour do you study daily?]]&lt;1),"At Risk","Normal")</f>
        <v>Normal</v>
      </c>
      <c r="AH756">
        <f>(Table1[[#This Row],[Average attendance on class]]*0.4)+(Table1[[#This Row],[How many hour do you study daily?]]*10*0.3)+(Table1[[#This Row],[How many hour do you spent daily on your skill development?]]*10*0.3)</f>
        <v>51</v>
      </c>
    </row>
    <row r="757" spans="1:34" x14ac:dyDescent="0.25">
      <c r="A757">
        <v>2019</v>
      </c>
      <c r="B757" t="s">
        <v>34</v>
      </c>
      <c r="C757">
        <v>21</v>
      </c>
      <c r="D757">
        <v>2019</v>
      </c>
      <c r="E757" t="s">
        <v>35</v>
      </c>
      <c r="F757">
        <v>7</v>
      </c>
      <c r="G757" t="s">
        <v>37</v>
      </c>
      <c r="H757" t="s">
        <v>37</v>
      </c>
      <c r="I757">
        <v>6</v>
      </c>
      <c r="J757">
        <v>3</v>
      </c>
      <c r="K757" t="s">
        <v>44</v>
      </c>
      <c r="L757" t="s">
        <v>36</v>
      </c>
      <c r="M757" t="s">
        <v>36</v>
      </c>
      <c r="N757">
        <v>2</v>
      </c>
      <c r="O757" t="s">
        <v>39</v>
      </c>
      <c r="P757">
        <v>100</v>
      </c>
      <c r="Q757" t="s">
        <v>37</v>
      </c>
      <c r="R757" t="s">
        <v>37</v>
      </c>
      <c r="S757" t="s">
        <v>36</v>
      </c>
      <c r="T757" t="s">
        <v>40</v>
      </c>
      <c r="U757">
        <v>2</v>
      </c>
      <c r="V757" t="s">
        <v>49</v>
      </c>
      <c r="W757" t="s">
        <v>42</v>
      </c>
      <c r="X757" t="s">
        <v>37</v>
      </c>
      <c r="Y757" t="s">
        <v>47</v>
      </c>
      <c r="Z757" t="s">
        <v>37</v>
      </c>
      <c r="AA757">
        <v>2.11</v>
      </c>
      <c r="AB757" t="s">
        <v>37</v>
      </c>
      <c r="AC757">
        <v>3.47</v>
      </c>
      <c r="AD757">
        <v>103</v>
      </c>
      <c r="AE757">
        <v>40000</v>
      </c>
      <c r="AF757" t="str">
        <f>IF(Table1[[#This Row],[What is your current CGPA?]]&gt;=3.5,"High",IF(Table1[[#This Row],[What is your current CGPA?]]&gt;=2.5,"Medium","Low"))</f>
        <v>Medium</v>
      </c>
      <c r="AG757" t="str">
        <f>IF(AND(Table1[[#This Row],[Average attendance on class]]&lt;75,Table1[[#This Row],[How many hour do you study daily?]]&lt;1),"At Risk","Normal")</f>
        <v>Normal</v>
      </c>
      <c r="AH757">
        <f>(Table1[[#This Row],[Average attendance on class]]*0.4)+(Table1[[#This Row],[How many hour do you study daily?]]*10*0.3)+(Table1[[#This Row],[How many hour do you spent daily on your skill development?]]*10*0.3)</f>
        <v>64</v>
      </c>
    </row>
    <row r="758" spans="1:34" x14ac:dyDescent="0.25">
      <c r="A758">
        <v>2022</v>
      </c>
      <c r="B758" t="s">
        <v>34</v>
      </c>
      <c r="C758">
        <v>22</v>
      </c>
      <c r="D758">
        <v>2021</v>
      </c>
      <c r="E758" t="s">
        <v>35</v>
      </c>
      <c r="F758">
        <v>5</v>
      </c>
      <c r="G758" t="s">
        <v>37</v>
      </c>
      <c r="H758" t="s">
        <v>37</v>
      </c>
      <c r="I758">
        <v>4</v>
      </c>
      <c r="J758">
        <v>1</v>
      </c>
      <c r="K758" t="s">
        <v>38</v>
      </c>
      <c r="L758" t="s">
        <v>36</v>
      </c>
      <c r="M758" t="s">
        <v>36</v>
      </c>
      <c r="N758">
        <v>3</v>
      </c>
      <c r="O758" t="s">
        <v>53</v>
      </c>
      <c r="P758">
        <v>87</v>
      </c>
      <c r="Q758" t="s">
        <v>37</v>
      </c>
      <c r="R758" t="s">
        <v>37</v>
      </c>
      <c r="S758" t="s">
        <v>37</v>
      </c>
      <c r="T758" t="s">
        <v>52</v>
      </c>
      <c r="U758">
        <v>2</v>
      </c>
      <c r="V758" t="s">
        <v>41</v>
      </c>
      <c r="W758" t="s">
        <v>56</v>
      </c>
      <c r="X758" t="s">
        <v>37</v>
      </c>
      <c r="Y758" t="s">
        <v>43</v>
      </c>
      <c r="Z758" t="s">
        <v>37</v>
      </c>
      <c r="AA758">
        <v>2.37</v>
      </c>
      <c r="AB758" t="s">
        <v>37</v>
      </c>
      <c r="AC758">
        <v>3.49</v>
      </c>
      <c r="AD758">
        <v>67</v>
      </c>
      <c r="AE758">
        <v>41000</v>
      </c>
      <c r="AF758" t="str">
        <f>IF(Table1[[#This Row],[What is your current CGPA?]]&gt;=3.5,"High",IF(Table1[[#This Row],[What is your current CGPA?]]&gt;=2.5,"Medium","Low"))</f>
        <v>Medium</v>
      </c>
      <c r="AG758" t="str">
        <f>IF(AND(Table1[[#This Row],[Average attendance on class]]&lt;75,Table1[[#This Row],[How many hour do you study daily?]]&lt;1),"At Risk","Normal")</f>
        <v>Normal</v>
      </c>
      <c r="AH758">
        <f>(Table1[[#This Row],[Average attendance on class]]*0.4)+(Table1[[#This Row],[How many hour do you study daily?]]*10*0.3)+(Table1[[#This Row],[How many hour do you spent daily on your skill development?]]*10*0.3)</f>
        <v>52.800000000000004</v>
      </c>
    </row>
    <row r="759" spans="1:34" x14ac:dyDescent="0.25">
      <c r="A759">
        <v>2021</v>
      </c>
      <c r="B759" t="s">
        <v>34</v>
      </c>
      <c r="C759">
        <v>23</v>
      </c>
      <c r="D759">
        <v>2019</v>
      </c>
      <c r="E759" t="s">
        <v>35</v>
      </c>
      <c r="F759">
        <v>9</v>
      </c>
      <c r="G759" t="s">
        <v>37</v>
      </c>
      <c r="H759" t="s">
        <v>37</v>
      </c>
      <c r="I759">
        <v>3</v>
      </c>
      <c r="J759">
        <v>1</v>
      </c>
      <c r="K759" t="s">
        <v>38</v>
      </c>
      <c r="L759" t="s">
        <v>36</v>
      </c>
      <c r="M759" t="s">
        <v>36</v>
      </c>
      <c r="N759">
        <v>3</v>
      </c>
      <c r="O759" t="s">
        <v>39</v>
      </c>
      <c r="P759">
        <v>87</v>
      </c>
      <c r="Q759" t="s">
        <v>36</v>
      </c>
      <c r="R759" t="s">
        <v>37</v>
      </c>
      <c r="S759" t="s">
        <v>37</v>
      </c>
      <c r="T759" t="s">
        <v>51</v>
      </c>
      <c r="U759">
        <v>2</v>
      </c>
      <c r="V759" t="s">
        <v>59</v>
      </c>
      <c r="W759" t="s">
        <v>56</v>
      </c>
      <c r="X759" t="s">
        <v>37</v>
      </c>
      <c r="Y759" t="s">
        <v>47</v>
      </c>
      <c r="Z759" t="s">
        <v>37</v>
      </c>
      <c r="AA759">
        <v>2.75</v>
      </c>
      <c r="AB759" t="s">
        <v>37</v>
      </c>
      <c r="AC759">
        <v>3.8</v>
      </c>
      <c r="AD759">
        <v>116</v>
      </c>
      <c r="AE759">
        <v>44000</v>
      </c>
      <c r="AF759" t="str">
        <f>IF(Table1[[#This Row],[What is your current CGPA?]]&gt;=3.5,"High",IF(Table1[[#This Row],[What is your current CGPA?]]&gt;=2.5,"Medium","Low"))</f>
        <v>High</v>
      </c>
      <c r="AG759" t="str">
        <f>IF(AND(Table1[[#This Row],[Average attendance on class]]&lt;75,Table1[[#This Row],[How many hour do you study daily?]]&lt;1),"At Risk","Normal")</f>
        <v>Normal</v>
      </c>
      <c r="AH759">
        <f>(Table1[[#This Row],[Average attendance on class]]*0.4)+(Table1[[#This Row],[How many hour do you study daily?]]*10*0.3)+(Table1[[#This Row],[How many hour do you spent daily on your skill development?]]*10*0.3)</f>
        <v>49.800000000000004</v>
      </c>
    </row>
    <row r="760" spans="1:34" x14ac:dyDescent="0.25">
      <c r="A760">
        <v>2021</v>
      </c>
      <c r="B760" t="s">
        <v>48</v>
      </c>
      <c r="C760">
        <v>21</v>
      </c>
      <c r="D760">
        <v>2020</v>
      </c>
      <c r="E760" t="s">
        <v>35</v>
      </c>
      <c r="F760">
        <v>9</v>
      </c>
      <c r="G760" t="s">
        <v>37</v>
      </c>
      <c r="H760" t="s">
        <v>37</v>
      </c>
      <c r="I760">
        <v>3</v>
      </c>
      <c r="J760">
        <v>2</v>
      </c>
      <c r="K760" t="s">
        <v>44</v>
      </c>
      <c r="L760" t="s">
        <v>36</v>
      </c>
      <c r="M760" t="s">
        <v>36</v>
      </c>
      <c r="N760">
        <v>4</v>
      </c>
      <c r="O760" t="s">
        <v>39</v>
      </c>
      <c r="P760">
        <v>100</v>
      </c>
      <c r="Q760" t="s">
        <v>37</v>
      </c>
      <c r="R760" t="s">
        <v>37</v>
      </c>
      <c r="S760" t="s">
        <v>36</v>
      </c>
      <c r="T760" t="s">
        <v>61</v>
      </c>
      <c r="U760">
        <v>3</v>
      </c>
      <c r="V760" t="s">
        <v>40</v>
      </c>
      <c r="W760" t="s">
        <v>50</v>
      </c>
      <c r="X760" t="s">
        <v>37</v>
      </c>
      <c r="Y760" t="s">
        <v>43</v>
      </c>
      <c r="Z760" t="s">
        <v>37</v>
      </c>
      <c r="AA760">
        <v>1.98</v>
      </c>
      <c r="AB760" t="s">
        <v>37</v>
      </c>
      <c r="AC760">
        <v>2.91</v>
      </c>
      <c r="AD760">
        <v>117</v>
      </c>
      <c r="AE760">
        <v>44000</v>
      </c>
      <c r="AF760" t="str">
        <f>IF(Table1[[#This Row],[What is your current CGPA?]]&gt;=3.5,"High",IF(Table1[[#This Row],[What is your current CGPA?]]&gt;=2.5,"Medium","Low"))</f>
        <v>Medium</v>
      </c>
      <c r="AG760" t="str">
        <f>IF(AND(Table1[[#This Row],[Average attendance on class]]&lt;75,Table1[[#This Row],[How many hour do you study daily?]]&lt;1),"At Risk","Normal")</f>
        <v>Normal</v>
      </c>
      <c r="AH760">
        <f>(Table1[[#This Row],[Average attendance on class]]*0.4)+(Table1[[#This Row],[How many hour do you study daily?]]*10*0.3)+(Table1[[#This Row],[How many hour do you spent daily on your skill development?]]*10*0.3)</f>
        <v>58</v>
      </c>
    </row>
    <row r="761" spans="1:34" x14ac:dyDescent="0.25">
      <c r="A761">
        <v>2020</v>
      </c>
      <c r="B761" t="s">
        <v>48</v>
      </c>
      <c r="C761">
        <v>20</v>
      </c>
      <c r="D761">
        <v>2020</v>
      </c>
      <c r="E761" t="s">
        <v>35</v>
      </c>
      <c r="F761">
        <v>11</v>
      </c>
      <c r="G761" t="s">
        <v>37</v>
      </c>
      <c r="H761" t="s">
        <v>37</v>
      </c>
      <c r="I761">
        <v>2</v>
      </c>
      <c r="J761">
        <v>1</v>
      </c>
      <c r="K761" t="s">
        <v>44</v>
      </c>
      <c r="L761" t="s">
        <v>36</v>
      </c>
      <c r="M761" t="s">
        <v>36</v>
      </c>
      <c r="N761">
        <v>3</v>
      </c>
      <c r="O761" t="s">
        <v>39</v>
      </c>
      <c r="P761">
        <v>100</v>
      </c>
      <c r="Q761" t="s">
        <v>37</v>
      </c>
      <c r="R761" t="s">
        <v>37</v>
      </c>
      <c r="S761" t="s">
        <v>36</v>
      </c>
      <c r="T761" t="s">
        <v>51</v>
      </c>
      <c r="U761">
        <v>2</v>
      </c>
      <c r="V761" t="s">
        <v>59</v>
      </c>
      <c r="W761" t="s">
        <v>42</v>
      </c>
      <c r="X761" t="s">
        <v>36</v>
      </c>
      <c r="Y761" t="s">
        <v>47</v>
      </c>
      <c r="Z761" t="s">
        <v>37</v>
      </c>
      <c r="AA761">
        <v>2.64</v>
      </c>
      <c r="AB761" t="s">
        <v>37</v>
      </c>
      <c r="AC761">
        <v>3.7</v>
      </c>
      <c r="AD761">
        <v>136</v>
      </c>
      <c r="AE761">
        <v>44000</v>
      </c>
      <c r="AF761" t="str">
        <f>IF(Table1[[#This Row],[What is your current CGPA?]]&gt;=3.5,"High",IF(Table1[[#This Row],[What is your current CGPA?]]&gt;=2.5,"Medium","Low"))</f>
        <v>High</v>
      </c>
      <c r="AG761" t="str">
        <f>IF(AND(Table1[[#This Row],[Average attendance on class]]&lt;75,Table1[[#This Row],[How many hour do you study daily?]]&lt;1),"At Risk","Normal")</f>
        <v>Normal</v>
      </c>
      <c r="AH761">
        <f>(Table1[[#This Row],[Average attendance on class]]*0.4)+(Table1[[#This Row],[How many hour do you study daily?]]*10*0.3)+(Table1[[#This Row],[How many hour do you spent daily on your skill development?]]*10*0.3)</f>
        <v>52</v>
      </c>
    </row>
    <row r="762" spans="1:34" x14ac:dyDescent="0.25">
      <c r="A762">
        <v>2019</v>
      </c>
      <c r="B762" t="s">
        <v>34</v>
      </c>
      <c r="C762">
        <v>22</v>
      </c>
      <c r="D762">
        <v>2018</v>
      </c>
      <c r="E762" t="s">
        <v>35</v>
      </c>
      <c r="F762">
        <v>9</v>
      </c>
      <c r="G762" t="s">
        <v>37</v>
      </c>
      <c r="H762" t="s">
        <v>37</v>
      </c>
      <c r="I762">
        <v>6</v>
      </c>
      <c r="J762">
        <v>2</v>
      </c>
      <c r="K762" t="s">
        <v>44</v>
      </c>
      <c r="L762" t="s">
        <v>36</v>
      </c>
      <c r="M762" t="s">
        <v>36</v>
      </c>
      <c r="N762">
        <v>11</v>
      </c>
      <c r="O762" t="s">
        <v>39</v>
      </c>
      <c r="P762">
        <v>77</v>
      </c>
      <c r="Q762" t="s">
        <v>37</v>
      </c>
      <c r="R762" t="s">
        <v>37</v>
      </c>
      <c r="S762" t="s">
        <v>37</v>
      </c>
      <c r="T762" t="s">
        <v>51</v>
      </c>
      <c r="U762">
        <v>6</v>
      </c>
      <c r="V762" t="s">
        <v>62</v>
      </c>
      <c r="W762" t="s">
        <v>42</v>
      </c>
      <c r="X762" t="s">
        <v>36</v>
      </c>
      <c r="Y762" t="s">
        <v>43</v>
      </c>
      <c r="Z762" t="s">
        <v>37</v>
      </c>
      <c r="AA762">
        <v>1.77</v>
      </c>
      <c r="AB762" t="s">
        <v>37</v>
      </c>
      <c r="AC762">
        <v>2.66</v>
      </c>
      <c r="AD762">
        <v>133</v>
      </c>
      <c r="AE762">
        <v>45000</v>
      </c>
      <c r="AF762" t="str">
        <f>IF(Table1[[#This Row],[What is your current CGPA?]]&gt;=3.5,"High",IF(Table1[[#This Row],[What is your current CGPA?]]&gt;=2.5,"Medium","Low"))</f>
        <v>Medium</v>
      </c>
      <c r="AG762" t="str">
        <f>IF(AND(Table1[[#This Row],[Average attendance on class]]&lt;75,Table1[[#This Row],[How many hour do you study daily?]]&lt;1),"At Risk","Normal")</f>
        <v>Normal</v>
      </c>
      <c r="AH762">
        <f>(Table1[[#This Row],[Average attendance on class]]*0.4)+(Table1[[#This Row],[How many hour do you study daily?]]*10*0.3)+(Table1[[#This Row],[How many hour do you spent daily on your skill development?]]*10*0.3)</f>
        <v>66.8</v>
      </c>
    </row>
    <row r="763" spans="1:34" x14ac:dyDescent="0.25">
      <c r="A763">
        <v>2022</v>
      </c>
      <c r="B763" t="s">
        <v>48</v>
      </c>
      <c r="C763">
        <v>21</v>
      </c>
      <c r="D763">
        <v>2020</v>
      </c>
      <c r="E763" t="s">
        <v>35</v>
      </c>
      <c r="F763">
        <v>5</v>
      </c>
      <c r="G763" t="s">
        <v>37</v>
      </c>
      <c r="H763" t="s">
        <v>37</v>
      </c>
      <c r="I763">
        <v>4</v>
      </c>
      <c r="J763">
        <v>2</v>
      </c>
      <c r="K763" t="s">
        <v>38</v>
      </c>
      <c r="L763" t="s">
        <v>36</v>
      </c>
      <c r="M763" t="s">
        <v>36</v>
      </c>
      <c r="N763">
        <v>7</v>
      </c>
      <c r="O763" t="s">
        <v>39</v>
      </c>
      <c r="P763">
        <v>95</v>
      </c>
      <c r="Q763" t="s">
        <v>37</v>
      </c>
      <c r="R763" t="s">
        <v>37</v>
      </c>
      <c r="S763" t="s">
        <v>37</v>
      </c>
      <c r="T763" t="s">
        <v>40</v>
      </c>
      <c r="U763">
        <v>1</v>
      </c>
      <c r="V763" t="s">
        <v>41</v>
      </c>
      <c r="W763" t="s">
        <v>42</v>
      </c>
      <c r="X763" t="s">
        <v>36</v>
      </c>
      <c r="Y763" t="s">
        <v>47</v>
      </c>
      <c r="Z763" t="s">
        <v>37</v>
      </c>
      <c r="AA763">
        <v>2.19</v>
      </c>
      <c r="AB763" t="s">
        <v>37</v>
      </c>
      <c r="AC763">
        <v>2.77</v>
      </c>
      <c r="AD763">
        <v>42</v>
      </c>
      <c r="AE763">
        <v>45000</v>
      </c>
      <c r="AF763" t="str">
        <f>IF(Table1[[#This Row],[What is your current CGPA?]]&gt;=3.5,"High",IF(Table1[[#This Row],[What is your current CGPA?]]&gt;=2.5,"Medium","Low"))</f>
        <v>Medium</v>
      </c>
      <c r="AG763" t="str">
        <f>IF(AND(Table1[[#This Row],[Average attendance on class]]&lt;75,Table1[[#This Row],[How many hour do you study daily?]]&lt;1),"At Risk","Normal")</f>
        <v>Normal</v>
      </c>
      <c r="AH763">
        <f>(Table1[[#This Row],[Average attendance on class]]*0.4)+(Table1[[#This Row],[How many hour do you study daily?]]*10*0.3)+(Table1[[#This Row],[How many hour do you spent daily on your skill development?]]*10*0.3)</f>
        <v>53</v>
      </c>
    </row>
    <row r="764" spans="1:34" x14ac:dyDescent="0.25">
      <c r="A764">
        <v>2021</v>
      </c>
      <c r="B764" t="s">
        <v>34</v>
      </c>
      <c r="C764">
        <v>22</v>
      </c>
      <c r="D764">
        <v>2020</v>
      </c>
      <c r="E764" t="s">
        <v>35</v>
      </c>
      <c r="F764">
        <v>6</v>
      </c>
      <c r="G764" t="s">
        <v>36</v>
      </c>
      <c r="H764" t="s">
        <v>37</v>
      </c>
      <c r="I764">
        <v>5</v>
      </c>
      <c r="J764">
        <v>5</v>
      </c>
      <c r="K764" t="s">
        <v>44</v>
      </c>
      <c r="L764" t="s">
        <v>36</v>
      </c>
      <c r="M764" t="s">
        <v>36</v>
      </c>
      <c r="N764">
        <v>7</v>
      </c>
      <c r="O764" t="s">
        <v>53</v>
      </c>
      <c r="P764">
        <v>70</v>
      </c>
      <c r="Q764" t="s">
        <v>36</v>
      </c>
      <c r="R764" t="s">
        <v>36</v>
      </c>
      <c r="S764" t="s">
        <v>36</v>
      </c>
      <c r="T764" t="s">
        <v>40</v>
      </c>
      <c r="U764">
        <v>3</v>
      </c>
      <c r="V764" t="s">
        <v>59</v>
      </c>
      <c r="W764" t="s">
        <v>50</v>
      </c>
      <c r="X764" t="s">
        <v>36</v>
      </c>
      <c r="Y764" t="s">
        <v>43</v>
      </c>
      <c r="Z764" t="s">
        <v>37</v>
      </c>
      <c r="AA764">
        <v>2.19</v>
      </c>
      <c r="AB764" t="s">
        <v>37</v>
      </c>
      <c r="AC764">
        <v>3.19</v>
      </c>
      <c r="AD764">
        <v>63</v>
      </c>
      <c r="AE764">
        <v>45000</v>
      </c>
      <c r="AF764" t="str">
        <f>IF(Table1[[#This Row],[What is your current CGPA?]]&gt;=3.5,"High",IF(Table1[[#This Row],[What is your current CGPA?]]&gt;=2.5,"Medium","Low"))</f>
        <v>Medium</v>
      </c>
      <c r="AG764" t="str">
        <f>IF(AND(Table1[[#This Row],[Average attendance on class]]&lt;75,Table1[[#This Row],[How many hour do you study daily?]]&lt;1),"At Risk","Normal")</f>
        <v>Normal</v>
      </c>
      <c r="AH764">
        <f>(Table1[[#This Row],[Average attendance on class]]*0.4)+(Table1[[#This Row],[How many hour do you study daily?]]*10*0.3)+(Table1[[#This Row],[How many hour do you spent daily on your skill development?]]*10*0.3)</f>
        <v>52</v>
      </c>
    </row>
    <row r="765" spans="1:34" x14ac:dyDescent="0.25">
      <c r="A765">
        <v>2020</v>
      </c>
      <c r="B765" t="s">
        <v>48</v>
      </c>
      <c r="C765">
        <v>20</v>
      </c>
      <c r="D765">
        <v>2020</v>
      </c>
      <c r="E765" t="s">
        <v>35</v>
      </c>
      <c r="F765">
        <v>8</v>
      </c>
      <c r="G765" t="s">
        <v>37</v>
      </c>
      <c r="H765" t="s">
        <v>37</v>
      </c>
      <c r="I765">
        <v>3</v>
      </c>
      <c r="J765">
        <v>1</v>
      </c>
      <c r="K765" t="s">
        <v>44</v>
      </c>
      <c r="L765" t="s">
        <v>36</v>
      </c>
      <c r="M765" t="s">
        <v>36</v>
      </c>
      <c r="N765">
        <v>9</v>
      </c>
      <c r="O765" t="s">
        <v>39</v>
      </c>
      <c r="P765">
        <v>86</v>
      </c>
      <c r="Q765" t="s">
        <v>36</v>
      </c>
      <c r="R765" t="s">
        <v>37</v>
      </c>
      <c r="S765" t="s">
        <v>37</v>
      </c>
      <c r="T765" t="s">
        <v>40</v>
      </c>
      <c r="U765">
        <v>2</v>
      </c>
      <c r="V765" t="s">
        <v>41</v>
      </c>
      <c r="W765" t="s">
        <v>42</v>
      </c>
      <c r="X765" t="s">
        <v>37</v>
      </c>
      <c r="Y765" t="s">
        <v>43</v>
      </c>
      <c r="Z765" t="s">
        <v>36</v>
      </c>
      <c r="AA765">
        <v>1.98</v>
      </c>
      <c r="AB765" t="s">
        <v>37</v>
      </c>
      <c r="AC765">
        <v>2.98</v>
      </c>
      <c r="AD765">
        <v>119</v>
      </c>
      <c r="AE765">
        <v>45000</v>
      </c>
      <c r="AF765" t="str">
        <f>IF(Table1[[#This Row],[What is your current CGPA?]]&gt;=3.5,"High",IF(Table1[[#This Row],[What is your current CGPA?]]&gt;=2.5,"Medium","Low"))</f>
        <v>Medium</v>
      </c>
      <c r="AG765" t="str">
        <f>IF(AND(Table1[[#This Row],[Average attendance on class]]&lt;75,Table1[[#This Row],[How many hour do you study daily?]]&lt;1),"At Risk","Normal")</f>
        <v>Normal</v>
      </c>
      <c r="AH765">
        <f>(Table1[[#This Row],[Average attendance on class]]*0.4)+(Table1[[#This Row],[How many hour do you study daily?]]*10*0.3)+(Table1[[#This Row],[How many hour do you spent daily on your skill development?]]*10*0.3)</f>
        <v>49.4</v>
      </c>
    </row>
    <row r="766" spans="1:34" x14ac:dyDescent="0.25">
      <c r="A766">
        <v>2021</v>
      </c>
      <c r="B766" t="s">
        <v>48</v>
      </c>
      <c r="C766">
        <v>20</v>
      </c>
      <c r="D766">
        <v>2020</v>
      </c>
      <c r="E766" t="s">
        <v>35</v>
      </c>
      <c r="F766">
        <v>9</v>
      </c>
      <c r="G766" t="s">
        <v>37</v>
      </c>
      <c r="H766" t="s">
        <v>37</v>
      </c>
      <c r="I766">
        <v>4</v>
      </c>
      <c r="J766">
        <v>2</v>
      </c>
      <c r="K766" t="s">
        <v>38</v>
      </c>
      <c r="L766" t="s">
        <v>36</v>
      </c>
      <c r="M766" t="s">
        <v>36</v>
      </c>
      <c r="N766">
        <v>2</v>
      </c>
      <c r="O766" t="s">
        <v>39</v>
      </c>
      <c r="P766">
        <v>78</v>
      </c>
      <c r="Q766" t="s">
        <v>36</v>
      </c>
      <c r="R766" t="s">
        <v>37</v>
      </c>
      <c r="S766" t="s">
        <v>37</v>
      </c>
      <c r="T766" t="s">
        <v>52</v>
      </c>
      <c r="U766">
        <v>4</v>
      </c>
      <c r="V766" t="s">
        <v>41</v>
      </c>
      <c r="W766" t="s">
        <v>50</v>
      </c>
      <c r="X766" t="s">
        <v>36</v>
      </c>
      <c r="Y766" t="s">
        <v>47</v>
      </c>
      <c r="Z766" t="s">
        <v>37</v>
      </c>
      <c r="AA766">
        <v>1.83</v>
      </c>
      <c r="AB766" t="s">
        <v>37</v>
      </c>
      <c r="AC766">
        <v>2.9</v>
      </c>
      <c r="AD766">
        <v>97</v>
      </c>
      <c r="AE766">
        <v>45000</v>
      </c>
      <c r="AF766" t="str">
        <f>IF(Table1[[#This Row],[What is your current CGPA?]]&gt;=3.5,"High",IF(Table1[[#This Row],[What is your current CGPA?]]&gt;=2.5,"Medium","Low"))</f>
        <v>Medium</v>
      </c>
      <c r="AG766" t="str">
        <f>IF(AND(Table1[[#This Row],[Average attendance on class]]&lt;75,Table1[[#This Row],[How many hour do you study daily?]]&lt;1),"At Risk","Normal")</f>
        <v>Normal</v>
      </c>
      <c r="AH766">
        <f>(Table1[[#This Row],[Average attendance on class]]*0.4)+(Table1[[#This Row],[How many hour do you study daily?]]*10*0.3)+(Table1[[#This Row],[How many hour do you spent daily on your skill development?]]*10*0.3)</f>
        <v>55.2</v>
      </c>
    </row>
    <row r="767" spans="1:34" x14ac:dyDescent="0.25">
      <c r="A767">
        <v>2020</v>
      </c>
      <c r="B767" t="s">
        <v>48</v>
      </c>
      <c r="C767">
        <v>21</v>
      </c>
      <c r="D767">
        <v>2019</v>
      </c>
      <c r="E767" t="s">
        <v>35</v>
      </c>
      <c r="F767">
        <v>9</v>
      </c>
      <c r="G767" t="s">
        <v>37</v>
      </c>
      <c r="H767" t="s">
        <v>37</v>
      </c>
      <c r="I767">
        <v>3</v>
      </c>
      <c r="J767">
        <v>1</v>
      </c>
      <c r="K767" t="s">
        <v>44</v>
      </c>
      <c r="L767" t="s">
        <v>36</v>
      </c>
      <c r="M767" t="s">
        <v>36</v>
      </c>
      <c r="N767">
        <v>9</v>
      </c>
      <c r="O767" t="s">
        <v>39</v>
      </c>
      <c r="P767">
        <v>100</v>
      </c>
      <c r="Q767" t="s">
        <v>37</v>
      </c>
      <c r="R767" t="s">
        <v>37</v>
      </c>
      <c r="S767" t="s">
        <v>36</v>
      </c>
      <c r="T767" t="s">
        <v>40</v>
      </c>
      <c r="U767">
        <v>2</v>
      </c>
      <c r="V767" t="s">
        <v>40</v>
      </c>
      <c r="W767" t="s">
        <v>111</v>
      </c>
      <c r="X767" t="s">
        <v>37</v>
      </c>
      <c r="Y767" t="s">
        <v>43</v>
      </c>
      <c r="Z767" t="s">
        <v>37</v>
      </c>
      <c r="AA767">
        <v>1.87</v>
      </c>
      <c r="AB767" t="s">
        <v>37</v>
      </c>
      <c r="AC767">
        <v>2.82</v>
      </c>
      <c r="AD767">
        <v>139</v>
      </c>
      <c r="AE767">
        <v>46000</v>
      </c>
      <c r="AF767" t="str">
        <f>IF(Table1[[#This Row],[What is your current CGPA?]]&gt;=3.5,"High",IF(Table1[[#This Row],[What is your current CGPA?]]&gt;=2.5,"Medium","Low"))</f>
        <v>Medium</v>
      </c>
      <c r="AG767" t="str">
        <f>IF(AND(Table1[[#This Row],[Average attendance on class]]&lt;75,Table1[[#This Row],[How many hour do you study daily?]]&lt;1),"At Risk","Normal")</f>
        <v>Normal</v>
      </c>
      <c r="AH767">
        <f>(Table1[[#This Row],[Average attendance on class]]*0.4)+(Table1[[#This Row],[How many hour do you study daily?]]*10*0.3)+(Table1[[#This Row],[How many hour do you spent daily on your skill development?]]*10*0.3)</f>
        <v>55</v>
      </c>
    </row>
    <row r="768" spans="1:34" x14ac:dyDescent="0.25">
      <c r="A768">
        <v>2020</v>
      </c>
      <c r="B768" t="s">
        <v>48</v>
      </c>
      <c r="C768">
        <v>25</v>
      </c>
      <c r="D768">
        <v>2019</v>
      </c>
      <c r="E768" t="s">
        <v>35</v>
      </c>
      <c r="F768">
        <v>11</v>
      </c>
      <c r="G768" t="s">
        <v>37</v>
      </c>
      <c r="H768" t="s">
        <v>37</v>
      </c>
      <c r="I768">
        <v>1</v>
      </c>
      <c r="J768">
        <v>1</v>
      </c>
      <c r="K768" t="s">
        <v>44</v>
      </c>
      <c r="L768" t="s">
        <v>36</v>
      </c>
      <c r="M768" t="s">
        <v>36</v>
      </c>
      <c r="N768">
        <v>3</v>
      </c>
      <c r="O768" t="s">
        <v>39</v>
      </c>
      <c r="P768">
        <v>68</v>
      </c>
      <c r="Q768" t="s">
        <v>37</v>
      </c>
      <c r="R768" t="s">
        <v>37</v>
      </c>
      <c r="S768" t="s">
        <v>37</v>
      </c>
      <c r="T768" t="s">
        <v>40</v>
      </c>
      <c r="U768">
        <v>2</v>
      </c>
      <c r="V768" t="s">
        <v>62</v>
      </c>
      <c r="W768" t="s">
        <v>42</v>
      </c>
      <c r="X768" t="s">
        <v>37</v>
      </c>
      <c r="Y768" t="s">
        <v>43</v>
      </c>
      <c r="Z768" t="s">
        <v>37</v>
      </c>
      <c r="AA768">
        <v>2.65</v>
      </c>
      <c r="AB768" t="s">
        <v>37</v>
      </c>
      <c r="AC768">
        <v>3.71</v>
      </c>
      <c r="AD768">
        <v>136</v>
      </c>
      <c r="AE768">
        <v>49000</v>
      </c>
      <c r="AF768" t="str">
        <f>IF(Table1[[#This Row],[What is your current CGPA?]]&gt;=3.5,"High",IF(Table1[[#This Row],[What is your current CGPA?]]&gt;=2.5,"Medium","Low"))</f>
        <v>High</v>
      </c>
      <c r="AG768" t="str">
        <f>IF(AND(Table1[[#This Row],[Average attendance on class]]&lt;75,Table1[[#This Row],[How many hour do you study daily?]]&lt;1),"At Risk","Normal")</f>
        <v>Normal</v>
      </c>
      <c r="AH768">
        <f>(Table1[[#This Row],[Average attendance on class]]*0.4)+(Table1[[#This Row],[How many hour do you study daily?]]*10*0.3)+(Table1[[#This Row],[How many hour do you spent daily on your skill development?]]*10*0.3)</f>
        <v>36.200000000000003</v>
      </c>
    </row>
    <row r="769" spans="1:34" x14ac:dyDescent="0.25">
      <c r="A769">
        <v>2020</v>
      </c>
      <c r="B769" t="s">
        <v>48</v>
      </c>
      <c r="C769">
        <v>23</v>
      </c>
      <c r="D769">
        <v>2018</v>
      </c>
      <c r="E769" t="s">
        <v>35</v>
      </c>
      <c r="F769">
        <v>11</v>
      </c>
      <c r="G769" t="s">
        <v>36</v>
      </c>
      <c r="H769" t="s">
        <v>37</v>
      </c>
      <c r="I769">
        <v>6</v>
      </c>
      <c r="J769">
        <v>2</v>
      </c>
      <c r="K769" t="s">
        <v>38</v>
      </c>
      <c r="L769" t="s">
        <v>36</v>
      </c>
      <c r="M769" t="s">
        <v>36</v>
      </c>
      <c r="N769">
        <v>4</v>
      </c>
      <c r="O769" t="s">
        <v>53</v>
      </c>
      <c r="P769">
        <v>90</v>
      </c>
      <c r="Q769" t="s">
        <v>36</v>
      </c>
      <c r="R769" t="s">
        <v>37</v>
      </c>
      <c r="S769" t="s">
        <v>36</v>
      </c>
      <c r="T769" t="s">
        <v>40</v>
      </c>
      <c r="U769">
        <v>5</v>
      </c>
      <c r="V769" t="s">
        <v>40</v>
      </c>
      <c r="W769" t="s">
        <v>42</v>
      </c>
      <c r="X769" t="s">
        <v>37</v>
      </c>
      <c r="Y769" t="s">
        <v>47</v>
      </c>
      <c r="Z769" t="s">
        <v>37</v>
      </c>
      <c r="AA769">
        <v>2.19</v>
      </c>
      <c r="AB769" t="s">
        <v>37</v>
      </c>
      <c r="AC769">
        <v>3.45</v>
      </c>
      <c r="AD769">
        <v>122</v>
      </c>
      <c r="AE769">
        <v>50000</v>
      </c>
      <c r="AF769" t="str">
        <f>IF(Table1[[#This Row],[What is your current CGPA?]]&gt;=3.5,"High",IF(Table1[[#This Row],[What is your current CGPA?]]&gt;=2.5,"Medium","Low"))</f>
        <v>Medium</v>
      </c>
      <c r="AG769" t="str">
        <f>IF(AND(Table1[[#This Row],[Average attendance on class]]&lt;75,Table1[[#This Row],[How many hour do you study daily?]]&lt;1),"At Risk","Normal")</f>
        <v>Normal</v>
      </c>
      <c r="AH769">
        <f>(Table1[[#This Row],[Average attendance on class]]*0.4)+(Table1[[#This Row],[How many hour do you study daily?]]*10*0.3)+(Table1[[#This Row],[How many hour do you spent daily on your skill development?]]*10*0.3)</f>
        <v>69</v>
      </c>
    </row>
    <row r="770" spans="1:34" x14ac:dyDescent="0.25">
      <c r="A770">
        <v>2022</v>
      </c>
      <c r="B770" t="s">
        <v>34</v>
      </c>
      <c r="C770">
        <v>24</v>
      </c>
      <c r="D770">
        <v>2019</v>
      </c>
      <c r="E770" t="s">
        <v>35</v>
      </c>
      <c r="F770">
        <v>4</v>
      </c>
      <c r="G770" t="s">
        <v>36</v>
      </c>
      <c r="H770" t="s">
        <v>37</v>
      </c>
      <c r="I770">
        <v>3</v>
      </c>
      <c r="J770">
        <v>2</v>
      </c>
      <c r="K770" t="s">
        <v>38</v>
      </c>
      <c r="L770" t="s">
        <v>36</v>
      </c>
      <c r="M770" t="s">
        <v>36</v>
      </c>
      <c r="N770">
        <v>4</v>
      </c>
      <c r="O770" t="s">
        <v>39</v>
      </c>
      <c r="P770">
        <v>100</v>
      </c>
      <c r="Q770" t="s">
        <v>37</v>
      </c>
      <c r="R770" t="s">
        <v>37</v>
      </c>
      <c r="S770" t="s">
        <v>36</v>
      </c>
      <c r="T770" t="s">
        <v>51</v>
      </c>
      <c r="U770">
        <v>1</v>
      </c>
      <c r="V770" t="s">
        <v>40</v>
      </c>
      <c r="W770" t="s">
        <v>42</v>
      </c>
      <c r="X770" t="s">
        <v>37</v>
      </c>
      <c r="Y770" t="s">
        <v>47</v>
      </c>
      <c r="Z770" t="s">
        <v>37</v>
      </c>
      <c r="AA770">
        <v>2.5</v>
      </c>
      <c r="AB770" t="s">
        <v>37</v>
      </c>
      <c r="AC770">
        <v>3.4</v>
      </c>
      <c r="AD770">
        <v>46</v>
      </c>
      <c r="AE770">
        <v>50000</v>
      </c>
      <c r="AF770" t="str">
        <f>IF(Table1[[#This Row],[What is your current CGPA?]]&gt;=3.5,"High",IF(Table1[[#This Row],[What is your current CGPA?]]&gt;=2.5,"Medium","Low"))</f>
        <v>Medium</v>
      </c>
      <c r="AG770" t="str">
        <f>IF(AND(Table1[[#This Row],[Average attendance on class]]&lt;75,Table1[[#This Row],[How many hour do you study daily?]]&lt;1),"At Risk","Normal")</f>
        <v>Normal</v>
      </c>
      <c r="AH770">
        <f>(Table1[[#This Row],[Average attendance on class]]*0.4)+(Table1[[#This Row],[How many hour do you study daily?]]*10*0.3)+(Table1[[#This Row],[How many hour do you spent daily on your skill development?]]*10*0.3)</f>
        <v>52</v>
      </c>
    </row>
    <row r="771" spans="1:34" x14ac:dyDescent="0.25">
      <c r="A771">
        <v>2020</v>
      </c>
      <c r="B771" t="s">
        <v>34</v>
      </c>
      <c r="C771">
        <v>25</v>
      </c>
      <c r="D771">
        <v>2019</v>
      </c>
      <c r="E771" t="s">
        <v>35</v>
      </c>
      <c r="F771">
        <v>11</v>
      </c>
      <c r="G771" t="s">
        <v>37</v>
      </c>
      <c r="H771" t="s">
        <v>37</v>
      </c>
      <c r="I771">
        <v>2</v>
      </c>
      <c r="J771">
        <v>1</v>
      </c>
      <c r="K771" t="s">
        <v>38</v>
      </c>
      <c r="L771" t="s">
        <v>36</v>
      </c>
      <c r="M771" t="s">
        <v>36</v>
      </c>
      <c r="N771">
        <v>3</v>
      </c>
      <c r="O771" t="s">
        <v>39</v>
      </c>
      <c r="P771">
        <v>100</v>
      </c>
      <c r="Q771" t="s">
        <v>36</v>
      </c>
      <c r="R771" t="s">
        <v>37</v>
      </c>
      <c r="S771" t="s">
        <v>37</v>
      </c>
      <c r="T771" t="s">
        <v>51</v>
      </c>
      <c r="U771">
        <v>4</v>
      </c>
      <c r="V771" t="s">
        <v>59</v>
      </c>
      <c r="W771" t="s">
        <v>50</v>
      </c>
      <c r="X771" t="s">
        <v>37</v>
      </c>
      <c r="Y771" t="s">
        <v>43</v>
      </c>
      <c r="Z771" t="s">
        <v>37</v>
      </c>
      <c r="AA771">
        <v>2.82</v>
      </c>
      <c r="AB771" t="s">
        <v>37</v>
      </c>
      <c r="AC771">
        <v>3.85</v>
      </c>
      <c r="AD771">
        <v>136</v>
      </c>
      <c r="AE771">
        <v>50000</v>
      </c>
      <c r="AF771" t="str">
        <f>IF(Table1[[#This Row],[What is your current CGPA?]]&gt;=3.5,"High",IF(Table1[[#This Row],[What is your current CGPA?]]&gt;=2.5,"Medium","Low"))</f>
        <v>High</v>
      </c>
      <c r="AG771" t="str">
        <f>IF(AND(Table1[[#This Row],[Average attendance on class]]&lt;75,Table1[[#This Row],[How many hour do you study daily?]]&lt;1),"At Risk","Normal")</f>
        <v>Normal</v>
      </c>
      <c r="AH771">
        <f>(Table1[[#This Row],[Average attendance on class]]*0.4)+(Table1[[#This Row],[How many hour do you study daily?]]*10*0.3)+(Table1[[#This Row],[How many hour do you spent daily on your skill development?]]*10*0.3)</f>
        <v>58</v>
      </c>
    </row>
    <row r="772" spans="1:34" x14ac:dyDescent="0.25">
      <c r="A772">
        <v>2020</v>
      </c>
      <c r="B772" t="s">
        <v>48</v>
      </c>
      <c r="C772">
        <v>22</v>
      </c>
      <c r="D772">
        <v>2020</v>
      </c>
      <c r="E772" t="s">
        <v>35</v>
      </c>
      <c r="F772">
        <v>8</v>
      </c>
      <c r="G772" t="s">
        <v>37</v>
      </c>
      <c r="H772" t="s">
        <v>37</v>
      </c>
      <c r="I772">
        <v>2</v>
      </c>
      <c r="J772">
        <v>1</v>
      </c>
      <c r="K772" t="s">
        <v>44</v>
      </c>
      <c r="L772" t="s">
        <v>36</v>
      </c>
      <c r="M772" t="s">
        <v>36</v>
      </c>
      <c r="N772">
        <v>2</v>
      </c>
      <c r="O772" t="s">
        <v>45</v>
      </c>
      <c r="P772">
        <v>50</v>
      </c>
      <c r="Q772" t="s">
        <v>36</v>
      </c>
      <c r="R772" t="s">
        <v>37</v>
      </c>
      <c r="S772" t="s">
        <v>37</v>
      </c>
      <c r="T772" t="s">
        <v>61</v>
      </c>
      <c r="U772">
        <v>2</v>
      </c>
      <c r="V772" t="s">
        <v>41</v>
      </c>
      <c r="W772" t="s">
        <v>50</v>
      </c>
      <c r="X772" t="s">
        <v>37</v>
      </c>
      <c r="Y772" t="s">
        <v>43</v>
      </c>
      <c r="Z772" t="s">
        <v>37</v>
      </c>
      <c r="AA772">
        <v>1.34</v>
      </c>
      <c r="AB772" t="s">
        <v>37</v>
      </c>
      <c r="AC772">
        <v>2.68</v>
      </c>
      <c r="AD772">
        <v>98</v>
      </c>
      <c r="AE772">
        <v>50000</v>
      </c>
      <c r="AF772" t="str">
        <f>IF(Table1[[#This Row],[What is your current CGPA?]]&gt;=3.5,"High",IF(Table1[[#This Row],[What is your current CGPA?]]&gt;=2.5,"Medium","Low"))</f>
        <v>Medium</v>
      </c>
      <c r="AG772" t="str">
        <f>IF(AND(Table1[[#This Row],[Average attendance on class]]&lt;75,Table1[[#This Row],[How many hour do you study daily?]]&lt;1),"At Risk","Normal")</f>
        <v>Normal</v>
      </c>
      <c r="AH772">
        <f>(Table1[[#This Row],[Average attendance on class]]*0.4)+(Table1[[#This Row],[How many hour do you study daily?]]*10*0.3)+(Table1[[#This Row],[How many hour do you spent daily on your skill development?]]*10*0.3)</f>
        <v>32</v>
      </c>
    </row>
    <row r="773" spans="1:34" x14ac:dyDescent="0.25">
      <c r="A773">
        <v>2022</v>
      </c>
      <c r="B773" t="s">
        <v>48</v>
      </c>
      <c r="C773">
        <v>19</v>
      </c>
      <c r="D773">
        <v>2021</v>
      </c>
      <c r="E773" t="s">
        <v>35</v>
      </c>
      <c r="F773">
        <v>5</v>
      </c>
      <c r="G773" t="s">
        <v>37</v>
      </c>
      <c r="H773" t="s">
        <v>37</v>
      </c>
      <c r="I773">
        <v>1</v>
      </c>
      <c r="J773">
        <v>1</v>
      </c>
      <c r="K773" t="s">
        <v>38</v>
      </c>
      <c r="L773" t="s">
        <v>36</v>
      </c>
      <c r="M773" t="s">
        <v>36</v>
      </c>
      <c r="N773">
        <v>4</v>
      </c>
      <c r="O773" t="s">
        <v>45</v>
      </c>
      <c r="P773">
        <v>78</v>
      </c>
      <c r="Q773" t="s">
        <v>37</v>
      </c>
      <c r="R773" t="s">
        <v>37</v>
      </c>
      <c r="S773" t="s">
        <v>36</v>
      </c>
      <c r="T773" t="s">
        <v>40</v>
      </c>
      <c r="U773">
        <v>2</v>
      </c>
      <c r="V773" t="s">
        <v>62</v>
      </c>
      <c r="W773" t="s">
        <v>42</v>
      </c>
      <c r="X773" t="s">
        <v>37</v>
      </c>
      <c r="Y773" t="s">
        <v>43</v>
      </c>
      <c r="Z773" t="s">
        <v>37</v>
      </c>
      <c r="AA773">
        <v>2.68</v>
      </c>
      <c r="AB773" t="s">
        <v>37</v>
      </c>
      <c r="AC773">
        <v>3.79</v>
      </c>
      <c r="AD773">
        <v>80</v>
      </c>
      <c r="AE773">
        <v>50000</v>
      </c>
      <c r="AF773" t="str">
        <f>IF(Table1[[#This Row],[What is your current CGPA?]]&gt;=3.5,"High",IF(Table1[[#This Row],[What is your current CGPA?]]&gt;=2.5,"Medium","Low"))</f>
        <v>High</v>
      </c>
      <c r="AG773" t="str">
        <f>IF(AND(Table1[[#This Row],[Average attendance on class]]&lt;75,Table1[[#This Row],[How many hour do you study daily?]]&lt;1),"At Risk","Normal")</f>
        <v>Normal</v>
      </c>
      <c r="AH773">
        <f>(Table1[[#This Row],[Average attendance on class]]*0.4)+(Table1[[#This Row],[How many hour do you study daily?]]*10*0.3)+(Table1[[#This Row],[How many hour do you spent daily on your skill development?]]*10*0.3)</f>
        <v>40.200000000000003</v>
      </c>
    </row>
    <row r="774" spans="1:34" x14ac:dyDescent="0.25">
      <c r="A774">
        <v>2019</v>
      </c>
      <c r="B774" t="s">
        <v>48</v>
      </c>
      <c r="C774">
        <v>22</v>
      </c>
      <c r="D774">
        <v>2017</v>
      </c>
      <c r="E774" t="s">
        <v>35</v>
      </c>
      <c r="F774">
        <v>10</v>
      </c>
      <c r="G774" t="s">
        <v>37</v>
      </c>
      <c r="H774" t="s">
        <v>37</v>
      </c>
      <c r="I774">
        <v>2</v>
      </c>
      <c r="J774">
        <v>1</v>
      </c>
      <c r="K774" t="s">
        <v>44</v>
      </c>
      <c r="L774" t="s">
        <v>36</v>
      </c>
      <c r="M774" t="s">
        <v>36</v>
      </c>
      <c r="N774">
        <v>1</v>
      </c>
      <c r="O774" t="s">
        <v>39</v>
      </c>
      <c r="P774">
        <v>80</v>
      </c>
      <c r="Q774" t="s">
        <v>36</v>
      </c>
      <c r="R774" t="s">
        <v>37</v>
      </c>
      <c r="S774" t="s">
        <v>37</v>
      </c>
      <c r="T774" t="s">
        <v>51</v>
      </c>
      <c r="U774">
        <v>1</v>
      </c>
      <c r="V774" t="s">
        <v>41</v>
      </c>
      <c r="W774" t="s">
        <v>50</v>
      </c>
      <c r="X774" t="s">
        <v>36</v>
      </c>
      <c r="Y774" t="s">
        <v>47</v>
      </c>
      <c r="Z774" t="s">
        <v>112</v>
      </c>
      <c r="AA774">
        <v>1.97</v>
      </c>
      <c r="AB774" t="s">
        <v>37</v>
      </c>
      <c r="AC774">
        <v>2.98</v>
      </c>
      <c r="AD774">
        <v>79</v>
      </c>
      <c r="AE774">
        <v>52000</v>
      </c>
      <c r="AF774" t="str">
        <f>IF(Table1[[#This Row],[What is your current CGPA?]]&gt;=3.5,"High",IF(Table1[[#This Row],[What is your current CGPA?]]&gt;=2.5,"Medium","Low"))</f>
        <v>Medium</v>
      </c>
      <c r="AG774" t="str">
        <f>IF(AND(Table1[[#This Row],[Average attendance on class]]&lt;75,Table1[[#This Row],[How many hour do you study daily?]]&lt;1),"At Risk","Normal")</f>
        <v>Normal</v>
      </c>
      <c r="AH774">
        <f>(Table1[[#This Row],[Average attendance on class]]*0.4)+(Table1[[#This Row],[How many hour do you study daily?]]*10*0.3)+(Table1[[#This Row],[How many hour do you spent daily on your skill development?]]*10*0.3)</f>
        <v>41</v>
      </c>
    </row>
    <row r="775" spans="1:34" x14ac:dyDescent="0.25">
      <c r="A775">
        <v>2021</v>
      </c>
      <c r="B775" t="s">
        <v>48</v>
      </c>
      <c r="C775">
        <v>20</v>
      </c>
      <c r="D775">
        <v>2020</v>
      </c>
      <c r="E775" t="s">
        <v>35</v>
      </c>
      <c r="F775">
        <v>9</v>
      </c>
      <c r="G775" t="s">
        <v>36</v>
      </c>
      <c r="H775" t="s">
        <v>37</v>
      </c>
      <c r="I775">
        <v>5</v>
      </c>
      <c r="J775">
        <v>2</v>
      </c>
      <c r="K775" t="s">
        <v>38</v>
      </c>
      <c r="L775" t="s">
        <v>36</v>
      </c>
      <c r="M775" t="s">
        <v>36</v>
      </c>
      <c r="N775">
        <v>3</v>
      </c>
      <c r="O775" t="s">
        <v>53</v>
      </c>
      <c r="P775">
        <v>100</v>
      </c>
      <c r="Q775" t="s">
        <v>37</v>
      </c>
      <c r="R775" t="s">
        <v>37</v>
      </c>
      <c r="S775" t="s">
        <v>37</v>
      </c>
      <c r="T775" t="s">
        <v>40</v>
      </c>
      <c r="U775">
        <v>4</v>
      </c>
      <c r="V775" t="s">
        <v>41</v>
      </c>
      <c r="W775" t="s">
        <v>42</v>
      </c>
      <c r="X775" t="s">
        <v>37</v>
      </c>
      <c r="Y775" t="s">
        <v>47</v>
      </c>
      <c r="Z775" t="s">
        <v>37</v>
      </c>
      <c r="AA775">
        <v>2.76</v>
      </c>
      <c r="AB775" t="s">
        <v>37</v>
      </c>
      <c r="AC775">
        <v>3.86</v>
      </c>
      <c r="AD775">
        <v>127</v>
      </c>
      <c r="AE775">
        <v>52000</v>
      </c>
      <c r="AF775" t="str">
        <f>IF(Table1[[#This Row],[What is your current CGPA?]]&gt;=3.5,"High",IF(Table1[[#This Row],[What is your current CGPA?]]&gt;=2.5,"Medium","Low"))</f>
        <v>High</v>
      </c>
      <c r="AG775" t="str">
        <f>IF(AND(Table1[[#This Row],[Average attendance on class]]&lt;75,Table1[[#This Row],[How many hour do you study daily?]]&lt;1),"At Risk","Normal")</f>
        <v>Normal</v>
      </c>
      <c r="AH775">
        <f>(Table1[[#This Row],[Average attendance on class]]*0.4)+(Table1[[#This Row],[How many hour do you study daily?]]*10*0.3)+(Table1[[#This Row],[How many hour do you spent daily on your skill development?]]*10*0.3)</f>
        <v>67</v>
      </c>
    </row>
    <row r="776" spans="1:34" x14ac:dyDescent="0.25">
      <c r="A776">
        <v>2019</v>
      </c>
      <c r="B776" t="s">
        <v>48</v>
      </c>
      <c r="C776">
        <v>25</v>
      </c>
      <c r="D776">
        <v>2019</v>
      </c>
      <c r="E776" t="s">
        <v>35</v>
      </c>
      <c r="F776">
        <v>10</v>
      </c>
      <c r="G776" t="s">
        <v>37</v>
      </c>
      <c r="H776" t="s">
        <v>37</v>
      </c>
      <c r="I776">
        <v>4</v>
      </c>
      <c r="J776">
        <v>2</v>
      </c>
      <c r="K776" t="s">
        <v>38</v>
      </c>
      <c r="L776" t="s">
        <v>36</v>
      </c>
      <c r="M776" t="s">
        <v>36</v>
      </c>
      <c r="N776">
        <v>7</v>
      </c>
      <c r="O776" t="s">
        <v>53</v>
      </c>
      <c r="P776">
        <v>45</v>
      </c>
      <c r="Q776" t="s">
        <v>37</v>
      </c>
      <c r="R776" t="s">
        <v>37</v>
      </c>
      <c r="S776" t="s">
        <v>36</v>
      </c>
      <c r="T776" t="s">
        <v>40</v>
      </c>
      <c r="U776">
        <v>2</v>
      </c>
      <c r="V776" t="s">
        <v>40</v>
      </c>
      <c r="W776" t="s">
        <v>42</v>
      </c>
      <c r="X776" t="s">
        <v>36</v>
      </c>
      <c r="Y776" t="s">
        <v>47</v>
      </c>
      <c r="Z776" t="s">
        <v>37</v>
      </c>
      <c r="AA776">
        <v>1.72</v>
      </c>
      <c r="AB776" t="s">
        <v>37</v>
      </c>
      <c r="AC776">
        <v>2.79</v>
      </c>
      <c r="AD776">
        <v>140</v>
      </c>
      <c r="AE776">
        <v>54000</v>
      </c>
      <c r="AF776" t="str">
        <f>IF(Table1[[#This Row],[What is your current CGPA?]]&gt;=3.5,"High",IF(Table1[[#This Row],[What is your current CGPA?]]&gt;=2.5,"Medium","Low"))</f>
        <v>Medium</v>
      </c>
      <c r="AG776" t="str">
        <f>IF(AND(Table1[[#This Row],[Average attendance on class]]&lt;75,Table1[[#This Row],[How many hour do you study daily?]]&lt;1),"At Risk","Normal")</f>
        <v>Normal</v>
      </c>
      <c r="AH776">
        <f>(Table1[[#This Row],[Average attendance on class]]*0.4)+(Table1[[#This Row],[How many hour do you study daily?]]*10*0.3)+(Table1[[#This Row],[How many hour do you spent daily on your skill development?]]*10*0.3)</f>
        <v>36</v>
      </c>
    </row>
    <row r="777" spans="1:34" x14ac:dyDescent="0.25">
      <c r="A777">
        <v>2020</v>
      </c>
      <c r="B777" t="s">
        <v>34</v>
      </c>
      <c r="C777">
        <v>21</v>
      </c>
      <c r="D777">
        <v>2020</v>
      </c>
      <c r="E777" t="s">
        <v>35</v>
      </c>
      <c r="F777">
        <v>10</v>
      </c>
      <c r="G777" t="s">
        <v>37</v>
      </c>
      <c r="H777" t="s">
        <v>37</v>
      </c>
      <c r="I777">
        <v>2</v>
      </c>
      <c r="J777">
        <v>2</v>
      </c>
      <c r="K777" t="s">
        <v>38</v>
      </c>
      <c r="L777" t="s">
        <v>36</v>
      </c>
      <c r="M777" t="s">
        <v>36</v>
      </c>
      <c r="N777">
        <v>2</v>
      </c>
      <c r="O777" t="s">
        <v>45</v>
      </c>
      <c r="P777">
        <v>100</v>
      </c>
      <c r="Q777" t="s">
        <v>37</v>
      </c>
      <c r="R777" t="s">
        <v>37</v>
      </c>
      <c r="S777" t="s">
        <v>37</v>
      </c>
      <c r="T777" t="s">
        <v>61</v>
      </c>
      <c r="U777">
        <v>4</v>
      </c>
      <c r="V777" t="s">
        <v>41</v>
      </c>
      <c r="W777" t="s">
        <v>42</v>
      </c>
      <c r="X777" t="s">
        <v>36</v>
      </c>
      <c r="Y777" t="s">
        <v>43</v>
      </c>
      <c r="Z777" t="s">
        <v>37</v>
      </c>
      <c r="AA777">
        <v>2.62</v>
      </c>
      <c r="AB777" t="s">
        <v>37</v>
      </c>
      <c r="AC777">
        <v>3.75</v>
      </c>
      <c r="AD777">
        <v>136</v>
      </c>
      <c r="AE777">
        <v>55000</v>
      </c>
      <c r="AF777" t="str">
        <f>IF(Table1[[#This Row],[What is your current CGPA?]]&gt;=3.5,"High",IF(Table1[[#This Row],[What is your current CGPA?]]&gt;=2.5,"Medium","Low"))</f>
        <v>High</v>
      </c>
      <c r="AG777" t="str">
        <f>IF(AND(Table1[[#This Row],[Average attendance on class]]&lt;75,Table1[[#This Row],[How many hour do you study daily?]]&lt;1),"At Risk","Normal")</f>
        <v>Normal</v>
      </c>
      <c r="AH777">
        <f>(Table1[[#This Row],[Average attendance on class]]*0.4)+(Table1[[#This Row],[How many hour do you study daily?]]*10*0.3)+(Table1[[#This Row],[How many hour do you spent daily on your skill development?]]*10*0.3)</f>
        <v>58</v>
      </c>
    </row>
    <row r="778" spans="1:34" x14ac:dyDescent="0.25">
      <c r="A778">
        <v>2021</v>
      </c>
      <c r="B778" t="s">
        <v>48</v>
      </c>
      <c r="C778">
        <v>20</v>
      </c>
      <c r="D778">
        <v>2020</v>
      </c>
      <c r="E778" t="s">
        <v>35</v>
      </c>
      <c r="F778">
        <v>7</v>
      </c>
      <c r="G778" t="s">
        <v>37</v>
      </c>
      <c r="H778" t="s">
        <v>37</v>
      </c>
      <c r="I778">
        <v>2</v>
      </c>
      <c r="J778">
        <v>1</v>
      </c>
      <c r="K778" t="s">
        <v>38</v>
      </c>
      <c r="L778" t="s">
        <v>36</v>
      </c>
      <c r="M778" t="s">
        <v>36</v>
      </c>
      <c r="N778">
        <v>2</v>
      </c>
      <c r="O778" t="s">
        <v>53</v>
      </c>
      <c r="P778">
        <v>87</v>
      </c>
      <c r="Q778" t="s">
        <v>37</v>
      </c>
      <c r="R778" t="s">
        <v>37</v>
      </c>
      <c r="S778" t="s">
        <v>37</v>
      </c>
      <c r="T778" t="s">
        <v>51</v>
      </c>
      <c r="U778">
        <v>4</v>
      </c>
      <c r="V778" t="s">
        <v>59</v>
      </c>
      <c r="W778" t="s">
        <v>50</v>
      </c>
      <c r="X778" t="s">
        <v>37</v>
      </c>
      <c r="Y778" t="s">
        <v>43</v>
      </c>
      <c r="Z778" t="s">
        <v>37</v>
      </c>
      <c r="AA778">
        <v>1.51</v>
      </c>
      <c r="AB778" t="s">
        <v>37</v>
      </c>
      <c r="AC778">
        <v>2.59</v>
      </c>
      <c r="AD778">
        <v>99</v>
      </c>
      <c r="AE778">
        <v>55000</v>
      </c>
      <c r="AF778" t="str">
        <f>IF(Table1[[#This Row],[What is your current CGPA?]]&gt;=3.5,"High",IF(Table1[[#This Row],[What is your current CGPA?]]&gt;=2.5,"Medium","Low"))</f>
        <v>Medium</v>
      </c>
      <c r="AG778" t="str">
        <f>IF(AND(Table1[[#This Row],[Average attendance on class]]&lt;75,Table1[[#This Row],[How many hour do you study daily?]]&lt;1),"At Risk","Normal")</f>
        <v>Normal</v>
      </c>
      <c r="AH778">
        <f>(Table1[[#This Row],[Average attendance on class]]*0.4)+(Table1[[#This Row],[How many hour do you study daily?]]*10*0.3)+(Table1[[#This Row],[How many hour do you spent daily on your skill development?]]*10*0.3)</f>
        <v>52.800000000000004</v>
      </c>
    </row>
    <row r="779" spans="1:34" x14ac:dyDescent="0.25">
      <c r="A779">
        <v>2022</v>
      </c>
      <c r="B779" t="s">
        <v>48</v>
      </c>
      <c r="C779">
        <v>22</v>
      </c>
      <c r="D779">
        <v>2021</v>
      </c>
      <c r="E779" t="s">
        <v>35</v>
      </c>
      <c r="F779">
        <v>5</v>
      </c>
      <c r="G779" t="s">
        <v>37</v>
      </c>
      <c r="H779" t="s">
        <v>37</v>
      </c>
      <c r="I779">
        <v>2</v>
      </c>
      <c r="J779">
        <v>3</v>
      </c>
      <c r="K779" t="s">
        <v>38</v>
      </c>
      <c r="L779" t="s">
        <v>36</v>
      </c>
      <c r="M779" t="s">
        <v>37</v>
      </c>
      <c r="N779">
        <v>2</v>
      </c>
      <c r="O779" t="s">
        <v>39</v>
      </c>
      <c r="P779">
        <v>95</v>
      </c>
      <c r="Q779" t="s">
        <v>36</v>
      </c>
      <c r="R779" t="s">
        <v>37</v>
      </c>
      <c r="S779" t="s">
        <v>37</v>
      </c>
      <c r="T779" t="s">
        <v>51</v>
      </c>
      <c r="U779">
        <v>2</v>
      </c>
      <c r="V779" t="s">
        <v>59</v>
      </c>
      <c r="W779" t="s">
        <v>42</v>
      </c>
      <c r="X779" t="s">
        <v>37</v>
      </c>
      <c r="Y779" t="s">
        <v>43</v>
      </c>
      <c r="Z779" t="s">
        <v>37</v>
      </c>
      <c r="AA779">
        <v>1.45</v>
      </c>
      <c r="AB779" t="s">
        <v>37</v>
      </c>
      <c r="AC779">
        <v>2.5299999999999998</v>
      </c>
      <c r="AD779">
        <v>65</v>
      </c>
      <c r="AE779">
        <v>55000</v>
      </c>
      <c r="AF779" t="str">
        <f>IF(Table1[[#This Row],[What is your current CGPA?]]&gt;=3.5,"High",IF(Table1[[#This Row],[What is your current CGPA?]]&gt;=2.5,"Medium","Low"))</f>
        <v>Medium</v>
      </c>
      <c r="AG779" t="str">
        <f>IF(AND(Table1[[#This Row],[Average attendance on class]]&lt;75,Table1[[#This Row],[How many hour do you study daily?]]&lt;1),"At Risk","Normal")</f>
        <v>Normal</v>
      </c>
      <c r="AH779">
        <f>(Table1[[#This Row],[Average attendance on class]]*0.4)+(Table1[[#This Row],[How many hour do you study daily?]]*10*0.3)+(Table1[[#This Row],[How many hour do you spent daily on your skill development?]]*10*0.3)</f>
        <v>50</v>
      </c>
    </row>
    <row r="780" spans="1:34" x14ac:dyDescent="0.25">
      <c r="A780">
        <v>2022</v>
      </c>
      <c r="B780" t="s">
        <v>34</v>
      </c>
      <c r="C780">
        <v>21</v>
      </c>
      <c r="D780">
        <v>2021</v>
      </c>
      <c r="E780" t="s">
        <v>35</v>
      </c>
      <c r="F780">
        <v>5</v>
      </c>
      <c r="G780" t="s">
        <v>37</v>
      </c>
      <c r="H780" t="s">
        <v>37</v>
      </c>
      <c r="I780">
        <v>2</v>
      </c>
      <c r="J780">
        <v>1</v>
      </c>
      <c r="K780" t="s">
        <v>38</v>
      </c>
      <c r="L780" t="s">
        <v>36</v>
      </c>
      <c r="M780" t="s">
        <v>37</v>
      </c>
      <c r="N780">
        <v>4</v>
      </c>
      <c r="O780" t="s">
        <v>39</v>
      </c>
      <c r="P780">
        <v>100</v>
      </c>
      <c r="Q780" t="s">
        <v>37</v>
      </c>
      <c r="R780" t="s">
        <v>37</v>
      </c>
      <c r="S780" t="s">
        <v>37</v>
      </c>
      <c r="T780" t="s">
        <v>52</v>
      </c>
      <c r="U780">
        <v>2</v>
      </c>
      <c r="V780" t="s">
        <v>62</v>
      </c>
      <c r="W780" t="s">
        <v>42</v>
      </c>
      <c r="X780" t="s">
        <v>37</v>
      </c>
      <c r="Y780" t="s">
        <v>43</v>
      </c>
      <c r="Z780" t="s">
        <v>37</v>
      </c>
      <c r="AA780">
        <v>2.16</v>
      </c>
      <c r="AB780" t="s">
        <v>37</v>
      </c>
      <c r="AC780">
        <v>3.24</v>
      </c>
      <c r="AD780">
        <v>66</v>
      </c>
      <c r="AE780">
        <v>57000</v>
      </c>
      <c r="AF780" t="str">
        <f>IF(Table1[[#This Row],[What is your current CGPA?]]&gt;=3.5,"High",IF(Table1[[#This Row],[What is your current CGPA?]]&gt;=2.5,"Medium","Low"))</f>
        <v>Medium</v>
      </c>
      <c r="AG780" t="str">
        <f>IF(AND(Table1[[#This Row],[Average attendance on class]]&lt;75,Table1[[#This Row],[How many hour do you study daily?]]&lt;1),"At Risk","Normal")</f>
        <v>Normal</v>
      </c>
      <c r="AH780">
        <f>(Table1[[#This Row],[Average attendance on class]]*0.4)+(Table1[[#This Row],[How many hour do you study daily?]]*10*0.3)+(Table1[[#This Row],[How many hour do you spent daily on your skill development?]]*10*0.3)</f>
        <v>52</v>
      </c>
    </row>
    <row r="781" spans="1:34" x14ac:dyDescent="0.25">
      <c r="A781">
        <v>2022</v>
      </c>
      <c r="B781" t="s">
        <v>34</v>
      </c>
      <c r="C781">
        <v>21</v>
      </c>
      <c r="D781">
        <v>2021</v>
      </c>
      <c r="E781" t="s">
        <v>35</v>
      </c>
      <c r="F781">
        <v>6</v>
      </c>
      <c r="G781" t="s">
        <v>37</v>
      </c>
      <c r="H781" t="s">
        <v>37</v>
      </c>
      <c r="I781">
        <v>2</v>
      </c>
      <c r="J781">
        <v>1</v>
      </c>
      <c r="K781" t="s">
        <v>38</v>
      </c>
      <c r="L781" t="s">
        <v>36</v>
      </c>
      <c r="M781" t="s">
        <v>36</v>
      </c>
      <c r="N781">
        <v>2</v>
      </c>
      <c r="O781" t="s">
        <v>39</v>
      </c>
      <c r="P781">
        <v>100</v>
      </c>
      <c r="Q781" t="s">
        <v>36</v>
      </c>
      <c r="R781" t="s">
        <v>37</v>
      </c>
      <c r="S781" t="s">
        <v>37</v>
      </c>
      <c r="T781" t="s">
        <v>40</v>
      </c>
      <c r="U781">
        <v>2</v>
      </c>
      <c r="V781" t="s">
        <v>40</v>
      </c>
      <c r="W781" t="s">
        <v>56</v>
      </c>
      <c r="X781" t="s">
        <v>36</v>
      </c>
      <c r="Y781" t="s">
        <v>47</v>
      </c>
      <c r="Z781" t="s">
        <v>37</v>
      </c>
      <c r="AA781">
        <v>2.56</v>
      </c>
      <c r="AB781" t="s">
        <v>37</v>
      </c>
      <c r="AC781">
        <v>3.62</v>
      </c>
      <c r="AD781">
        <v>65</v>
      </c>
      <c r="AE781">
        <v>58000</v>
      </c>
      <c r="AF781" t="str">
        <f>IF(Table1[[#This Row],[What is your current CGPA?]]&gt;=3.5,"High",IF(Table1[[#This Row],[What is your current CGPA?]]&gt;=2.5,"Medium","Low"))</f>
        <v>High</v>
      </c>
      <c r="AG781" t="str">
        <f>IF(AND(Table1[[#This Row],[Average attendance on class]]&lt;75,Table1[[#This Row],[How many hour do you study daily?]]&lt;1),"At Risk","Normal")</f>
        <v>Normal</v>
      </c>
      <c r="AH781">
        <f>(Table1[[#This Row],[Average attendance on class]]*0.4)+(Table1[[#This Row],[How many hour do you study daily?]]*10*0.3)+(Table1[[#This Row],[How many hour do you spent daily on your skill development?]]*10*0.3)</f>
        <v>52</v>
      </c>
    </row>
    <row r="782" spans="1:34" x14ac:dyDescent="0.25">
      <c r="A782">
        <v>2019</v>
      </c>
      <c r="B782" t="s">
        <v>34</v>
      </c>
      <c r="C782">
        <v>21</v>
      </c>
      <c r="D782">
        <v>2018</v>
      </c>
      <c r="E782" t="s">
        <v>35</v>
      </c>
      <c r="F782">
        <v>11</v>
      </c>
      <c r="G782" t="s">
        <v>36</v>
      </c>
      <c r="H782" t="s">
        <v>37</v>
      </c>
      <c r="I782">
        <v>1</v>
      </c>
      <c r="J782">
        <v>1</v>
      </c>
      <c r="K782" t="s">
        <v>38</v>
      </c>
      <c r="L782" t="s">
        <v>36</v>
      </c>
      <c r="M782" t="s">
        <v>36</v>
      </c>
      <c r="N782">
        <v>7</v>
      </c>
      <c r="O782" t="s">
        <v>53</v>
      </c>
      <c r="P782">
        <v>100</v>
      </c>
      <c r="Q782" t="s">
        <v>37</v>
      </c>
      <c r="R782" t="s">
        <v>37</v>
      </c>
      <c r="S782" t="s">
        <v>36</v>
      </c>
      <c r="T782" t="s">
        <v>40</v>
      </c>
      <c r="U782">
        <v>3</v>
      </c>
      <c r="V782" t="s">
        <v>62</v>
      </c>
      <c r="W782" t="s">
        <v>42</v>
      </c>
      <c r="X782" t="s">
        <v>37</v>
      </c>
      <c r="Y782" t="s">
        <v>43</v>
      </c>
      <c r="Z782" t="s">
        <v>37</v>
      </c>
      <c r="AA782">
        <v>1.97</v>
      </c>
      <c r="AB782" t="s">
        <v>37</v>
      </c>
      <c r="AC782">
        <v>3.1</v>
      </c>
      <c r="AD782">
        <v>136</v>
      </c>
      <c r="AE782">
        <v>59000</v>
      </c>
      <c r="AF782" t="str">
        <f>IF(Table1[[#This Row],[What is your current CGPA?]]&gt;=3.5,"High",IF(Table1[[#This Row],[What is your current CGPA?]]&gt;=2.5,"Medium","Low"))</f>
        <v>Medium</v>
      </c>
      <c r="AG782" t="str">
        <f>IF(AND(Table1[[#This Row],[Average attendance on class]]&lt;75,Table1[[#This Row],[How many hour do you study daily?]]&lt;1),"At Risk","Normal")</f>
        <v>Normal</v>
      </c>
      <c r="AH782">
        <f>(Table1[[#This Row],[Average attendance on class]]*0.4)+(Table1[[#This Row],[How many hour do you study daily?]]*10*0.3)+(Table1[[#This Row],[How many hour do you spent daily on your skill development?]]*10*0.3)</f>
        <v>52</v>
      </c>
    </row>
    <row r="783" spans="1:34" x14ac:dyDescent="0.25">
      <c r="A783">
        <v>2020</v>
      </c>
      <c r="B783" t="s">
        <v>48</v>
      </c>
      <c r="C783">
        <v>23</v>
      </c>
      <c r="D783">
        <v>2019</v>
      </c>
      <c r="E783" t="s">
        <v>35</v>
      </c>
      <c r="F783">
        <v>7</v>
      </c>
      <c r="G783" t="s">
        <v>37</v>
      </c>
      <c r="H783" t="s">
        <v>37</v>
      </c>
      <c r="I783">
        <v>2</v>
      </c>
      <c r="J783">
        <v>2</v>
      </c>
      <c r="K783" t="s">
        <v>38</v>
      </c>
      <c r="L783" t="s">
        <v>36</v>
      </c>
      <c r="M783" t="s">
        <v>36</v>
      </c>
      <c r="N783">
        <v>3</v>
      </c>
      <c r="O783" t="s">
        <v>39</v>
      </c>
      <c r="P783">
        <v>90</v>
      </c>
      <c r="Q783" t="s">
        <v>36</v>
      </c>
      <c r="R783" t="s">
        <v>37</v>
      </c>
      <c r="S783" t="s">
        <v>37</v>
      </c>
      <c r="T783" t="s">
        <v>51</v>
      </c>
      <c r="U783">
        <v>1</v>
      </c>
      <c r="V783" t="s">
        <v>41</v>
      </c>
      <c r="W783" t="s">
        <v>50</v>
      </c>
      <c r="X783" t="s">
        <v>36</v>
      </c>
      <c r="Y783" t="s">
        <v>47</v>
      </c>
      <c r="Z783" t="s">
        <v>37</v>
      </c>
      <c r="AA783">
        <v>2.33</v>
      </c>
      <c r="AB783" t="s">
        <v>37</v>
      </c>
      <c r="AC783">
        <v>3.31</v>
      </c>
      <c r="AD783">
        <v>32</v>
      </c>
      <c r="AE783">
        <v>60000</v>
      </c>
      <c r="AF783" t="str">
        <f>IF(Table1[[#This Row],[What is your current CGPA?]]&gt;=3.5,"High",IF(Table1[[#This Row],[What is your current CGPA?]]&gt;=2.5,"Medium","Low"))</f>
        <v>Medium</v>
      </c>
      <c r="AG783" t="str">
        <f>IF(AND(Table1[[#This Row],[Average attendance on class]]&lt;75,Table1[[#This Row],[How many hour do you study daily?]]&lt;1),"At Risk","Normal")</f>
        <v>Normal</v>
      </c>
      <c r="AH783">
        <f>(Table1[[#This Row],[Average attendance on class]]*0.4)+(Table1[[#This Row],[How many hour do you study daily?]]*10*0.3)+(Table1[[#This Row],[How many hour do you spent daily on your skill development?]]*10*0.3)</f>
        <v>45</v>
      </c>
    </row>
    <row r="784" spans="1:34" x14ac:dyDescent="0.25">
      <c r="A784">
        <v>2020</v>
      </c>
      <c r="B784" t="s">
        <v>48</v>
      </c>
      <c r="C784">
        <v>20</v>
      </c>
      <c r="D784">
        <v>2020</v>
      </c>
      <c r="E784" t="s">
        <v>35</v>
      </c>
      <c r="F784">
        <v>11</v>
      </c>
      <c r="G784" t="s">
        <v>37</v>
      </c>
      <c r="H784" t="s">
        <v>37</v>
      </c>
      <c r="I784">
        <v>2</v>
      </c>
      <c r="J784">
        <v>1</v>
      </c>
      <c r="K784" t="s">
        <v>38</v>
      </c>
      <c r="L784" t="s">
        <v>36</v>
      </c>
      <c r="M784" t="s">
        <v>36</v>
      </c>
      <c r="N784">
        <v>3</v>
      </c>
      <c r="O784" t="s">
        <v>39</v>
      </c>
      <c r="P784">
        <v>100</v>
      </c>
      <c r="Q784" t="s">
        <v>36</v>
      </c>
      <c r="R784" t="s">
        <v>37</v>
      </c>
      <c r="S784" t="s">
        <v>37</v>
      </c>
      <c r="T784" t="s">
        <v>51</v>
      </c>
      <c r="U784">
        <v>2</v>
      </c>
      <c r="V784" t="s">
        <v>59</v>
      </c>
      <c r="W784" t="s">
        <v>42</v>
      </c>
      <c r="X784" t="s">
        <v>37</v>
      </c>
      <c r="Y784" t="s">
        <v>43</v>
      </c>
      <c r="Z784" t="s">
        <v>37</v>
      </c>
      <c r="AA784">
        <v>1.6</v>
      </c>
      <c r="AB784" t="s">
        <v>37</v>
      </c>
      <c r="AC784">
        <v>2.68</v>
      </c>
      <c r="AD784">
        <v>136</v>
      </c>
      <c r="AE784">
        <v>60000</v>
      </c>
      <c r="AF784" t="str">
        <f>IF(Table1[[#This Row],[What is your current CGPA?]]&gt;=3.5,"High",IF(Table1[[#This Row],[What is your current CGPA?]]&gt;=2.5,"Medium","Low"))</f>
        <v>Medium</v>
      </c>
      <c r="AG784" t="str">
        <f>IF(AND(Table1[[#This Row],[Average attendance on class]]&lt;75,Table1[[#This Row],[How many hour do you study daily?]]&lt;1),"At Risk","Normal")</f>
        <v>Normal</v>
      </c>
      <c r="AH784">
        <f>(Table1[[#This Row],[Average attendance on class]]*0.4)+(Table1[[#This Row],[How many hour do you study daily?]]*10*0.3)+(Table1[[#This Row],[How many hour do you spent daily on your skill development?]]*10*0.3)</f>
        <v>52</v>
      </c>
    </row>
    <row r="785" spans="1:34" x14ac:dyDescent="0.25">
      <c r="A785">
        <v>2021</v>
      </c>
      <c r="B785" t="s">
        <v>34</v>
      </c>
      <c r="C785">
        <v>20</v>
      </c>
      <c r="D785">
        <v>2021</v>
      </c>
      <c r="E785" t="s">
        <v>35</v>
      </c>
      <c r="F785">
        <v>7</v>
      </c>
      <c r="G785" t="s">
        <v>37</v>
      </c>
      <c r="H785" t="s">
        <v>37</v>
      </c>
      <c r="I785">
        <v>4</v>
      </c>
      <c r="J785">
        <v>3</v>
      </c>
      <c r="K785" t="s">
        <v>38</v>
      </c>
      <c r="L785" t="s">
        <v>36</v>
      </c>
      <c r="M785" t="s">
        <v>36</v>
      </c>
      <c r="N785">
        <v>6</v>
      </c>
      <c r="O785" t="s">
        <v>39</v>
      </c>
      <c r="P785">
        <v>80</v>
      </c>
      <c r="Q785" t="s">
        <v>37</v>
      </c>
      <c r="R785" t="s">
        <v>37</v>
      </c>
      <c r="S785" t="s">
        <v>37</v>
      </c>
      <c r="T785" t="s">
        <v>52</v>
      </c>
      <c r="U785">
        <v>3</v>
      </c>
      <c r="V785" t="s">
        <v>59</v>
      </c>
      <c r="W785" t="s">
        <v>50</v>
      </c>
      <c r="X785" t="s">
        <v>36</v>
      </c>
      <c r="Y785" t="s">
        <v>43</v>
      </c>
      <c r="Z785" t="s">
        <v>37</v>
      </c>
      <c r="AA785">
        <v>2.11</v>
      </c>
      <c r="AB785" t="s">
        <v>37</v>
      </c>
      <c r="AC785">
        <v>3.22</v>
      </c>
      <c r="AD785">
        <v>97</v>
      </c>
      <c r="AE785">
        <v>60000</v>
      </c>
      <c r="AF785" t="str">
        <f>IF(Table1[[#This Row],[What is your current CGPA?]]&gt;=3.5,"High",IF(Table1[[#This Row],[What is your current CGPA?]]&gt;=2.5,"Medium","Low"))</f>
        <v>Medium</v>
      </c>
      <c r="AG785" t="str">
        <f>IF(AND(Table1[[#This Row],[Average attendance on class]]&lt;75,Table1[[#This Row],[How many hour do you study daily?]]&lt;1),"At Risk","Normal")</f>
        <v>Normal</v>
      </c>
      <c r="AH785">
        <f>(Table1[[#This Row],[Average attendance on class]]*0.4)+(Table1[[#This Row],[How many hour do you study daily?]]*10*0.3)+(Table1[[#This Row],[How many hour do you spent daily on your skill development?]]*10*0.3)</f>
        <v>53</v>
      </c>
    </row>
    <row r="786" spans="1:34" x14ac:dyDescent="0.25">
      <c r="A786">
        <v>2021</v>
      </c>
      <c r="B786" t="s">
        <v>48</v>
      </c>
      <c r="C786">
        <v>20</v>
      </c>
      <c r="D786">
        <v>2021</v>
      </c>
      <c r="E786" t="s">
        <v>35</v>
      </c>
      <c r="F786">
        <v>7</v>
      </c>
      <c r="G786" t="s">
        <v>37</v>
      </c>
      <c r="H786" t="s">
        <v>37</v>
      </c>
      <c r="I786">
        <v>3</v>
      </c>
      <c r="J786">
        <v>1</v>
      </c>
      <c r="K786" t="s">
        <v>44</v>
      </c>
      <c r="L786" t="s">
        <v>36</v>
      </c>
      <c r="M786" t="s">
        <v>36</v>
      </c>
      <c r="N786">
        <v>7</v>
      </c>
      <c r="O786" t="s">
        <v>45</v>
      </c>
      <c r="P786">
        <v>100</v>
      </c>
      <c r="Q786" t="s">
        <v>36</v>
      </c>
      <c r="R786" t="s">
        <v>36</v>
      </c>
      <c r="S786" t="s">
        <v>37</v>
      </c>
      <c r="T786" t="s">
        <v>40</v>
      </c>
      <c r="U786">
        <v>2</v>
      </c>
      <c r="V786" t="s">
        <v>40</v>
      </c>
      <c r="W786" t="s">
        <v>42</v>
      </c>
      <c r="X786" t="s">
        <v>36</v>
      </c>
      <c r="Y786" t="s">
        <v>43</v>
      </c>
      <c r="Z786" t="s">
        <v>37</v>
      </c>
      <c r="AA786">
        <v>1.19</v>
      </c>
      <c r="AB786" t="s">
        <v>37</v>
      </c>
      <c r="AC786">
        <v>2.16</v>
      </c>
      <c r="AD786">
        <v>103</v>
      </c>
      <c r="AE786">
        <v>60000</v>
      </c>
      <c r="AF786" t="str">
        <f>IF(Table1[[#This Row],[What is your current CGPA?]]&gt;=3.5,"High",IF(Table1[[#This Row],[What is your current CGPA?]]&gt;=2.5,"Medium","Low"))</f>
        <v>Low</v>
      </c>
      <c r="AG786" t="str">
        <f>IF(AND(Table1[[#This Row],[Average attendance on class]]&lt;75,Table1[[#This Row],[How many hour do you study daily?]]&lt;1),"At Risk","Normal")</f>
        <v>Normal</v>
      </c>
      <c r="AH786">
        <f>(Table1[[#This Row],[Average attendance on class]]*0.4)+(Table1[[#This Row],[How many hour do you study daily?]]*10*0.3)+(Table1[[#This Row],[How many hour do you spent daily on your skill development?]]*10*0.3)</f>
        <v>55</v>
      </c>
    </row>
    <row r="787" spans="1:34" x14ac:dyDescent="0.25">
      <c r="A787">
        <v>2020</v>
      </c>
      <c r="B787" t="s">
        <v>34</v>
      </c>
      <c r="C787">
        <v>21</v>
      </c>
      <c r="D787">
        <v>2019</v>
      </c>
      <c r="E787" t="s">
        <v>35</v>
      </c>
      <c r="F787">
        <v>9</v>
      </c>
      <c r="G787" t="s">
        <v>37</v>
      </c>
      <c r="H787" t="s">
        <v>37</v>
      </c>
      <c r="I787">
        <v>4</v>
      </c>
      <c r="J787">
        <v>2</v>
      </c>
      <c r="K787" t="s">
        <v>44</v>
      </c>
      <c r="L787" t="s">
        <v>36</v>
      </c>
      <c r="M787" t="s">
        <v>36</v>
      </c>
      <c r="N787">
        <v>5</v>
      </c>
      <c r="O787" t="s">
        <v>53</v>
      </c>
      <c r="P787">
        <v>100</v>
      </c>
      <c r="Q787" t="s">
        <v>37</v>
      </c>
      <c r="R787" t="s">
        <v>37</v>
      </c>
      <c r="S787" t="s">
        <v>36</v>
      </c>
      <c r="T787" t="s">
        <v>52</v>
      </c>
      <c r="U787">
        <v>2</v>
      </c>
      <c r="V787" t="s">
        <v>40</v>
      </c>
      <c r="W787" t="s">
        <v>42</v>
      </c>
      <c r="X787" t="s">
        <v>37</v>
      </c>
      <c r="Y787" t="s">
        <v>43</v>
      </c>
      <c r="Z787" t="s">
        <v>37</v>
      </c>
      <c r="AA787">
        <v>2.65</v>
      </c>
      <c r="AB787" t="s">
        <v>37</v>
      </c>
      <c r="AC787">
        <v>3.78</v>
      </c>
      <c r="AD787">
        <v>121</v>
      </c>
      <c r="AE787">
        <v>61000</v>
      </c>
      <c r="AF787" t="str">
        <f>IF(Table1[[#This Row],[What is your current CGPA?]]&gt;=3.5,"High",IF(Table1[[#This Row],[What is your current CGPA?]]&gt;=2.5,"Medium","Low"))</f>
        <v>High</v>
      </c>
      <c r="AG787" t="str">
        <f>IF(AND(Table1[[#This Row],[Average attendance on class]]&lt;75,Table1[[#This Row],[How many hour do you study daily?]]&lt;1),"At Risk","Normal")</f>
        <v>Normal</v>
      </c>
      <c r="AH787">
        <f>(Table1[[#This Row],[Average attendance on class]]*0.4)+(Table1[[#This Row],[How many hour do you study daily?]]*10*0.3)+(Table1[[#This Row],[How many hour do you spent daily on your skill development?]]*10*0.3)</f>
        <v>58</v>
      </c>
    </row>
    <row r="788" spans="1:34" x14ac:dyDescent="0.25">
      <c r="A788">
        <v>2020</v>
      </c>
      <c r="B788" t="s">
        <v>34</v>
      </c>
      <c r="C788">
        <v>20</v>
      </c>
      <c r="D788">
        <v>2020</v>
      </c>
      <c r="E788" t="s">
        <v>35</v>
      </c>
      <c r="F788">
        <v>10</v>
      </c>
      <c r="G788" t="s">
        <v>37</v>
      </c>
      <c r="H788" t="s">
        <v>37</v>
      </c>
      <c r="I788">
        <v>2</v>
      </c>
      <c r="J788">
        <v>2</v>
      </c>
      <c r="K788" t="s">
        <v>38</v>
      </c>
      <c r="L788" t="s">
        <v>36</v>
      </c>
      <c r="M788" t="s">
        <v>36</v>
      </c>
      <c r="N788">
        <v>2</v>
      </c>
      <c r="O788" t="s">
        <v>39</v>
      </c>
      <c r="P788">
        <v>100</v>
      </c>
      <c r="Q788" t="s">
        <v>36</v>
      </c>
      <c r="R788" t="s">
        <v>37</v>
      </c>
      <c r="S788" t="s">
        <v>36</v>
      </c>
      <c r="T788" t="s">
        <v>49</v>
      </c>
      <c r="U788">
        <v>1</v>
      </c>
      <c r="V788" t="s">
        <v>41</v>
      </c>
      <c r="W788" t="s">
        <v>50</v>
      </c>
      <c r="X788" t="s">
        <v>36</v>
      </c>
      <c r="Y788" t="s">
        <v>43</v>
      </c>
      <c r="Z788" t="s">
        <v>37</v>
      </c>
      <c r="AA788">
        <v>2.67</v>
      </c>
      <c r="AB788" t="s">
        <v>37</v>
      </c>
      <c r="AC788">
        <v>3.7</v>
      </c>
      <c r="AD788">
        <v>135</v>
      </c>
      <c r="AE788">
        <v>61000</v>
      </c>
      <c r="AF788" t="str">
        <f>IF(Table1[[#This Row],[What is your current CGPA?]]&gt;=3.5,"High",IF(Table1[[#This Row],[What is your current CGPA?]]&gt;=2.5,"Medium","Low"))</f>
        <v>High</v>
      </c>
      <c r="AG788" t="str">
        <f>IF(AND(Table1[[#This Row],[Average attendance on class]]&lt;75,Table1[[#This Row],[How many hour do you study daily?]]&lt;1),"At Risk","Normal")</f>
        <v>Normal</v>
      </c>
      <c r="AH788">
        <f>(Table1[[#This Row],[Average attendance on class]]*0.4)+(Table1[[#This Row],[How many hour do you study daily?]]*10*0.3)+(Table1[[#This Row],[How many hour do you spent daily on your skill development?]]*10*0.3)</f>
        <v>49</v>
      </c>
    </row>
    <row r="789" spans="1:34" x14ac:dyDescent="0.25">
      <c r="A789">
        <v>2020</v>
      </c>
      <c r="B789" t="s">
        <v>34</v>
      </c>
      <c r="C789">
        <v>24</v>
      </c>
      <c r="D789">
        <v>2019</v>
      </c>
      <c r="E789" t="s">
        <v>35</v>
      </c>
      <c r="F789">
        <v>11</v>
      </c>
      <c r="G789" t="s">
        <v>37</v>
      </c>
      <c r="H789" t="s">
        <v>37</v>
      </c>
      <c r="I789">
        <v>3</v>
      </c>
      <c r="J789">
        <v>3</v>
      </c>
      <c r="K789" t="s">
        <v>44</v>
      </c>
      <c r="L789" t="s">
        <v>36</v>
      </c>
      <c r="M789" t="s">
        <v>36</v>
      </c>
      <c r="N789">
        <v>3</v>
      </c>
      <c r="O789" t="s">
        <v>39</v>
      </c>
      <c r="P789">
        <v>46</v>
      </c>
      <c r="Q789" t="s">
        <v>36</v>
      </c>
      <c r="R789" t="s">
        <v>37</v>
      </c>
      <c r="S789" t="s">
        <v>37</v>
      </c>
      <c r="T789" t="s">
        <v>61</v>
      </c>
      <c r="U789">
        <v>2</v>
      </c>
      <c r="V789" t="s">
        <v>41</v>
      </c>
      <c r="W789" t="s">
        <v>42</v>
      </c>
      <c r="X789" t="s">
        <v>37</v>
      </c>
      <c r="Y789" t="s">
        <v>47</v>
      </c>
      <c r="Z789" t="s">
        <v>37</v>
      </c>
      <c r="AA789">
        <v>2.44</v>
      </c>
      <c r="AB789" t="s">
        <v>37</v>
      </c>
      <c r="AC789">
        <v>3.51</v>
      </c>
      <c r="AD789">
        <v>144</v>
      </c>
      <c r="AE789">
        <v>64000</v>
      </c>
      <c r="AF789" t="str">
        <f>IF(Table1[[#This Row],[What is your current CGPA?]]&gt;=3.5,"High",IF(Table1[[#This Row],[What is your current CGPA?]]&gt;=2.5,"Medium","Low"))</f>
        <v>High</v>
      </c>
      <c r="AG789" t="str">
        <f>IF(AND(Table1[[#This Row],[Average attendance on class]]&lt;75,Table1[[#This Row],[How many hour do you study daily?]]&lt;1),"At Risk","Normal")</f>
        <v>Normal</v>
      </c>
      <c r="AH789">
        <f>(Table1[[#This Row],[Average attendance on class]]*0.4)+(Table1[[#This Row],[How many hour do you study daily?]]*10*0.3)+(Table1[[#This Row],[How many hour do you spent daily on your skill development?]]*10*0.3)</f>
        <v>33.400000000000006</v>
      </c>
    </row>
    <row r="790" spans="1:34" x14ac:dyDescent="0.25">
      <c r="A790">
        <v>2020</v>
      </c>
      <c r="B790" t="s">
        <v>34</v>
      </c>
      <c r="C790">
        <v>24</v>
      </c>
      <c r="D790">
        <v>2019</v>
      </c>
      <c r="E790" t="s">
        <v>35</v>
      </c>
      <c r="F790">
        <v>11</v>
      </c>
      <c r="G790" t="s">
        <v>37</v>
      </c>
      <c r="H790" t="s">
        <v>37</v>
      </c>
      <c r="I790">
        <v>3</v>
      </c>
      <c r="J790">
        <v>3</v>
      </c>
      <c r="K790" t="s">
        <v>38</v>
      </c>
      <c r="L790" t="s">
        <v>36</v>
      </c>
      <c r="M790" t="s">
        <v>36</v>
      </c>
      <c r="N790">
        <v>3</v>
      </c>
      <c r="O790" t="s">
        <v>53</v>
      </c>
      <c r="P790">
        <v>75</v>
      </c>
      <c r="Q790" t="s">
        <v>36</v>
      </c>
      <c r="R790" t="s">
        <v>37</v>
      </c>
      <c r="S790" t="s">
        <v>36</v>
      </c>
      <c r="T790" t="s">
        <v>51</v>
      </c>
      <c r="U790">
        <v>1</v>
      </c>
      <c r="V790" t="s">
        <v>59</v>
      </c>
      <c r="W790" t="s">
        <v>50</v>
      </c>
      <c r="X790" t="s">
        <v>36</v>
      </c>
      <c r="Y790" t="s">
        <v>43</v>
      </c>
      <c r="Z790" t="s">
        <v>37</v>
      </c>
      <c r="AA790">
        <v>1.65</v>
      </c>
      <c r="AB790" t="s">
        <v>37</v>
      </c>
      <c r="AC790">
        <v>2.68</v>
      </c>
      <c r="AD790">
        <v>143</v>
      </c>
      <c r="AE790">
        <v>65000</v>
      </c>
      <c r="AF790" t="str">
        <f>IF(Table1[[#This Row],[What is your current CGPA?]]&gt;=3.5,"High",IF(Table1[[#This Row],[What is your current CGPA?]]&gt;=2.5,"Medium","Low"))</f>
        <v>Medium</v>
      </c>
      <c r="AG790" t="str">
        <f>IF(AND(Table1[[#This Row],[Average attendance on class]]&lt;75,Table1[[#This Row],[How many hour do you study daily?]]&lt;1),"At Risk","Normal")</f>
        <v>Normal</v>
      </c>
      <c r="AH790">
        <f>(Table1[[#This Row],[Average attendance on class]]*0.4)+(Table1[[#This Row],[How many hour do you study daily?]]*10*0.3)+(Table1[[#This Row],[How many hour do you spent daily on your skill development?]]*10*0.3)</f>
        <v>42</v>
      </c>
    </row>
    <row r="791" spans="1:34" x14ac:dyDescent="0.25">
      <c r="A791">
        <v>2020</v>
      </c>
      <c r="B791" t="s">
        <v>34</v>
      </c>
      <c r="C791">
        <v>25</v>
      </c>
      <c r="D791">
        <v>2019</v>
      </c>
      <c r="E791" t="s">
        <v>35</v>
      </c>
      <c r="F791">
        <v>10</v>
      </c>
      <c r="G791" t="s">
        <v>37</v>
      </c>
      <c r="H791" t="s">
        <v>37</v>
      </c>
      <c r="I791">
        <v>2</v>
      </c>
      <c r="J791">
        <v>2</v>
      </c>
      <c r="K791" t="s">
        <v>38</v>
      </c>
      <c r="L791" t="s">
        <v>36</v>
      </c>
      <c r="M791" t="s">
        <v>36</v>
      </c>
      <c r="N791">
        <v>3</v>
      </c>
      <c r="O791" t="s">
        <v>39</v>
      </c>
      <c r="P791">
        <v>78</v>
      </c>
      <c r="Q791" t="s">
        <v>37</v>
      </c>
      <c r="R791" t="s">
        <v>37</v>
      </c>
      <c r="S791" t="s">
        <v>37</v>
      </c>
      <c r="T791" t="s">
        <v>61</v>
      </c>
      <c r="U791">
        <v>2</v>
      </c>
      <c r="V791" t="s">
        <v>41</v>
      </c>
      <c r="W791" t="s">
        <v>42</v>
      </c>
      <c r="X791" t="s">
        <v>36</v>
      </c>
      <c r="Y791" t="s">
        <v>43</v>
      </c>
      <c r="Z791" t="s">
        <v>37</v>
      </c>
      <c r="AA791">
        <v>2.54</v>
      </c>
      <c r="AB791" t="s">
        <v>37</v>
      </c>
      <c r="AC791">
        <v>3.61</v>
      </c>
      <c r="AD791">
        <v>78</v>
      </c>
      <c r="AE791">
        <v>65000</v>
      </c>
      <c r="AF791" t="str">
        <f>IF(Table1[[#This Row],[What is your current CGPA?]]&gt;=3.5,"High",IF(Table1[[#This Row],[What is your current CGPA?]]&gt;=2.5,"Medium","Low"))</f>
        <v>High</v>
      </c>
      <c r="AG791" t="str">
        <f>IF(AND(Table1[[#This Row],[Average attendance on class]]&lt;75,Table1[[#This Row],[How many hour do you study daily?]]&lt;1),"At Risk","Normal")</f>
        <v>Normal</v>
      </c>
      <c r="AH791">
        <f>(Table1[[#This Row],[Average attendance on class]]*0.4)+(Table1[[#This Row],[How many hour do you study daily?]]*10*0.3)+(Table1[[#This Row],[How many hour do you spent daily on your skill development?]]*10*0.3)</f>
        <v>43.2</v>
      </c>
    </row>
    <row r="792" spans="1:34" x14ac:dyDescent="0.25">
      <c r="A792">
        <v>2020</v>
      </c>
      <c r="B792" t="s">
        <v>34</v>
      </c>
      <c r="C792">
        <v>20</v>
      </c>
      <c r="D792">
        <v>2020</v>
      </c>
      <c r="E792" t="s">
        <v>35</v>
      </c>
      <c r="F792">
        <v>11</v>
      </c>
      <c r="G792" t="s">
        <v>37</v>
      </c>
      <c r="H792" t="s">
        <v>37</v>
      </c>
      <c r="I792">
        <v>2</v>
      </c>
      <c r="J792">
        <v>1</v>
      </c>
      <c r="K792" t="s">
        <v>44</v>
      </c>
      <c r="L792" t="s">
        <v>36</v>
      </c>
      <c r="M792" t="s">
        <v>36</v>
      </c>
      <c r="N792">
        <v>2</v>
      </c>
      <c r="O792" t="s">
        <v>53</v>
      </c>
      <c r="P792">
        <v>100</v>
      </c>
      <c r="Q792" t="s">
        <v>36</v>
      </c>
      <c r="R792" t="s">
        <v>37</v>
      </c>
      <c r="S792" t="s">
        <v>37</v>
      </c>
      <c r="T792" t="s">
        <v>61</v>
      </c>
      <c r="U792">
        <v>2</v>
      </c>
      <c r="V792" t="s">
        <v>41</v>
      </c>
      <c r="W792" t="s">
        <v>56</v>
      </c>
      <c r="X792" t="s">
        <v>36</v>
      </c>
      <c r="Y792" t="s">
        <v>47</v>
      </c>
      <c r="Z792" t="s">
        <v>37</v>
      </c>
      <c r="AA792">
        <v>2.5</v>
      </c>
      <c r="AB792" t="s">
        <v>37</v>
      </c>
      <c r="AC792">
        <v>3.61</v>
      </c>
      <c r="AD792">
        <v>136</v>
      </c>
      <c r="AE792">
        <v>65000</v>
      </c>
      <c r="AF792" t="str">
        <f>IF(Table1[[#This Row],[What is your current CGPA?]]&gt;=3.5,"High",IF(Table1[[#This Row],[What is your current CGPA?]]&gt;=2.5,"Medium","Low"))</f>
        <v>High</v>
      </c>
      <c r="AG792" t="str">
        <f>IF(AND(Table1[[#This Row],[Average attendance on class]]&lt;75,Table1[[#This Row],[How many hour do you study daily?]]&lt;1),"At Risk","Normal")</f>
        <v>Normal</v>
      </c>
      <c r="AH792">
        <f>(Table1[[#This Row],[Average attendance on class]]*0.4)+(Table1[[#This Row],[How many hour do you study daily?]]*10*0.3)+(Table1[[#This Row],[How many hour do you spent daily on your skill development?]]*10*0.3)</f>
        <v>52</v>
      </c>
    </row>
    <row r="793" spans="1:34" x14ac:dyDescent="0.25">
      <c r="A793">
        <v>2021</v>
      </c>
      <c r="B793" t="s">
        <v>48</v>
      </c>
      <c r="C793">
        <v>20</v>
      </c>
      <c r="D793">
        <v>2020</v>
      </c>
      <c r="E793" t="s">
        <v>35</v>
      </c>
      <c r="F793">
        <v>6</v>
      </c>
      <c r="G793" t="s">
        <v>37</v>
      </c>
      <c r="H793" t="s">
        <v>37</v>
      </c>
      <c r="I793">
        <v>4</v>
      </c>
      <c r="J793">
        <v>2</v>
      </c>
      <c r="K793" t="s">
        <v>44</v>
      </c>
      <c r="L793" t="s">
        <v>36</v>
      </c>
      <c r="M793" t="s">
        <v>36</v>
      </c>
      <c r="N793">
        <v>8</v>
      </c>
      <c r="O793" t="s">
        <v>39</v>
      </c>
      <c r="P793">
        <v>100</v>
      </c>
      <c r="Q793" t="s">
        <v>37</v>
      </c>
      <c r="R793" t="s">
        <v>37</v>
      </c>
      <c r="S793" t="s">
        <v>37</v>
      </c>
      <c r="T793" t="s">
        <v>40</v>
      </c>
      <c r="U793">
        <v>2</v>
      </c>
      <c r="V793" t="s">
        <v>40</v>
      </c>
      <c r="W793" t="s">
        <v>50</v>
      </c>
      <c r="X793" t="s">
        <v>36</v>
      </c>
      <c r="Y793" t="s">
        <v>47</v>
      </c>
      <c r="Z793" t="s">
        <v>37</v>
      </c>
      <c r="AA793">
        <v>2.0699999999999998</v>
      </c>
      <c r="AB793" t="s">
        <v>37</v>
      </c>
      <c r="AC793">
        <v>3.39</v>
      </c>
      <c r="AD793">
        <v>84</v>
      </c>
      <c r="AE793">
        <v>66000</v>
      </c>
      <c r="AF793" t="str">
        <f>IF(Table1[[#This Row],[What is your current CGPA?]]&gt;=3.5,"High",IF(Table1[[#This Row],[What is your current CGPA?]]&gt;=2.5,"Medium","Low"))</f>
        <v>Medium</v>
      </c>
      <c r="AG793" t="str">
        <f>IF(AND(Table1[[#This Row],[Average attendance on class]]&lt;75,Table1[[#This Row],[How many hour do you study daily?]]&lt;1),"At Risk","Normal")</f>
        <v>Normal</v>
      </c>
      <c r="AH793">
        <f>(Table1[[#This Row],[Average attendance on class]]*0.4)+(Table1[[#This Row],[How many hour do you study daily?]]*10*0.3)+(Table1[[#This Row],[How many hour do you spent daily on your skill development?]]*10*0.3)</f>
        <v>58</v>
      </c>
    </row>
    <row r="794" spans="1:34" x14ac:dyDescent="0.25">
      <c r="A794">
        <v>2020</v>
      </c>
      <c r="B794" t="s">
        <v>48</v>
      </c>
      <c r="C794">
        <v>20</v>
      </c>
      <c r="D794">
        <v>2020</v>
      </c>
      <c r="E794" t="s">
        <v>35</v>
      </c>
      <c r="F794">
        <v>8</v>
      </c>
      <c r="G794" t="s">
        <v>37</v>
      </c>
      <c r="H794" t="s">
        <v>37</v>
      </c>
      <c r="I794">
        <v>4</v>
      </c>
      <c r="J794">
        <v>2</v>
      </c>
      <c r="K794" t="s">
        <v>44</v>
      </c>
      <c r="L794" t="s">
        <v>36</v>
      </c>
      <c r="M794" t="s">
        <v>36</v>
      </c>
      <c r="N794">
        <v>6</v>
      </c>
      <c r="O794" t="s">
        <v>53</v>
      </c>
      <c r="P794">
        <v>100</v>
      </c>
      <c r="Q794" t="s">
        <v>37</v>
      </c>
      <c r="R794" t="s">
        <v>37</v>
      </c>
      <c r="S794" t="s">
        <v>36</v>
      </c>
      <c r="T794" t="s">
        <v>40</v>
      </c>
      <c r="U794">
        <v>1</v>
      </c>
      <c r="V794" t="s">
        <v>62</v>
      </c>
      <c r="W794" t="s">
        <v>42</v>
      </c>
      <c r="X794" t="s">
        <v>37</v>
      </c>
      <c r="Y794" t="s">
        <v>47</v>
      </c>
      <c r="Z794" t="s">
        <v>37</v>
      </c>
      <c r="AA794">
        <v>1.77</v>
      </c>
      <c r="AB794" t="s">
        <v>37</v>
      </c>
      <c r="AC794">
        <v>2.64</v>
      </c>
      <c r="AD794">
        <v>119</v>
      </c>
      <c r="AE794">
        <v>66000</v>
      </c>
      <c r="AF794" t="str">
        <f>IF(Table1[[#This Row],[What is your current CGPA?]]&gt;=3.5,"High",IF(Table1[[#This Row],[What is your current CGPA?]]&gt;=2.5,"Medium","Low"))</f>
        <v>Medium</v>
      </c>
      <c r="AG794" t="str">
        <f>IF(AND(Table1[[#This Row],[Average attendance on class]]&lt;75,Table1[[#This Row],[How many hour do you study daily?]]&lt;1),"At Risk","Normal")</f>
        <v>Normal</v>
      </c>
      <c r="AH794">
        <f>(Table1[[#This Row],[Average attendance on class]]*0.4)+(Table1[[#This Row],[How many hour do you study daily?]]*10*0.3)+(Table1[[#This Row],[How many hour do you spent daily on your skill development?]]*10*0.3)</f>
        <v>55</v>
      </c>
    </row>
    <row r="795" spans="1:34" x14ac:dyDescent="0.25">
      <c r="A795">
        <v>2021</v>
      </c>
      <c r="B795" t="s">
        <v>34</v>
      </c>
      <c r="C795">
        <v>20</v>
      </c>
      <c r="D795">
        <v>2020</v>
      </c>
      <c r="E795" t="s">
        <v>35</v>
      </c>
      <c r="F795">
        <v>7</v>
      </c>
      <c r="G795" t="s">
        <v>36</v>
      </c>
      <c r="H795" t="s">
        <v>37</v>
      </c>
      <c r="I795">
        <v>3</v>
      </c>
      <c r="J795">
        <v>1</v>
      </c>
      <c r="K795" t="s">
        <v>38</v>
      </c>
      <c r="L795" t="s">
        <v>36</v>
      </c>
      <c r="M795" t="s">
        <v>36</v>
      </c>
      <c r="N795">
        <v>5</v>
      </c>
      <c r="O795" t="s">
        <v>39</v>
      </c>
      <c r="P795">
        <v>90</v>
      </c>
      <c r="Q795" t="s">
        <v>37</v>
      </c>
      <c r="R795" t="s">
        <v>37</v>
      </c>
      <c r="S795" t="s">
        <v>37</v>
      </c>
      <c r="T795" t="s">
        <v>51</v>
      </c>
      <c r="U795">
        <v>2</v>
      </c>
      <c r="V795" t="s">
        <v>59</v>
      </c>
      <c r="W795" t="s">
        <v>42</v>
      </c>
      <c r="X795" t="s">
        <v>37</v>
      </c>
      <c r="Y795" t="s">
        <v>43</v>
      </c>
      <c r="Z795" t="s">
        <v>37</v>
      </c>
      <c r="AA795">
        <v>2.11</v>
      </c>
      <c r="AB795" t="s">
        <v>37</v>
      </c>
      <c r="AC795">
        <v>3.21</v>
      </c>
      <c r="AD795">
        <v>102</v>
      </c>
      <c r="AE795">
        <v>66000</v>
      </c>
      <c r="AF795" t="str">
        <f>IF(Table1[[#This Row],[What is your current CGPA?]]&gt;=3.5,"High",IF(Table1[[#This Row],[What is your current CGPA?]]&gt;=2.5,"Medium","Low"))</f>
        <v>Medium</v>
      </c>
      <c r="AG795" t="str">
        <f>IF(AND(Table1[[#This Row],[Average attendance on class]]&lt;75,Table1[[#This Row],[How many hour do you study daily?]]&lt;1),"At Risk","Normal")</f>
        <v>Normal</v>
      </c>
      <c r="AH795">
        <f>(Table1[[#This Row],[Average attendance on class]]*0.4)+(Table1[[#This Row],[How many hour do you study daily?]]*10*0.3)+(Table1[[#This Row],[How many hour do you spent daily on your skill development?]]*10*0.3)</f>
        <v>51</v>
      </c>
    </row>
    <row r="796" spans="1:34" x14ac:dyDescent="0.25">
      <c r="A796">
        <v>2022</v>
      </c>
      <c r="B796" t="s">
        <v>48</v>
      </c>
      <c r="C796">
        <v>21</v>
      </c>
      <c r="D796">
        <v>2021</v>
      </c>
      <c r="E796" t="s">
        <v>35</v>
      </c>
      <c r="F796">
        <v>5</v>
      </c>
      <c r="G796" t="s">
        <v>37</v>
      </c>
      <c r="H796" t="s">
        <v>37</v>
      </c>
      <c r="I796">
        <v>2</v>
      </c>
      <c r="J796">
        <v>1</v>
      </c>
      <c r="K796" t="s">
        <v>38</v>
      </c>
      <c r="L796" t="s">
        <v>36</v>
      </c>
      <c r="M796" t="s">
        <v>37</v>
      </c>
      <c r="N796">
        <v>2</v>
      </c>
      <c r="O796" t="s">
        <v>39</v>
      </c>
      <c r="P796">
        <v>46</v>
      </c>
      <c r="Q796" t="s">
        <v>36</v>
      </c>
      <c r="R796" t="s">
        <v>37</v>
      </c>
      <c r="S796" t="s">
        <v>36</v>
      </c>
      <c r="T796" t="s">
        <v>49</v>
      </c>
      <c r="U796">
        <v>4</v>
      </c>
      <c r="V796" t="s">
        <v>41</v>
      </c>
      <c r="W796" t="s">
        <v>42</v>
      </c>
      <c r="X796" t="s">
        <v>36</v>
      </c>
      <c r="Y796" t="s">
        <v>43</v>
      </c>
      <c r="Z796" t="s">
        <v>37</v>
      </c>
      <c r="AA796">
        <v>2.33</v>
      </c>
      <c r="AB796" t="s">
        <v>37</v>
      </c>
      <c r="AC796">
        <v>3.41</v>
      </c>
      <c r="AD796">
        <v>63</v>
      </c>
      <c r="AE796">
        <v>66000</v>
      </c>
      <c r="AF796" t="str">
        <f>IF(Table1[[#This Row],[What is your current CGPA?]]&gt;=3.5,"High",IF(Table1[[#This Row],[What is your current CGPA?]]&gt;=2.5,"Medium","Low"))</f>
        <v>Medium</v>
      </c>
      <c r="AG796" t="str">
        <f>IF(AND(Table1[[#This Row],[Average attendance on class]]&lt;75,Table1[[#This Row],[How many hour do you study daily?]]&lt;1),"At Risk","Normal")</f>
        <v>Normal</v>
      </c>
      <c r="AH796">
        <f>(Table1[[#This Row],[Average attendance on class]]*0.4)+(Table1[[#This Row],[How many hour do you study daily?]]*10*0.3)+(Table1[[#This Row],[How many hour do you spent daily on your skill development?]]*10*0.3)</f>
        <v>36.400000000000006</v>
      </c>
    </row>
    <row r="797" spans="1:34" x14ac:dyDescent="0.25">
      <c r="A797">
        <v>2022</v>
      </c>
      <c r="B797" t="s">
        <v>48</v>
      </c>
      <c r="C797">
        <v>20</v>
      </c>
      <c r="D797">
        <v>2021</v>
      </c>
      <c r="E797" t="s">
        <v>35</v>
      </c>
      <c r="F797">
        <v>5</v>
      </c>
      <c r="G797" t="s">
        <v>37</v>
      </c>
      <c r="H797" t="s">
        <v>37</v>
      </c>
      <c r="I797">
        <v>3</v>
      </c>
      <c r="J797">
        <v>1</v>
      </c>
      <c r="K797" t="s">
        <v>38</v>
      </c>
      <c r="L797" t="s">
        <v>36</v>
      </c>
      <c r="M797" t="s">
        <v>36</v>
      </c>
      <c r="N797">
        <v>3</v>
      </c>
      <c r="O797" t="s">
        <v>45</v>
      </c>
      <c r="P797">
        <v>100</v>
      </c>
      <c r="Q797" t="s">
        <v>36</v>
      </c>
      <c r="R797" t="s">
        <v>37</v>
      </c>
      <c r="S797" t="s">
        <v>36</v>
      </c>
      <c r="T797" t="s">
        <v>40</v>
      </c>
      <c r="U797">
        <v>4</v>
      </c>
      <c r="V797" t="s">
        <v>40</v>
      </c>
      <c r="W797" t="s">
        <v>50</v>
      </c>
      <c r="X797" t="s">
        <v>36</v>
      </c>
      <c r="Y797" t="s">
        <v>43</v>
      </c>
      <c r="Z797" t="s">
        <v>37</v>
      </c>
      <c r="AA797">
        <v>2.77</v>
      </c>
      <c r="AB797" t="s">
        <v>37</v>
      </c>
      <c r="AC797">
        <v>3.84</v>
      </c>
      <c r="AD797">
        <v>58</v>
      </c>
      <c r="AE797">
        <v>66000</v>
      </c>
      <c r="AF797" t="str">
        <f>IF(Table1[[#This Row],[What is your current CGPA?]]&gt;=3.5,"High",IF(Table1[[#This Row],[What is your current CGPA?]]&gt;=2.5,"Medium","Low"))</f>
        <v>High</v>
      </c>
      <c r="AG797" t="str">
        <f>IF(AND(Table1[[#This Row],[Average attendance on class]]&lt;75,Table1[[#This Row],[How many hour do you study daily?]]&lt;1),"At Risk","Normal")</f>
        <v>Normal</v>
      </c>
      <c r="AH797">
        <f>(Table1[[#This Row],[Average attendance on class]]*0.4)+(Table1[[#This Row],[How many hour do you study daily?]]*10*0.3)+(Table1[[#This Row],[How many hour do you spent daily on your skill development?]]*10*0.3)</f>
        <v>61</v>
      </c>
    </row>
    <row r="798" spans="1:34" x14ac:dyDescent="0.25">
      <c r="A798">
        <v>2019</v>
      </c>
      <c r="B798" t="s">
        <v>34</v>
      </c>
      <c r="C798">
        <v>21</v>
      </c>
      <c r="D798">
        <v>2018</v>
      </c>
      <c r="E798" t="s">
        <v>35</v>
      </c>
      <c r="F798">
        <v>11</v>
      </c>
      <c r="G798" t="s">
        <v>36</v>
      </c>
      <c r="H798" t="s">
        <v>37</v>
      </c>
      <c r="I798">
        <v>4</v>
      </c>
      <c r="J798">
        <v>4</v>
      </c>
      <c r="K798" t="s">
        <v>38</v>
      </c>
      <c r="L798" t="s">
        <v>36</v>
      </c>
      <c r="M798" t="s">
        <v>36</v>
      </c>
      <c r="N798">
        <v>2</v>
      </c>
      <c r="O798" t="s">
        <v>53</v>
      </c>
      <c r="P798">
        <v>100</v>
      </c>
      <c r="Q798" t="s">
        <v>37</v>
      </c>
      <c r="R798" t="s">
        <v>37</v>
      </c>
      <c r="S798" t="s">
        <v>36</v>
      </c>
      <c r="T798" t="s">
        <v>40</v>
      </c>
      <c r="U798">
        <v>3</v>
      </c>
      <c r="V798" t="s">
        <v>40</v>
      </c>
      <c r="W798" t="s">
        <v>42</v>
      </c>
      <c r="X798" t="s">
        <v>37</v>
      </c>
      <c r="Y798" t="s">
        <v>47</v>
      </c>
      <c r="Z798" t="s">
        <v>37</v>
      </c>
      <c r="AA798">
        <v>2.87</v>
      </c>
      <c r="AB798" t="s">
        <v>37</v>
      </c>
      <c r="AC798">
        <v>3.98</v>
      </c>
      <c r="AD798">
        <v>136</v>
      </c>
      <c r="AE798">
        <v>67000</v>
      </c>
      <c r="AF798" t="str">
        <f>IF(Table1[[#This Row],[What is your current CGPA?]]&gt;=3.5,"High",IF(Table1[[#This Row],[What is your current CGPA?]]&gt;=2.5,"Medium","Low"))</f>
        <v>High</v>
      </c>
      <c r="AG798" t="str">
        <f>IF(AND(Table1[[#This Row],[Average attendance on class]]&lt;75,Table1[[#This Row],[How many hour do you study daily?]]&lt;1),"At Risk","Normal")</f>
        <v>Normal</v>
      </c>
      <c r="AH798">
        <f>(Table1[[#This Row],[Average attendance on class]]*0.4)+(Table1[[#This Row],[How many hour do you study daily?]]*10*0.3)+(Table1[[#This Row],[How many hour do you spent daily on your skill development?]]*10*0.3)</f>
        <v>61</v>
      </c>
    </row>
    <row r="799" spans="1:34" x14ac:dyDescent="0.25">
      <c r="A799">
        <v>2019</v>
      </c>
      <c r="B799" t="s">
        <v>34</v>
      </c>
      <c r="C799">
        <v>22</v>
      </c>
      <c r="D799">
        <v>2017</v>
      </c>
      <c r="E799" t="s">
        <v>35</v>
      </c>
      <c r="F799">
        <v>10</v>
      </c>
      <c r="G799" t="s">
        <v>37</v>
      </c>
      <c r="H799" t="s">
        <v>37</v>
      </c>
      <c r="I799">
        <v>3</v>
      </c>
      <c r="J799">
        <v>1</v>
      </c>
      <c r="K799" t="s">
        <v>44</v>
      </c>
      <c r="L799" t="s">
        <v>36</v>
      </c>
      <c r="M799" t="s">
        <v>36</v>
      </c>
      <c r="N799">
        <v>7</v>
      </c>
      <c r="O799" t="s">
        <v>39</v>
      </c>
      <c r="P799">
        <v>100</v>
      </c>
      <c r="Q799" t="s">
        <v>37</v>
      </c>
      <c r="R799" t="s">
        <v>37</v>
      </c>
      <c r="S799" t="s">
        <v>37</v>
      </c>
      <c r="T799" t="s">
        <v>40</v>
      </c>
      <c r="U799">
        <v>2</v>
      </c>
      <c r="V799" t="s">
        <v>40</v>
      </c>
      <c r="W799" t="s">
        <v>42</v>
      </c>
      <c r="X799" t="s">
        <v>37</v>
      </c>
      <c r="Y799" t="s">
        <v>43</v>
      </c>
      <c r="Z799" t="s">
        <v>37</v>
      </c>
      <c r="AA799">
        <v>2.19</v>
      </c>
      <c r="AB799" t="s">
        <v>37</v>
      </c>
      <c r="AC799">
        <v>3.43</v>
      </c>
      <c r="AD799">
        <v>116</v>
      </c>
      <c r="AE799">
        <v>68000</v>
      </c>
      <c r="AF799" t="str">
        <f>IF(Table1[[#This Row],[What is your current CGPA?]]&gt;=3.5,"High",IF(Table1[[#This Row],[What is your current CGPA?]]&gt;=2.5,"Medium","Low"))</f>
        <v>Medium</v>
      </c>
      <c r="AG799" t="str">
        <f>IF(AND(Table1[[#This Row],[Average attendance on class]]&lt;75,Table1[[#This Row],[How many hour do you study daily?]]&lt;1),"At Risk","Normal")</f>
        <v>Normal</v>
      </c>
      <c r="AH799">
        <f>(Table1[[#This Row],[Average attendance on class]]*0.4)+(Table1[[#This Row],[How many hour do you study daily?]]*10*0.3)+(Table1[[#This Row],[How many hour do you spent daily on your skill development?]]*10*0.3)</f>
        <v>55</v>
      </c>
    </row>
    <row r="800" spans="1:34" x14ac:dyDescent="0.25">
      <c r="A800">
        <v>2020</v>
      </c>
      <c r="B800" t="s">
        <v>34</v>
      </c>
      <c r="C800">
        <v>22</v>
      </c>
      <c r="D800">
        <v>2019</v>
      </c>
      <c r="E800" t="s">
        <v>35</v>
      </c>
      <c r="F800">
        <v>10</v>
      </c>
      <c r="G800" t="s">
        <v>37</v>
      </c>
      <c r="H800" t="s">
        <v>37</v>
      </c>
      <c r="I800">
        <v>2</v>
      </c>
      <c r="J800">
        <v>1</v>
      </c>
      <c r="K800" t="s">
        <v>38</v>
      </c>
      <c r="L800" t="s">
        <v>36</v>
      </c>
      <c r="M800" t="s">
        <v>36</v>
      </c>
      <c r="N800">
        <v>8</v>
      </c>
      <c r="O800" t="s">
        <v>53</v>
      </c>
      <c r="P800">
        <v>100</v>
      </c>
      <c r="Q800" t="s">
        <v>37</v>
      </c>
      <c r="R800" t="s">
        <v>37</v>
      </c>
      <c r="S800" t="s">
        <v>36</v>
      </c>
      <c r="T800" t="s">
        <v>49</v>
      </c>
      <c r="U800">
        <v>2</v>
      </c>
      <c r="V800" t="s">
        <v>59</v>
      </c>
      <c r="W800" t="s">
        <v>42</v>
      </c>
      <c r="X800" t="s">
        <v>37</v>
      </c>
      <c r="Y800" t="s">
        <v>47</v>
      </c>
      <c r="Z800" t="s">
        <v>37</v>
      </c>
      <c r="AA800">
        <v>2.11</v>
      </c>
      <c r="AB800" t="s">
        <v>37</v>
      </c>
      <c r="AC800">
        <v>3.39</v>
      </c>
      <c r="AD800">
        <v>132</v>
      </c>
      <c r="AE800">
        <v>68000</v>
      </c>
      <c r="AF800" t="str">
        <f>IF(Table1[[#This Row],[What is your current CGPA?]]&gt;=3.5,"High",IF(Table1[[#This Row],[What is your current CGPA?]]&gt;=2.5,"Medium","Low"))</f>
        <v>Medium</v>
      </c>
      <c r="AG800" t="str">
        <f>IF(AND(Table1[[#This Row],[Average attendance on class]]&lt;75,Table1[[#This Row],[How many hour do you study daily?]]&lt;1),"At Risk","Normal")</f>
        <v>Normal</v>
      </c>
      <c r="AH800">
        <f>(Table1[[#This Row],[Average attendance on class]]*0.4)+(Table1[[#This Row],[How many hour do you study daily?]]*10*0.3)+(Table1[[#This Row],[How many hour do you spent daily on your skill development?]]*10*0.3)</f>
        <v>52</v>
      </c>
    </row>
    <row r="801" spans="1:34" x14ac:dyDescent="0.25">
      <c r="A801">
        <v>2020</v>
      </c>
      <c r="B801" t="s">
        <v>34</v>
      </c>
      <c r="C801">
        <v>25</v>
      </c>
      <c r="D801">
        <v>2019</v>
      </c>
      <c r="E801" t="s">
        <v>35</v>
      </c>
      <c r="F801">
        <v>11</v>
      </c>
      <c r="G801" t="s">
        <v>37</v>
      </c>
      <c r="H801" t="s">
        <v>37</v>
      </c>
      <c r="I801">
        <v>1</v>
      </c>
      <c r="J801">
        <v>2</v>
      </c>
      <c r="K801" t="s">
        <v>38</v>
      </c>
      <c r="L801" t="s">
        <v>36</v>
      </c>
      <c r="M801" t="s">
        <v>36</v>
      </c>
      <c r="N801">
        <v>2</v>
      </c>
      <c r="O801" t="s">
        <v>39</v>
      </c>
      <c r="P801">
        <v>51</v>
      </c>
      <c r="Q801" t="s">
        <v>37</v>
      </c>
      <c r="R801" t="s">
        <v>37</v>
      </c>
      <c r="S801" t="s">
        <v>36</v>
      </c>
      <c r="T801" t="s">
        <v>49</v>
      </c>
      <c r="U801">
        <v>4</v>
      </c>
      <c r="V801" t="s">
        <v>41</v>
      </c>
      <c r="W801" t="s">
        <v>42</v>
      </c>
      <c r="X801" t="s">
        <v>36</v>
      </c>
      <c r="Y801" t="s">
        <v>43</v>
      </c>
      <c r="Z801" t="s">
        <v>36</v>
      </c>
      <c r="AA801">
        <v>2.5099999999999998</v>
      </c>
      <c r="AB801" t="s">
        <v>37</v>
      </c>
      <c r="AC801">
        <v>3.57</v>
      </c>
      <c r="AD801">
        <v>136</v>
      </c>
      <c r="AE801">
        <v>68000</v>
      </c>
      <c r="AF801" t="str">
        <f>IF(Table1[[#This Row],[What is your current CGPA?]]&gt;=3.5,"High",IF(Table1[[#This Row],[What is your current CGPA?]]&gt;=2.5,"Medium","Low"))</f>
        <v>High</v>
      </c>
      <c r="AG801" t="str">
        <f>IF(AND(Table1[[#This Row],[Average attendance on class]]&lt;75,Table1[[#This Row],[How many hour do you study daily?]]&lt;1),"At Risk","Normal")</f>
        <v>Normal</v>
      </c>
      <c r="AH801">
        <f>(Table1[[#This Row],[Average attendance on class]]*0.4)+(Table1[[#This Row],[How many hour do you study daily?]]*10*0.3)+(Table1[[#This Row],[How many hour do you spent daily on your skill development?]]*10*0.3)</f>
        <v>35.400000000000006</v>
      </c>
    </row>
    <row r="802" spans="1:34" x14ac:dyDescent="0.25">
      <c r="A802">
        <v>2020</v>
      </c>
      <c r="B802" t="s">
        <v>34</v>
      </c>
      <c r="C802">
        <v>22</v>
      </c>
      <c r="D802">
        <v>2019</v>
      </c>
      <c r="E802" t="s">
        <v>35</v>
      </c>
      <c r="F802">
        <v>9</v>
      </c>
      <c r="G802" t="s">
        <v>37</v>
      </c>
      <c r="H802" t="s">
        <v>37</v>
      </c>
      <c r="I802">
        <v>3</v>
      </c>
      <c r="J802">
        <v>2</v>
      </c>
      <c r="K802" t="s">
        <v>44</v>
      </c>
      <c r="L802" t="s">
        <v>36</v>
      </c>
      <c r="M802" t="s">
        <v>36</v>
      </c>
      <c r="N802">
        <v>3</v>
      </c>
      <c r="O802" t="s">
        <v>45</v>
      </c>
      <c r="P802">
        <v>100</v>
      </c>
      <c r="Q802" t="s">
        <v>37</v>
      </c>
      <c r="R802" t="s">
        <v>37</v>
      </c>
      <c r="S802" t="s">
        <v>37</v>
      </c>
      <c r="T802" t="s">
        <v>51</v>
      </c>
      <c r="U802">
        <v>2</v>
      </c>
      <c r="V802" t="s">
        <v>59</v>
      </c>
      <c r="W802" t="s">
        <v>42</v>
      </c>
      <c r="X802" t="s">
        <v>36</v>
      </c>
      <c r="Y802" t="s">
        <v>43</v>
      </c>
      <c r="Z802" t="s">
        <v>37</v>
      </c>
      <c r="AA802">
        <v>2.2200000000000002</v>
      </c>
      <c r="AB802" t="s">
        <v>37</v>
      </c>
      <c r="AC802">
        <v>3.38</v>
      </c>
      <c r="AD802">
        <v>100</v>
      </c>
      <c r="AE802">
        <v>68000</v>
      </c>
      <c r="AF802" t="str">
        <f>IF(Table1[[#This Row],[What is your current CGPA?]]&gt;=3.5,"High",IF(Table1[[#This Row],[What is your current CGPA?]]&gt;=2.5,"Medium","Low"))</f>
        <v>Medium</v>
      </c>
      <c r="AG802" t="str">
        <f>IF(AND(Table1[[#This Row],[Average attendance on class]]&lt;75,Table1[[#This Row],[How many hour do you study daily?]]&lt;1),"At Risk","Normal")</f>
        <v>Normal</v>
      </c>
      <c r="AH802">
        <f>(Table1[[#This Row],[Average attendance on class]]*0.4)+(Table1[[#This Row],[How many hour do you study daily?]]*10*0.3)+(Table1[[#This Row],[How many hour do you spent daily on your skill development?]]*10*0.3)</f>
        <v>55</v>
      </c>
    </row>
    <row r="803" spans="1:34" x14ac:dyDescent="0.25">
      <c r="A803">
        <v>2021</v>
      </c>
      <c r="B803" t="s">
        <v>48</v>
      </c>
      <c r="C803">
        <v>20</v>
      </c>
      <c r="D803">
        <v>2020</v>
      </c>
      <c r="E803" t="s">
        <v>35</v>
      </c>
      <c r="F803">
        <v>8</v>
      </c>
      <c r="G803" t="s">
        <v>37</v>
      </c>
      <c r="H803" t="s">
        <v>37</v>
      </c>
      <c r="I803">
        <v>2</v>
      </c>
      <c r="J803">
        <v>2</v>
      </c>
      <c r="K803" t="s">
        <v>38</v>
      </c>
      <c r="L803" t="s">
        <v>36</v>
      </c>
      <c r="M803" t="s">
        <v>36</v>
      </c>
      <c r="N803">
        <v>2</v>
      </c>
      <c r="O803" t="s">
        <v>39</v>
      </c>
      <c r="P803">
        <v>34</v>
      </c>
      <c r="Q803" t="s">
        <v>36</v>
      </c>
      <c r="R803" t="s">
        <v>37</v>
      </c>
      <c r="S803" t="s">
        <v>37</v>
      </c>
      <c r="T803" t="s">
        <v>61</v>
      </c>
      <c r="U803">
        <v>3</v>
      </c>
      <c r="V803" t="s">
        <v>41</v>
      </c>
      <c r="W803" t="s">
        <v>42</v>
      </c>
      <c r="X803" t="s">
        <v>37</v>
      </c>
      <c r="Y803" t="s">
        <v>43</v>
      </c>
      <c r="Z803" t="s">
        <v>37</v>
      </c>
      <c r="AA803">
        <v>1.86</v>
      </c>
      <c r="AB803" t="s">
        <v>37</v>
      </c>
      <c r="AC803">
        <v>2.91</v>
      </c>
      <c r="AD803">
        <v>88</v>
      </c>
      <c r="AE803">
        <v>68000</v>
      </c>
      <c r="AF803" t="str">
        <f>IF(Table1[[#This Row],[What is your current CGPA?]]&gt;=3.5,"High",IF(Table1[[#This Row],[What is your current CGPA?]]&gt;=2.5,"Medium","Low"))</f>
        <v>Medium</v>
      </c>
      <c r="AG803" t="str">
        <f>IF(AND(Table1[[#This Row],[Average attendance on class]]&lt;75,Table1[[#This Row],[How many hour do you study daily?]]&lt;1),"At Risk","Normal")</f>
        <v>Normal</v>
      </c>
      <c r="AH803">
        <f>(Table1[[#This Row],[Average attendance on class]]*0.4)+(Table1[[#This Row],[How many hour do you study daily?]]*10*0.3)+(Table1[[#This Row],[How many hour do you spent daily on your skill development?]]*10*0.3)</f>
        <v>28.6</v>
      </c>
    </row>
    <row r="804" spans="1:34" x14ac:dyDescent="0.25">
      <c r="A804">
        <v>2021</v>
      </c>
      <c r="B804" t="s">
        <v>48</v>
      </c>
      <c r="C804">
        <v>22</v>
      </c>
      <c r="D804">
        <v>2021</v>
      </c>
      <c r="E804" t="s">
        <v>35</v>
      </c>
      <c r="F804">
        <v>9</v>
      </c>
      <c r="G804" t="s">
        <v>37</v>
      </c>
      <c r="H804" t="s">
        <v>37</v>
      </c>
      <c r="I804">
        <v>1</v>
      </c>
      <c r="J804">
        <v>1</v>
      </c>
      <c r="K804" t="s">
        <v>38</v>
      </c>
      <c r="L804" t="s">
        <v>36</v>
      </c>
      <c r="M804" t="s">
        <v>37</v>
      </c>
      <c r="N804">
        <v>8</v>
      </c>
      <c r="O804" t="s">
        <v>45</v>
      </c>
      <c r="P804">
        <v>50</v>
      </c>
      <c r="Q804" t="s">
        <v>37</v>
      </c>
      <c r="R804" t="s">
        <v>37</v>
      </c>
      <c r="S804" t="s">
        <v>37</v>
      </c>
      <c r="T804" t="s">
        <v>49</v>
      </c>
      <c r="U804">
        <v>1</v>
      </c>
      <c r="V804" t="s">
        <v>41</v>
      </c>
      <c r="W804" t="s">
        <v>56</v>
      </c>
      <c r="X804" t="s">
        <v>36</v>
      </c>
      <c r="Y804" t="s">
        <v>47</v>
      </c>
      <c r="Z804" t="s">
        <v>37</v>
      </c>
      <c r="AA804">
        <v>1.87</v>
      </c>
      <c r="AB804" t="s">
        <v>37</v>
      </c>
      <c r="AC804">
        <v>2.95</v>
      </c>
      <c r="AD804">
        <v>100</v>
      </c>
      <c r="AE804">
        <v>68000</v>
      </c>
      <c r="AF804" t="str">
        <f>IF(Table1[[#This Row],[What is your current CGPA?]]&gt;=3.5,"High",IF(Table1[[#This Row],[What is your current CGPA?]]&gt;=2.5,"Medium","Low"))</f>
        <v>Medium</v>
      </c>
      <c r="AG804" t="str">
        <f>IF(AND(Table1[[#This Row],[Average attendance on class]]&lt;75,Table1[[#This Row],[How many hour do you study daily?]]&lt;1),"At Risk","Normal")</f>
        <v>Normal</v>
      </c>
      <c r="AH804">
        <f>(Table1[[#This Row],[Average attendance on class]]*0.4)+(Table1[[#This Row],[How many hour do you study daily?]]*10*0.3)+(Table1[[#This Row],[How many hour do you spent daily on your skill development?]]*10*0.3)</f>
        <v>26</v>
      </c>
    </row>
    <row r="805" spans="1:34" x14ac:dyDescent="0.25">
      <c r="A805">
        <v>2022</v>
      </c>
      <c r="B805" t="s">
        <v>48</v>
      </c>
      <c r="C805">
        <v>21</v>
      </c>
      <c r="D805">
        <v>2021</v>
      </c>
      <c r="E805" t="s">
        <v>35</v>
      </c>
      <c r="F805">
        <v>8</v>
      </c>
      <c r="G805" t="s">
        <v>36</v>
      </c>
      <c r="H805" t="s">
        <v>37</v>
      </c>
      <c r="I805">
        <v>5</v>
      </c>
      <c r="J805">
        <v>2</v>
      </c>
      <c r="K805" t="s">
        <v>44</v>
      </c>
      <c r="L805" t="s">
        <v>36</v>
      </c>
      <c r="M805" t="s">
        <v>36</v>
      </c>
      <c r="N805">
        <v>3</v>
      </c>
      <c r="O805" t="s">
        <v>45</v>
      </c>
      <c r="P805">
        <v>87</v>
      </c>
      <c r="Q805" t="s">
        <v>37</v>
      </c>
      <c r="R805" t="s">
        <v>37</v>
      </c>
      <c r="S805" t="s">
        <v>36</v>
      </c>
      <c r="T805" t="s">
        <v>61</v>
      </c>
      <c r="U805">
        <v>2</v>
      </c>
      <c r="V805" t="s">
        <v>41</v>
      </c>
      <c r="W805" t="s">
        <v>42</v>
      </c>
      <c r="X805" t="s">
        <v>37</v>
      </c>
      <c r="Y805" t="s">
        <v>43</v>
      </c>
      <c r="Z805" t="s">
        <v>37</v>
      </c>
      <c r="AA805">
        <v>2.88</v>
      </c>
      <c r="AB805" t="s">
        <v>37</v>
      </c>
      <c r="AC805">
        <v>3.91</v>
      </c>
      <c r="AD805">
        <v>88</v>
      </c>
      <c r="AE805">
        <v>68000</v>
      </c>
      <c r="AF805" t="str">
        <f>IF(Table1[[#This Row],[What is your current CGPA?]]&gt;=3.5,"High",IF(Table1[[#This Row],[What is your current CGPA?]]&gt;=2.5,"Medium","Low"))</f>
        <v>High</v>
      </c>
      <c r="AG805" t="str">
        <f>IF(AND(Table1[[#This Row],[Average attendance on class]]&lt;75,Table1[[#This Row],[How many hour do you study daily?]]&lt;1),"At Risk","Normal")</f>
        <v>Normal</v>
      </c>
      <c r="AH805">
        <f>(Table1[[#This Row],[Average attendance on class]]*0.4)+(Table1[[#This Row],[How many hour do you study daily?]]*10*0.3)+(Table1[[#This Row],[How many hour do you spent daily on your skill development?]]*10*0.3)</f>
        <v>55.800000000000004</v>
      </c>
    </row>
    <row r="806" spans="1:34" x14ac:dyDescent="0.25">
      <c r="A806">
        <v>2020</v>
      </c>
      <c r="B806" t="s">
        <v>48</v>
      </c>
      <c r="C806">
        <v>23</v>
      </c>
      <c r="D806">
        <v>2018</v>
      </c>
      <c r="E806" t="s">
        <v>35</v>
      </c>
      <c r="F806">
        <v>10</v>
      </c>
      <c r="G806" t="s">
        <v>37</v>
      </c>
      <c r="H806" t="s">
        <v>37</v>
      </c>
      <c r="I806">
        <v>3</v>
      </c>
      <c r="J806">
        <v>3</v>
      </c>
      <c r="K806" t="s">
        <v>44</v>
      </c>
      <c r="L806" t="s">
        <v>36</v>
      </c>
      <c r="M806" t="s">
        <v>36</v>
      </c>
      <c r="N806">
        <v>6</v>
      </c>
      <c r="O806" t="s">
        <v>39</v>
      </c>
      <c r="P806">
        <v>99</v>
      </c>
      <c r="Q806" t="s">
        <v>36</v>
      </c>
      <c r="R806" t="s">
        <v>36</v>
      </c>
      <c r="S806" t="s">
        <v>37</v>
      </c>
      <c r="T806" t="s">
        <v>40</v>
      </c>
      <c r="U806">
        <v>1</v>
      </c>
      <c r="V806" t="s">
        <v>41</v>
      </c>
      <c r="W806" t="s">
        <v>42</v>
      </c>
      <c r="X806" t="s">
        <v>37</v>
      </c>
      <c r="Y806" t="s">
        <v>47</v>
      </c>
      <c r="Z806" t="s">
        <v>37</v>
      </c>
      <c r="AA806">
        <v>1.91</v>
      </c>
      <c r="AB806" t="s">
        <v>37</v>
      </c>
      <c r="AC806">
        <v>3.1</v>
      </c>
      <c r="AD806">
        <v>123</v>
      </c>
      <c r="AE806">
        <v>70000</v>
      </c>
      <c r="AF806" t="str">
        <f>IF(Table1[[#This Row],[What is your current CGPA?]]&gt;=3.5,"High",IF(Table1[[#This Row],[What is your current CGPA?]]&gt;=2.5,"Medium","Low"))</f>
        <v>Medium</v>
      </c>
      <c r="AG806" t="str">
        <f>IF(AND(Table1[[#This Row],[Average attendance on class]]&lt;75,Table1[[#This Row],[How many hour do you study daily?]]&lt;1),"At Risk","Normal")</f>
        <v>Normal</v>
      </c>
      <c r="AH806">
        <f>(Table1[[#This Row],[Average attendance on class]]*0.4)+(Table1[[#This Row],[How many hour do you study daily?]]*10*0.3)+(Table1[[#This Row],[How many hour do you spent daily on your skill development?]]*10*0.3)</f>
        <v>51.6</v>
      </c>
    </row>
    <row r="807" spans="1:34" x14ac:dyDescent="0.25">
      <c r="A807">
        <v>2021</v>
      </c>
      <c r="B807" t="s">
        <v>48</v>
      </c>
      <c r="C807">
        <v>20</v>
      </c>
      <c r="D807">
        <v>2020</v>
      </c>
      <c r="E807" t="s">
        <v>35</v>
      </c>
      <c r="F807">
        <v>8</v>
      </c>
      <c r="G807" t="s">
        <v>37</v>
      </c>
      <c r="H807" t="s">
        <v>37</v>
      </c>
      <c r="I807">
        <v>3</v>
      </c>
      <c r="J807">
        <v>3</v>
      </c>
      <c r="K807" t="s">
        <v>44</v>
      </c>
      <c r="L807" t="s">
        <v>36</v>
      </c>
      <c r="M807" t="s">
        <v>36</v>
      </c>
      <c r="N807">
        <v>2</v>
      </c>
      <c r="O807" t="s">
        <v>39</v>
      </c>
      <c r="P807">
        <v>100</v>
      </c>
      <c r="Q807" t="s">
        <v>37</v>
      </c>
      <c r="R807" t="s">
        <v>37</v>
      </c>
      <c r="S807" t="s">
        <v>37</v>
      </c>
      <c r="T807" t="s">
        <v>40</v>
      </c>
      <c r="U807">
        <v>2</v>
      </c>
      <c r="V807" t="s">
        <v>62</v>
      </c>
      <c r="W807" t="s">
        <v>50</v>
      </c>
      <c r="X807" t="s">
        <v>37</v>
      </c>
      <c r="Y807" t="s">
        <v>47</v>
      </c>
      <c r="Z807" t="s">
        <v>37</v>
      </c>
      <c r="AA807">
        <v>1.81</v>
      </c>
      <c r="AB807" t="s">
        <v>37</v>
      </c>
      <c r="AC807">
        <v>2.9</v>
      </c>
      <c r="AD807">
        <v>101</v>
      </c>
      <c r="AE807">
        <v>70000</v>
      </c>
      <c r="AF807" t="str">
        <f>IF(Table1[[#This Row],[What is your current CGPA?]]&gt;=3.5,"High",IF(Table1[[#This Row],[What is your current CGPA?]]&gt;=2.5,"Medium","Low"))</f>
        <v>Medium</v>
      </c>
      <c r="AG807" t="str">
        <f>IF(AND(Table1[[#This Row],[Average attendance on class]]&lt;75,Table1[[#This Row],[How many hour do you study daily?]]&lt;1),"At Risk","Normal")</f>
        <v>Normal</v>
      </c>
      <c r="AH807">
        <f>(Table1[[#This Row],[Average attendance on class]]*0.4)+(Table1[[#This Row],[How many hour do you study daily?]]*10*0.3)+(Table1[[#This Row],[How many hour do you spent daily on your skill development?]]*10*0.3)</f>
        <v>55</v>
      </c>
    </row>
    <row r="808" spans="1:34" x14ac:dyDescent="0.25">
      <c r="A808">
        <v>2022</v>
      </c>
      <c r="B808" t="s">
        <v>34</v>
      </c>
      <c r="C808">
        <v>20</v>
      </c>
      <c r="D808">
        <v>2020</v>
      </c>
      <c r="E808" t="s">
        <v>35</v>
      </c>
      <c r="F808">
        <v>6</v>
      </c>
      <c r="G808" t="s">
        <v>37</v>
      </c>
      <c r="H808" t="s">
        <v>37</v>
      </c>
      <c r="I808">
        <v>2</v>
      </c>
      <c r="J808">
        <v>2</v>
      </c>
      <c r="K808" t="s">
        <v>38</v>
      </c>
      <c r="L808" t="s">
        <v>36</v>
      </c>
      <c r="M808" t="s">
        <v>36</v>
      </c>
      <c r="N808">
        <v>2</v>
      </c>
      <c r="O808" t="s">
        <v>39</v>
      </c>
      <c r="P808">
        <v>56</v>
      </c>
      <c r="Q808" t="s">
        <v>36</v>
      </c>
      <c r="R808" t="s">
        <v>37</v>
      </c>
      <c r="S808" t="s">
        <v>36</v>
      </c>
      <c r="T808" t="s">
        <v>40</v>
      </c>
      <c r="U808">
        <v>2</v>
      </c>
      <c r="V808" t="s">
        <v>62</v>
      </c>
      <c r="W808" t="s">
        <v>42</v>
      </c>
      <c r="X808" t="s">
        <v>37</v>
      </c>
      <c r="Y808" t="s">
        <v>47</v>
      </c>
      <c r="Z808" t="s">
        <v>36</v>
      </c>
      <c r="AA808">
        <v>1.72</v>
      </c>
      <c r="AB808" t="s">
        <v>37</v>
      </c>
      <c r="AC808">
        <v>2.8</v>
      </c>
      <c r="AD808">
        <v>80</v>
      </c>
      <c r="AE808">
        <v>70000</v>
      </c>
      <c r="AF808" t="str">
        <f>IF(Table1[[#This Row],[What is your current CGPA?]]&gt;=3.5,"High",IF(Table1[[#This Row],[What is your current CGPA?]]&gt;=2.5,"Medium","Low"))</f>
        <v>Medium</v>
      </c>
      <c r="AG808" t="str">
        <f>IF(AND(Table1[[#This Row],[Average attendance on class]]&lt;75,Table1[[#This Row],[How many hour do you study daily?]]&lt;1),"At Risk","Normal")</f>
        <v>Normal</v>
      </c>
      <c r="AH808">
        <f>(Table1[[#This Row],[Average attendance on class]]*0.4)+(Table1[[#This Row],[How many hour do you study daily?]]*10*0.3)+(Table1[[#This Row],[How many hour do you spent daily on your skill development?]]*10*0.3)</f>
        <v>34.400000000000006</v>
      </c>
    </row>
    <row r="809" spans="1:34" x14ac:dyDescent="0.25">
      <c r="A809">
        <v>2021</v>
      </c>
      <c r="B809" t="s">
        <v>48</v>
      </c>
      <c r="C809">
        <v>20</v>
      </c>
      <c r="D809">
        <v>2020</v>
      </c>
      <c r="E809" t="s">
        <v>35</v>
      </c>
      <c r="F809">
        <v>9</v>
      </c>
      <c r="G809" t="s">
        <v>37</v>
      </c>
      <c r="H809" t="s">
        <v>37</v>
      </c>
      <c r="I809">
        <v>1</v>
      </c>
      <c r="J809">
        <v>1</v>
      </c>
      <c r="K809" t="s">
        <v>38</v>
      </c>
      <c r="L809" t="s">
        <v>36</v>
      </c>
      <c r="M809" t="s">
        <v>36</v>
      </c>
      <c r="N809">
        <v>3</v>
      </c>
      <c r="O809" t="s">
        <v>39</v>
      </c>
      <c r="P809">
        <v>76</v>
      </c>
      <c r="Q809" t="s">
        <v>37</v>
      </c>
      <c r="R809" t="s">
        <v>37</v>
      </c>
      <c r="S809" t="s">
        <v>36</v>
      </c>
      <c r="T809" t="s">
        <v>40</v>
      </c>
      <c r="U809">
        <v>2</v>
      </c>
      <c r="V809" t="s">
        <v>40</v>
      </c>
      <c r="W809" t="s">
        <v>50</v>
      </c>
      <c r="X809" t="s">
        <v>37</v>
      </c>
      <c r="Y809" t="s">
        <v>43</v>
      </c>
      <c r="Z809" t="s">
        <v>37</v>
      </c>
      <c r="AA809">
        <v>1.56</v>
      </c>
      <c r="AB809" t="s">
        <v>37</v>
      </c>
      <c r="AC809">
        <v>2.63</v>
      </c>
      <c r="AD809">
        <v>70</v>
      </c>
      <c r="AE809">
        <v>70000</v>
      </c>
      <c r="AF809" t="str">
        <f>IF(Table1[[#This Row],[What is your current CGPA?]]&gt;=3.5,"High",IF(Table1[[#This Row],[What is your current CGPA?]]&gt;=2.5,"Medium","Low"))</f>
        <v>Medium</v>
      </c>
      <c r="AG809" t="str">
        <f>IF(AND(Table1[[#This Row],[Average attendance on class]]&lt;75,Table1[[#This Row],[How many hour do you study daily?]]&lt;1),"At Risk","Normal")</f>
        <v>Normal</v>
      </c>
      <c r="AH809">
        <f>(Table1[[#This Row],[Average attendance on class]]*0.4)+(Table1[[#This Row],[How many hour do you study daily?]]*10*0.3)+(Table1[[#This Row],[How many hour do you spent daily on your skill development?]]*10*0.3)</f>
        <v>39.400000000000006</v>
      </c>
    </row>
    <row r="810" spans="1:34" x14ac:dyDescent="0.25">
      <c r="A810">
        <v>2021</v>
      </c>
      <c r="B810" t="s">
        <v>48</v>
      </c>
      <c r="C810">
        <v>24</v>
      </c>
      <c r="D810">
        <v>2021</v>
      </c>
      <c r="E810" t="s">
        <v>35</v>
      </c>
      <c r="F810">
        <v>6</v>
      </c>
      <c r="G810" t="s">
        <v>37</v>
      </c>
      <c r="H810" t="s">
        <v>37</v>
      </c>
      <c r="I810">
        <v>1</v>
      </c>
      <c r="J810">
        <v>1</v>
      </c>
      <c r="K810" t="s">
        <v>38</v>
      </c>
      <c r="L810" t="s">
        <v>36</v>
      </c>
      <c r="M810" t="s">
        <v>36</v>
      </c>
      <c r="N810">
        <v>4</v>
      </c>
      <c r="O810" t="s">
        <v>45</v>
      </c>
      <c r="P810">
        <v>100</v>
      </c>
      <c r="Q810" t="s">
        <v>37</v>
      </c>
      <c r="R810" t="s">
        <v>37</v>
      </c>
      <c r="S810" t="s">
        <v>37</v>
      </c>
      <c r="T810" t="s">
        <v>40</v>
      </c>
      <c r="U810">
        <v>2</v>
      </c>
      <c r="V810" t="s">
        <v>40</v>
      </c>
      <c r="W810" t="s">
        <v>42</v>
      </c>
      <c r="X810" t="s">
        <v>36</v>
      </c>
      <c r="Y810" t="s">
        <v>47</v>
      </c>
      <c r="Z810" t="s">
        <v>36</v>
      </c>
      <c r="AA810">
        <v>2.23</v>
      </c>
      <c r="AB810" t="s">
        <v>37</v>
      </c>
      <c r="AC810">
        <v>3.39</v>
      </c>
      <c r="AD810">
        <v>98</v>
      </c>
      <c r="AE810">
        <v>70000</v>
      </c>
      <c r="AF810" t="str">
        <f>IF(Table1[[#This Row],[What is your current CGPA?]]&gt;=3.5,"High",IF(Table1[[#This Row],[What is your current CGPA?]]&gt;=2.5,"Medium","Low"))</f>
        <v>Medium</v>
      </c>
      <c r="AG810" t="str">
        <f>IF(AND(Table1[[#This Row],[Average attendance on class]]&lt;75,Table1[[#This Row],[How many hour do you study daily?]]&lt;1),"At Risk","Normal")</f>
        <v>Normal</v>
      </c>
      <c r="AH810">
        <f>(Table1[[#This Row],[Average attendance on class]]*0.4)+(Table1[[#This Row],[How many hour do you study daily?]]*10*0.3)+(Table1[[#This Row],[How many hour do you spent daily on your skill development?]]*10*0.3)</f>
        <v>49</v>
      </c>
    </row>
    <row r="811" spans="1:34" x14ac:dyDescent="0.25">
      <c r="A811">
        <v>2022</v>
      </c>
      <c r="B811" t="s">
        <v>48</v>
      </c>
      <c r="C811">
        <v>21</v>
      </c>
      <c r="D811">
        <v>2021</v>
      </c>
      <c r="E811" t="s">
        <v>35</v>
      </c>
      <c r="F811">
        <v>6</v>
      </c>
      <c r="G811" t="s">
        <v>37</v>
      </c>
      <c r="H811" t="s">
        <v>37</v>
      </c>
      <c r="I811">
        <v>2</v>
      </c>
      <c r="J811">
        <v>1</v>
      </c>
      <c r="K811" t="s">
        <v>38</v>
      </c>
      <c r="L811" t="s">
        <v>36</v>
      </c>
      <c r="M811" t="s">
        <v>36</v>
      </c>
      <c r="N811">
        <v>3</v>
      </c>
      <c r="O811" t="s">
        <v>39</v>
      </c>
      <c r="P811">
        <v>100</v>
      </c>
      <c r="Q811" t="s">
        <v>36</v>
      </c>
      <c r="R811" t="s">
        <v>37</v>
      </c>
      <c r="S811" t="s">
        <v>36</v>
      </c>
      <c r="T811" t="s">
        <v>51</v>
      </c>
      <c r="U811">
        <v>2</v>
      </c>
      <c r="V811" t="s">
        <v>59</v>
      </c>
      <c r="W811" t="s">
        <v>50</v>
      </c>
      <c r="X811" t="s">
        <v>37</v>
      </c>
      <c r="Y811" t="s">
        <v>43</v>
      </c>
      <c r="Z811" t="s">
        <v>37</v>
      </c>
      <c r="AA811">
        <v>2.67</v>
      </c>
      <c r="AB811" t="s">
        <v>37</v>
      </c>
      <c r="AC811">
        <v>3.74</v>
      </c>
      <c r="AD811">
        <v>70</v>
      </c>
      <c r="AE811">
        <v>70000</v>
      </c>
      <c r="AF811" t="str">
        <f>IF(Table1[[#This Row],[What is your current CGPA?]]&gt;=3.5,"High",IF(Table1[[#This Row],[What is your current CGPA?]]&gt;=2.5,"Medium","Low"))</f>
        <v>High</v>
      </c>
      <c r="AG811" t="str">
        <f>IF(AND(Table1[[#This Row],[Average attendance on class]]&lt;75,Table1[[#This Row],[How many hour do you study daily?]]&lt;1),"At Risk","Normal")</f>
        <v>Normal</v>
      </c>
      <c r="AH811">
        <f>(Table1[[#This Row],[Average attendance on class]]*0.4)+(Table1[[#This Row],[How many hour do you study daily?]]*10*0.3)+(Table1[[#This Row],[How many hour do you spent daily on your skill development?]]*10*0.3)</f>
        <v>52</v>
      </c>
    </row>
    <row r="812" spans="1:34" x14ac:dyDescent="0.25">
      <c r="A812">
        <v>2022</v>
      </c>
      <c r="B812" t="s">
        <v>48</v>
      </c>
      <c r="C812">
        <v>19</v>
      </c>
      <c r="D812">
        <v>2022</v>
      </c>
      <c r="E812" t="s">
        <v>35</v>
      </c>
      <c r="F812">
        <v>3</v>
      </c>
      <c r="G812" t="s">
        <v>37</v>
      </c>
      <c r="H812" t="s">
        <v>37</v>
      </c>
      <c r="I812">
        <v>4</v>
      </c>
      <c r="J812">
        <v>3</v>
      </c>
      <c r="K812" t="s">
        <v>44</v>
      </c>
      <c r="L812" t="s">
        <v>36</v>
      </c>
      <c r="M812" t="s">
        <v>36</v>
      </c>
      <c r="N812">
        <v>4</v>
      </c>
      <c r="O812" t="s">
        <v>39</v>
      </c>
      <c r="P812">
        <v>63</v>
      </c>
      <c r="Q812" t="s">
        <v>37</v>
      </c>
      <c r="R812" t="s">
        <v>37</v>
      </c>
      <c r="S812" t="s">
        <v>37</v>
      </c>
      <c r="T812" t="s">
        <v>40</v>
      </c>
      <c r="U812">
        <v>2</v>
      </c>
      <c r="V812" t="s">
        <v>40</v>
      </c>
      <c r="W812" t="s">
        <v>50</v>
      </c>
      <c r="X812" t="s">
        <v>37</v>
      </c>
      <c r="Y812" t="s">
        <v>43</v>
      </c>
      <c r="Z812" t="s">
        <v>36</v>
      </c>
      <c r="AA812">
        <v>1.65</v>
      </c>
      <c r="AB812" t="s">
        <v>37</v>
      </c>
      <c r="AC812">
        <v>2.87</v>
      </c>
      <c r="AD812">
        <v>35</v>
      </c>
      <c r="AE812">
        <v>70000</v>
      </c>
      <c r="AF812" t="str">
        <f>IF(Table1[[#This Row],[What is your current CGPA?]]&gt;=3.5,"High",IF(Table1[[#This Row],[What is your current CGPA?]]&gt;=2.5,"Medium","Low"))</f>
        <v>Medium</v>
      </c>
      <c r="AG812" t="str">
        <f>IF(AND(Table1[[#This Row],[Average attendance on class]]&lt;75,Table1[[#This Row],[How many hour do you study daily?]]&lt;1),"At Risk","Normal")</f>
        <v>Normal</v>
      </c>
      <c r="AH812">
        <f>(Table1[[#This Row],[Average attendance on class]]*0.4)+(Table1[[#This Row],[How many hour do you study daily?]]*10*0.3)+(Table1[[#This Row],[How many hour do you spent daily on your skill development?]]*10*0.3)</f>
        <v>43.2</v>
      </c>
    </row>
    <row r="813" spans="1:34" x14ac:dyDescent="0.25">
      <c r="A813">
        <v>2021</v>
      </c>
      <c r="B813" t="s">
        <v>48</v>
      </c>
      <c r="C813">
        <v>20</v>
      </c>
      <c r="D813">
        <v>2020</v>
      </c>
      <c r="E813" t="s">
        <v>35</v>
      </c>
      <c r="F813">
        <v>9</v>
      </c>
      <c r="G813" t="s">
        <v>37</v>
      </c>
      <c r="H813" t="s">
        <v>37</v>
      </c>
      <c r="I813">
        <v>2</v>
      </c>
      <c r="J813">
        <v>1</v>
      </c>
      <c r="K813" t="s">
        <v>44</v>
      </c>
      <c r="L813" t="s">
        <v>36</v>
      </c>
      <c r="M813" t="s">
        <v>36</v>
      </c>
      <c r="N813">
        <v>6</v>
      </c>
      <c r="O813" t="s">
        <v>53</v>
      </c>
      <c r="P813">
        <v>90</v>
      </c>
      <c r="Q813" t="s">
        <v>37</v>
      </c>
      <c r="R813" t="s">
        <v>37</v>
      </c>
      <c r="S813" t="s">
        <v>36</v>
      </c>
      <c r="T813" t="s">
        <v>52</v>
      </c>
      <c r="U813">
        <v>2</v>
      </c>
      <c r="V813" t="s">
        <v>40</v>
      </c>
      <c r="W813" t="s">
        <v>50</v>
      </c>
      <c r="X813" t="s">
        <v>37</v>
      </c>
      <c r="Y813" t="s">
        <v>47</v>
      </c>
      <c r="Z813" t="s">
        <v>37</v>
      </c>
      <c r="AA813">
        <v>2.44</v>
      </c>
      <c r="AB813" t="s">
        <v>37</v>
      </c>
      <c r="AC813">
        <v>3.88</v>
      </c>
      <c r="AD813">
        <v>23</v>
      </c>
      <c r="AE813">
        <v>71000</v>
      </c>
      <c r="AF813" t="str">
        <f>IF(Table1[[#This Row],[What is your current CGPA?]]&gt;=3.5,"High",IF(Table1[[#This Row],[What is your current CGPA?]]&gt;=2.5,"Medium","Low"))</f>
        <v>High</v>
      </c>
      <c r="AG813" t="str">
        <f>IF(AND(Table1[[#This Row],[Average attendance on class]]&lt;75,Table1[[#This Row],[How many hour do you study daily?]]&lt;1),"At Risk","Normal")</f>
        <v>Normal</v>
      </c>
      <c r="AH813">
        <f>(Table1[[#This Row],[Average attendance on class]]*0.4)+(Table1[[#This Row],[How many hour do you study daily?]]*10*0.3)+(Table1[[#This Row],[How many hour do you spent daily on your skill development?]]*10*0.3)</f>
        <v>48</v>
      </c>
    </row>
    <row r="814" spans="1:34" x14ac:dyDescent="0.25">
      <c r="A814">
        <v>2022</v>
      </c>
      <c r="B814" t="s">
        <v>34</v>
      </c>
      <c r="C814">
        <v>20</v>
      </c>
      <c r="D814">
        <v>2021</v>
      </c>
      <c r="E814" t="s">
        <v>35</v>
      </c>
      <c r="F814">
        <v>6</v>
      </c>
      <c r="G814" t="s">
        <v>37</v>
      </c>
      <c r="H814" t="s">
        <v>37</v>
      </c>
      <c r="I814">
        <v>4</v>
      </c>
      <c r="J814">
        <v>2</v>
      </c>
      <c r="K814" t="s">
        <v>38</v>
      </c>
      <c r="L814" t="s">
        <v>36</v>
      </c>
      <c r="M814" t="s">
        <v>36</v>
      </c>
      <c r="N814">
        <v>3</v>
      </c>
      <c r="O814" t="s">
        <v>39</v>
      </c>
      <c r="P814">
        <v>68</v>
      </c>
      <c r="Q814" t="s">
        <v>36</v>
      </c>
      <c r="R814" t="s">
        <v>37</v>
      </c>
      <c r="S814" t="s">
        <v>37</v>
      </c>
      <c r="T814" t="s">
        <v>51</v>
      </c>
      <c r="U814">
        <v>4</v>
      </c>
      <c r="V814" t="s">
        <v>59</v>
      </c>
      <c r="W814" t="s">
        <v>56</v>
      </c>
      <c r="X814" t="s">
        <v>36</v>
      </c>
      <c r="Y814" t="s">
        <v>47</v>
      </c>
      <c r="Z814" t="s">
        <v>37</v>
      </c>
      <c r="AA814">
        <v>1.56</v>
      </c>
      <c r="AB814" t="s">
        <v>37</v>
      </c>
      <c r="AC814">
        <v>2.63</v>
      </c>
      <c r="AD814">
        <v>70</v>
      </c>
      <c r="AE814">
        <v>74000</v>
      </c>
      <c r="AF814" t="str">
        <f>IF(Table1[[#This Row],[What is your current CGPA?]]&gt;=3.5,"High",IF(Table1[[#This Row],[What is your current CGPA?]]&gt;=2.5,"Medium","Low"))</f>
        <v>Medium</v>
      </c>
      <c r="AG814" t="str">
        <f>IF(AND(Table1[[#This Row],[Average attendance on class]]&lt;75,Table1[[#This Row],[How many hour do you study daily?]]&lt;1),"At Risk","Normal")</f>
        <v>Normal</v>
      </c>
      <c r="AH814">
        <f>(Table1[[#This Row],[Average attendance on class]]*0.4)+(Table1[[#This Row],[How many hour do you study daily?]]*10*0.3)+(Table1[[#This Row],[How many hour do you spent daily on your skill development?]]*10*0.3)</f>
        <v>51.2</v>
      </c>
    </row>
    <row r="815" spans="1:34" x14ac:dyDescent="0.25">
      <c r="A815">
        <v>2020</v>
      </c>
      <c r="B815" t="s">
        <v>48</v>
      </c>
      <c r="C815">
        <v>21</v>
      </c>
      <c r="D815">
        <v>2019</v>
      </c>
      <c r="E815" t="s">
        <v>35</v>
      </c>
      <c r="F815">
        <v>10</v>
      </c>
      <c r="G815" t="s">
        <v>37</v>
      </c>
      <c r="H815" t="s">
        <v>37</v>
      </c>
      <c r="I815">
        <v>6</v>
      </c>
      <c r="J815">
        <v>2</v>
      </c>
      <c r="K815" t="s">
        <v>38</v>
      </c>
      <c r="L815" t="s">
        <v>36</v>
      </c>
      <c r="M815" t="s">
        <v>36</v>
      </c>
      <c r="N815">
        <v>4</v>
      </c>
      <c r="O815" t="s">
        <v>39</v>
      </c>
      <c r="P815">
        <v>80</v>
      </c>
      <c r="Q815" t="s">
        <v>37</v>
      </c>
      <c r="R815" t="s">
        <v>37</v>
      </c>
      <c r="S815" t="s">
        <v>37</v>
      </c>
      <c r="T815" t="s">
        <v>51</v>
      </c>
      <c r="U815">
        <v>4</v>
      </c>
      <c r="V815" t="s">
        <v>59</v>
      </c>
      <c r="W815" t="s">
        <v>50</v>
      </c>
      <c r="X815" t="s">
        <v>37</v>
      </c>
      <c r="Y815" t="s">
        <v>43</v>
      </c>
      <c r="Z815" t="s">
        <v>36</v>
      </c>
      <c r="AA815">
        <v>2.21</v>
      </c>
      <c r="AB815" t="s">
        <v>37</v>
      </c>
      <c r="AC815">
        <v>3.21</v>
      </c>
      <c r="AD815">
        <v>116</v>
      </c>
      <c r="AE815">
        <v>75000</v>
      </c>
      <c r="AF815" t="str">
        <f>IF(Table1[[#This Row],[What is your current CGPA?]]&gt;=3.5,"High",IF(Table1[[#This Row],[What is your current CGPA?]]&gt;=2.5,"Medium","Low"))</f>
        <v>Medium</v>
      </c>
      <c r="AG815" t="str">
        <f>IF(AND(Table1[[#This Row],[Average attendance on class]]&lt;75,Table1[[#This Row],[How many hour do you study daily?]]&lt;1),"At Risk","Normal")</f>
        <v>Normal</v>
      </c>
      <c r="AH815">
        <f>(Table1[[#This Row],[Average attendance on class]]*0.4)+(Table1[[#This Row],[How many hour do you study daily?]]*10*0.3)+(Table1[[#This Row],[How many hour do you spent daily on your skill development?]]*10*0.3)</f>
        <v>62</v>
      </c>
    </row>
    <row r="816" spans="1:34" x14ac:dyDescent="0.25">
      <c r="A816">
        <v>2020</v>
      </c>
      <c r="B816" t="s">
        <v>34</v>
      </c>
      <c r="C816">
        <v>20</v>
      </c>
      <c r="D816">
        <v>2020</v>
      </c>
      <c r="E816" t="s">
        <v>35</v>
      </c>
      <c r="F816">
        <v>11</v>
      </c>
      <c r="G816" t="s">
        <v>37</v>
      </c>
      <c r="H816" t="s">
        <v>37</v>
      </c>
      <c r="I816">
        <v>1</v>
      </c>
      <c r="J816">
        <v>3</v>
      </c>
      <c r="K816" t="s">
        <v>38</v>
      </c>
      <c r="L816" t="s">
        <v>36</v>
      </c>
      <c r="M816" t="s">
        <v>36</v>
      </c>
      <c r="N816">
        <v>3</v>
      </c>
      <c r="O816" t="s">
        <v>39</v>
      </c>
      <c r="P816">
        <v>100</v>
      </c>
      <c r="Q816" t="s">
        <v>37</v>
      </c>
      <c r="R816" t="s">
        <v>37</v>
      </c>
      <c r="S816" t="s">
        <v>37</v>
      </c>
      <c r="T816" t="s">
        <v>51</v>
      </c>
      <c r="U816">
        <v>1</v>
      </c>
      <c r="V816" t="s">
        <v>59</v>
      </c>
      <c r="W816" t="s">
        <v>50</v>
      </c>
      <c r="X816" t="s">
        <v>37</v>
      </c>
      <c r="Y816" t="s">
        <v>43</v>
      </c>
      <c r="Z816" t="s">
        <v>37</v>
      </c>
      <c r="AA816">
        <v>2.61</v>
      </c>
      <c r="AB816" t="s">
        <v>37</v>
      </c>
      <c r="AC816">
        <v>3.68</v>
      </c>
      <c r="AD816">
        <v>136</v>
      </c>
      <c r="AE816">
        <v>75000</v>
      </c>
      <c r="AF816" t="str">
        <f>IF(Table1[[#This Row],[What is your current CGPA?]]&gt;=3.5,"High",IF(Table1[[#This Row],[What is your current CGPA?]]&gt;=2.5,"Medium","Low"))</f>
        <v>High</v>
      </c>
      <c r="AG816" t="str">
        <f>IF(AND(Table1[[#This Row],[Average attendance on class]]&lt;75,Table1[[#This Row],[How many hour do you study daily?]]&lt;1),"At Risk","Normal")</f>
        <v>Normal</v>
      </c>
      <c r="AH816">
        <f>(Table1[[#This Row],[Average attendance on class]]*0.4)+(Table1[[#This Row],[How many hour do you study daily?]]*10*0.3)+(Table1[[#This Row],[How many hour do you spent daily on your skill development?]]*10*0.3)</f>
        <v>46</v>
      </c>
    </row>
    <row r="817" spans="1:34" x14ac:dyDescent="0.25">
      <c r="A817">
        <v>2021</v>
      </c>
      <c r="B817" t="s">
        <v>48</v>
      </c>
      <c r="C817">
        <v>24</v>
      </c>
      <c r="D817">
        <v>2019</v>
      </c>
      <c r="E817" t="s">
        <v>35</v>
      </c>
      <c r="F817">
        <v>10</v>
      </c>
      <c r="G817" t="s">
        <v>37</v>
      </c>
      <c r="H817" t="s">
        <v>37</v>
      </c>
      <c r="I817">
        <v>3</v>
      </c>
      <c r="J817">
        <v>3</v>
      </c>
      <c r="K817" t="s">
        <v>38</v>
      </c>
      <c r="L817" t="s">
        <v>36</v>
      </c>
      <c r="M817" t="s">
        <v>36</v>
      </c>
      <c r="N817">
        <v>2</v>
      </c>
      <c r="O817" t="s">
        <v>45</v>
      </c>
      <c r="P817">
        <v>100</v>
      </c>
      <c r="Q817" t="s">
        <v>37</v>
      </c>
      <c r="R817" t="s">
        <v>37</v>
      </c>
      <c r="S817" t="s">
        <v>36</v>
      </c>
      <c r="T817" t="s">
        <v>49</v>
      </c>
      <c r="U817">
        <v>2</v>
      </c>
      <c r="V817" t="s">
        <v>41</v>
      </c>
      <c r="W817" t="s">
        <v>50</v>
      </c>
      <c r="X817" t="s">
        <v>37</v>
      </c>
      <c r="Y817" t="s">
        <v>43</v>
      </c>
      <c r="Z817" t="s">
        <v>37</v>
      </c>
      <c r="AA817">
        <v>2.41</v>
      </c>
      <c r="AB817" t="s">
        <v>37</v>
      </c>
      <c r="AC817">
        <v>3.5</v>
      </c>
      <c r="AD817">
        <v>116</v>
      </c>
      <c r="AE817">
        <v>76000</v>
      </c>
      <c r="AF817" t="str">
        <f>IF(Table1[[#This Row],[What is your current CGPA?]]&gt;=3.5,"High",IF(Table1[[#This Row],[What is your current CGPA?]]&gt;=2.5,"Medium","Low"))</f>
        <v>High</v>
      </c>
      <c r="AG817" t="str">
        <f>IF(AND(Table1[[#This Row],[Average attendance on class]]&lt;75,Table1[[#This Row],[How many hour do you study daily?]]&lt;1),"At Risk","Normal")</f>
        <v>Normal</v>
      </c>
      <c r="AH817">
        <f>(Table1[[#This Row],[Average attendance on class]]*0.4)+(Table1[[#This Row],[How many hour do you study daily?]]*10*0.3)+(Table1[[#This Row],[How many hour do you spent daily on your skill development?]]*10*0.3)</f>
        <v>55</v>
      </c>
    </row>
    <row r="818" spans="1:34" x14ac:dyDescent="0.25">
      <c r="A818">
        <v>2021</v>
      </c>
      <c r="B818" t="s">
        <v>48</v>
      </c>
      <c r="C818">
        <v>20</v>
      </c>
      <c r="D818">
        <v>2020</v>
      </c>
      <c r="E818" t="s">
        <v>35</v>
      </c>
      <c r="F818">
        <v>9</v>
      </c>
      <c r="G818" t="s">
        <v>37</v>
      </c>
      <c r="H818" t="s">
        <v>37</v>
      </c>
      <c r="I818">
        <v>2</v>
      </c>
      <c r="J818">
        <v>3</v>
      </c>
      <c r="K818" t="s">
        <v>44</v>
      </c>
      <c r="L818" t="s">
        <v>36</v>
      </c>
      <c r="M818" t="s">
        <v>36</v>
      </c>
      <c r="N818">
        <v>3</v>
      </c>
      <c r="O818" t="s">
        <v>53</v>
      </c>
      <c r="P818">
        <v>100</v>
      </c>
      <c r="Q818" t="s">
        <v>36</v>
      </c>
      <c r="R818" t="s">
        <v>37</v>
      </c>
      <c r="S818" t="s">
        <v>37</v>
      </c>
      <c r="T818" t="s">
        <v>61</v>
      </c>
      <c r="U818">
        <v>2</v>
      </c>
      <c r="V818" t="s">
        <v>41</v>
      </c>
      <c r="W818" t="s">
        <v>42</v>
      </c>
      <c r="X818" t="s">
        <v>36</v>
      </c>
      <c r="Y818" t="s">
        <v>47</v>
      </c>
      <c r="Z818" t="s">
        <v>37</v>
      </c>
      <c r="AA818">
        <v>1.57</v>
      </c>
      <c r="AB818" t="s">
        <v>37</v>
      </c>
      <c r="AC818">
        <v>2.66</v>
      </c>
      <c r="AD818">
        <v>100</v>
      </c>
      <c r="AE818">
        <v>76000</v>
      </c>
      <c r="AF818" t="str">
        <f>IF(Table1[[#This Row],[What is your current CGPA?]]&gt;=3.5,"High",IF(Table1[[#This Row],[What is your current CGPA?]]&gt;=2.5,"Medium","Low"))</f>
        <v>Medium</v>
      </c>
      <c r="AG818" t="str">
        <f>IF(AND(Table1[[#This Row],[Average attendance on class]]&lt;75,Table1[[#This Row],[How many hour do you study daily?]]&lt;1),"At Risk","Normal")</f>
        <v>Normal</v>
      </c>
      <c r="AH818">
        <f>(Table1[[#This Row],[Average attendance on class]]*0.4)+(Table1[[#This Row],[How many hour do you study daily?]]*10*0.3)+(Table1[[#This Row],[How many hour do you spent daily on your skill development?]]*10*0.3)</f>
        <v>52</v>
      </c>
    </row>
    <row r="819" spans="1:34" x14ac:dyDescent="0.25">
      <c r="A819">
        <v>2021</v>
      </c>
      <c r="B819" t="s">
        <v>34</v>
      </c>
      <c r="C819">
        <v>20</v>
      </c>
      <c r="D819">
        <v>2020</v>
      </c>
      <c r="E819" t="s">
        <v>35</v>
      </c>
      <c r="F819">
        <v>9</v>
      </c>
      <c r="G819" t="s">
        <v>36</v>
      </c>
      <c r="H819" t="s">
        <v>37</v>
      </c>
      <c r="I819">
        <v>4</v>
      </c>
      <c r="J819">
        <v>1</v>
      </c>
      <c r="K819" t="s">
        <v>38</v>
      </c>
      <c r="L819" t="s">
        <v>36</v>
      </c>
      <c r="M819" t="s">
        <v>36</v>
      </c>
      <c r="N819">
        <v>2</v>
      </c>
      <c r="O819" t="s">
        <v>53</v>
      </c>
      <c r="P819">
        <v>100</v>
      </c>
      <c r="Q819" t="s">
        <v>36</v>
      </c>
      <c r="R819" t="s">
        <v>37</v>
      </c>
      <c r="S819" t="s">
        <v>36</v>
      </c>
      <c r="T819" t="s">
        <v>52</v>
      </c>
      <c r="U819">
        <v>2</v>
      </c>
      <c r="V819" t="s">
        <v>41</v>
      </c>
      <c r="W819" t="s">
        <v>50</v>
      </c>
      <c r="X819" t="s">
        <v>36</v>
      </c>
      <c r="Y819" t="s">
        <v>43</v>
      </c>
      <c r="Z819" t="s">
        <v>37</v>
      </c>
      <c r="AA819">
        <v>2.73</v>
      </c>
      <c r="AB819" t="s">
        <v>37</v>
      </c>
      <c r="AC819">
        <v>3.8</v>
      </c>
      <c r="AD819">
        <v>100</v>
      </c>
      <c r="AE819">
        <v>76000</v>
      </c>
      <c r="AF819" t="str">
        <f>IF(Table1[[#This Row],[What is your current CGPA?]]&gt;=3.5,"High",IF(Table1[[#This Row],[What is your current CGPA?]]&gt;=2.5,"Medium","Low"))</f>
        <v>High</v>
      </c>
      <c r="AG819" t="str">
        <f>IF(AND(Table1[[#This Row],[Average attendance on class]]&lt;75,Table1[[#This Row],[How many hour do you study daily?]]&lt;1),"At Risk","Normal")</f>
        <v>Normal</v>
      </c>
      <c r="AH819">
        <f>(Table1[[#This Row],[Average attendance on class]]*0.4)+(Table1[[#This Row],[How many hour do you study daily?]]*10*0.3)+(Table1[[#This Row],[How many hour do you spent daily on your skill development?]]*10*0.3)</f>
        <v>58</v>
      </c>
    </row>
    <row r="820" spans="1:34" x14ac:dyDescent="0.25">
      <c r="A820">
        <v>2020</v>
      </c>
      <c r="B820" t="s">
        <v>34</v>
      </c>
      <c r="C820">
        <v>22</v>
      </c>
      <c r="D820">
        <v>2020</v>
      </c>
      <c r="E820" t="s">
        <v>35</v>
      </c>
      <c r="F820">
        <v>9</v>
      </c>
      <c r="G820" t="s">
        <v>37</v>
      </c>
      <c r="H820" t="s">
        <v>37</v>
      </c>
      <c r="I820">
        <v>2</v>
      </c>
      <c r="J820">
        <v>1</v>
      </c>
      <c r="K820" t="s">
        <v>38</v>
      </c>
      <c r="L820" t="s">
        <v>36</v>
      </c>
      <c r="M820" t="s">
        <v>36</v>
      </c>
      <c r="N820">
        <v>2</v>
      </c>
      <c r="O820" t="s">
        <v>53</v>
      </c>
      <c r="P820">
        <v>100</v>
      </c>
      <c r="Q820" t="s">
        <v>36</v>
      </c>
      <c r="R820" t="s">
        <v>37</v>
      </c>
      <c r="S820" t="s">
        <v>36</v>
      </c>
      <c r="T820" t="s">
        <v>51</v>
      </c>
      <c r="U820">
        <v>4</v>
      </c>
      <c r="V820" t="s">
        <v>59</v>
      </c>
      <c r="W820" t="s">
        <v>56</v>
      </c>
      <c r="X820" t="s">
        <v>37</v>
      </c>
      <c r="Y820" t="s">
        <v>47</v>
      </c>
      <c r="Z820" t="s">
        <v>36</v>
      </c>
      <c r="AA820">
        <v>2.87</v>
      </c>
      <c r="AB820" t="s">
        <v>37</v>
      </c>
      <c r="AC820">
        <v>3.93</v>
      </c>
      <c r="AD820">
        <v>100</v>
      </c>
      <c r="AE820">
        <v>76000</v>
      </c>
      <c r="AF820" t="str">
        <f>IF(Table1[[#This Row],[What is your current CGPA?]]&gt;=3.5,"High",IF(Table1[[#This Row],[What is your current CGPA?]]&gt;=2.5,"Medium","Low"))</f>
        <v>High</v>
      </c>
      <c r="AG820" t="str">
        <f>IF(AND(Table1[[#This Row],[Average attendance on class]]&lt;75,Table1[[#This Row],[How many hour do you study daily?]]&lt;1),"At Risk","Normal")</f>
        <v>Normal</v>
      </c>
      <c r="AH820">
        <f>(Table1[[#This Row],[Average attendance on class]]*0.4)+(Table1[[#This Row],[How many hour do you study daily?]]*10*0.3)+(Table1[[#This Row],[How many hour do you spent daily on your skill development?]]*10*0.3)</f>
        <v>58</v>
      </c>
    </row>
    <row r="821" spans="1:34" x14ac:dyDescent="0.25">
      <c r="A821">
        <v>2022</v>
      </c>
      <c r="B821" t="s">
        <v>34</v>
      </c>
      <c r="C821">
        <v>20</v>
      </c>
      <c r="D821">
        <v>2021</v>
      </c>
      <c r="E821" t="s">
        <v>35</v>
      </c>
      <c r="F821">
        <v>5</v>
      </c>
      <c r="G821" t="s">
        <v>37</v>
      </c>
      <c r="H821" t="s">
        <v>37</v>
      </c>
      <c r="I821">
        <v>3</v>
      </c>
      <c r="J821">
        <v>2</v>
      </c>
      <c r="K821" t="s">
        <v>44</v>
      </c>
      <c r="L821" t="s">
        <v>36</v>
      </c>
      <c r="M821" t="s">
        <v>36</v>
      </c>
      <c r="N821">
        <v>3</v>
      </c>
      <c r="O821" t="s">
        <v>39</v>
      </c>
      <c r="P821">
        <v>100</v>
      </c>
      <c r="Q821" t="s">
        <v>37</v>
      </c>
      <c r="R821" t="s">
        <v>37</v>
      </c>
      <c r="S821" t="s">
        <v>37</v>
      </c>
      <c r="T821" t="s">
        <v>51</v>
      </c>
      <c r="U821">
        <v>3</v>
      </c>
      <c r="V821" t="s">
        <v>59</v>
      </c>
      <c r="W821" t="s">
        <v>42</v>
      </c>
      <c r="X821" t="s">
        <v>37</v>
      </c>
      <c r="Y821" t="s">
        <v>43</v>
      </c>
      <c r="Z821" t="s">
        <v>37</v>
      </c>
      <c r="AA821">
        <v>1.56</v>
      </c>
      <c r="AB821" t="s">
        <v>37</v>
      </c>
      <c r="AC821">
        <v>2.66</v>
      </c>
      <c r="AD821">
        <v>71</v>
      </c>
      <c r="AE821">
        <v>76000</v>
      </c>
      <c r="AF821" t="str">
        <f>IF(Table1[[#This Row],[What is your current CGPA?]]&gt;=3.5,"High",IF(Table1[[#This Row],[What is your current CGPA?]]&gt;=2.5,"Medium","Low"))</f>
        <v>Medium</v>
      </c>
      <c r="AG821" t="str">
        <f>IF(AND(Table1[[#This Row],[Average attendance on class]]&lt;75,Table1[[#This Row],[How many hour do you study daily?]]&lt;1),"At Risk","Normal")</f>
        <v>Normal</v>
      </c>
      <c r="AH821">
        <f>(Table1[[#This Row],[Average attendance on class]]*0.4)+(Table1[[#This Row],[How many hour do you study daily?]]*10*0.3)+(Table1[[#This Row],[How many hour do you spent daily on your skill development?]]*10*0.3)</f>
        <v>58</v>
      </c>
    </row>
    <row r="822" spans="1:34" x14ac:dyDescent="0.25">
      <c r="A822">
        <v>2022</v>
      </c>
      <c r="B822" t="s">
        <v>34</v>
      </c>
      <c r="C822">
        <v>25</v>
      </c>
      <c r="D822">
        <v>2018</v>
      </c>
      <c r="E822" t="s">
        <v>35</v>
      </c>
      <c r="F822">
        <v>6</v>
      </c>
      <c r="G822" t="s">
        <v>37</v>
      </c>
      <c r="H822" t="s">
        <v>37</v>
      </c>
      <c r="I822">
        <v>3</v>
      </c>
      <c r="J822">
        <v>2</v>
      </c>
      <c r="K822" t="s">
        <v>44</v>
      </c>
      <c r="L822" t="s">
        <v>36</v>
      </c>
      <c r="M822" t="s">
        <v>36</v>
      </c>
      <c r="N822">
        <v>8</v>
      </c>
      <c r="O822" t="s">
        <v>53</v>
      </c>
      <c r="P822">
        <v>100</v>
      </c>
      <c r="Q822" t="s">
        <v>37</v>
      </c>
      <c r="R822" t="s">
        <v>37</v>
      </c>
      <c r="S822" t="s">
        <v>37</v>
      </c>
      <c r="T822" t="s">
        <v>40</v>
      </c>
      <c r="U822">
        <v>3</v>
      </c>
      <c r="V822" t="s">
        <v>62</v>
      </c>
      <c r="W822" t="s">
        <v>42</v>
      </c>
      <c r="X822" t="s">
        <v>37</v>
      </c>
      <c r="Y822" t="s">
        <v>43</v>
      </c>
      <c r="Z822" t="s">
        <v>36</v>
      </c>
      <c r="AA822">
        <v>2.87</v>
      </c>
      <c r="AB822" t="s">
        <v>37</v>
      </c>
      <c r="AC822">
        <v>3.98</v>
      </c>
      <c r="AD822">
        <v>143</v>
      </c>
      <c r="AE822">
        <v>77000</v>
      </c>
      <c r="AF822" t="str">
        <f>IF(Table1[[#This Row],[What is your current CGPA?]]&gt;=3.5,"High",IF(Table1[[#This Row],[What is your current CGPA?]]&gt;=2.5,"Medium","Low"))</f>
        <v>High</v>
      </c>
      <c r="AG822" t="str">
        <f>IF(AND(Table1[[#This Row],[Average attendance on class]]&lt;75,Table1[[#This Row],[How many hour do you study daily?]]&lt;1),"At Risk","Normal")</f>
        <v>Normal</v>
      </c>
      <c r="AH822">
        <f>(Table1[[#This Row],[Average attendance on class]]*0.4)+(Table1[[#This Row],[How many hour do you study daily?]]*10*0.3)+(Table1[[#This Row],[How many hour do you spent daily on your skill development?]]*10*0.3)</f>
        <v>58</v>
      </c>
    </row>
    <row r="823" spans="1:34" x14ac:dyDescent="0.25">
      <c r="A823">
        <v>2021</v>
      </c>
      <c r="B823" t="s">
        <v>34</v>
      </c>
      <c r="C823">
        <v>23</v>
      </c>
      <c r="D823">
        <v>2019</v>
      </c>
      <c r="E823" t="s">
        <v>35</v>
      </c>
      <c r="F823">
        <v>8</v>
      </c>
      <c r="G823" t="s">
        <v>37</v>
      </c>
      <c r="H823" t="s">
        <v>37</v>
      </c>
      <c r="I823">
        <v>3</v>
      </c>
      <c r="J823">
        <v>1</v>
      </c>
      <c r="K823" t="s">
        <v>44</v>
      </c>
      <c r="L823" t="s">
        <v>36</v>
      </c>
      <c r="M823" t="s">
        <v>36</v>
      </c>
      <c r="N823">
        <v>7</v>
      </c>
      <c r="O823" t="s">
        <v>53</v>
      </c>
      <c r="P823">
        <v>89</v>
      </c>
      <c r="Q823" t="s">
        <v>37</v>
      </c>
      <c r="R823" t="s">
        <v>37</v>
      </c>
      <c r="S823" t="s">
        <v>37</v>
      </c>
      <c r="T823" t="s">
        <v>52</v>
      </c>
      <c r="U823">
        <v>1</v>
      </c>
      <c r="V823" t="s">
        <v>41</v>
      </c>
      <c r="W823" t="s">
        <v>42</v>
      </c>
      <c r="X823" t="s">
        <v>37</v>
      </c>
      <c r="Y823" t="s">
        <v>43</v>
      </c>
      <c r="Z823" t="s">
        <v>37</v>
      </c>
      <c r="AA823">
        <v>1.79</v>
      </c>
      <c r="AB823" t="s">
        <v>37</v>
      </c>
      <c r="AC823">
        <v>2.85</v>
      </c>
      <c r="AD823">
        <v>104</v>
      </c>
      <c r="AE823">
        <v>77000</v>
      </c>
      <c r="AF823" t="str">
        <f>IF(Table1[[#This Row],[What is your current CGPA?]]&gt;=3.5,"High",IF(Table1[[#This Row],[What is your current CGPA?]]&gt;=2.5,"Medium","Low"))</f>
        <v>Medium</v>
      </c>
      <c r="AG823" t="str">
        <f>IF(AND(Table1[[#This Row],[Average attendance on class]]&lt;75,Table1[[#This Row],[How many hour do you study daily?]]&lt;1),"At Risk","Normal")</f>
        <v>Normal</v>
      </c>
      <c r="AH823">
        <f>(Table1[[#This Row],[Average attendance on class]]*0.4)+(Table1[[#This Row],[How many hour do you study daily?]]*10*0.3)+(Table1[[#This Row],[How many hour do you spent daily on your skill development?]]*10*0.3)</f>
        <v>47.6</v>
      </c>
    </row>
    <row r="824" spans="1:34" x14ac:dyDescent="0.25">
      <c r="A824">
        <v>2019</v>
      </c>
      <c r="B824" t="s">
        <v>34</v>
      </c>
      <c r="C824">
        <v>21</v>
      </c>
      <c r="D824">
        <v>2019</v>
      </c>
      <c r="E824" t="s">
        <v>35</v>
      </c>
      <c r="F824">
        <v>10</v>
      </c>
      <c r="G824" t="s">
        <v>36</v>
      </c>
      <c r="H824" t="s">
        <v>37</v>
      </c>
      <c r="I824">
        <v>7</v>
      </c>
      <c r="J824">
        <v>3</v>
      </c>
      <c r="K824" t="s">
        <v>44</v>
      </c>
      <c r="L824" t="s">
        <v>36</v>
      </c>
      <c r="M824" t="s">
        <v>36</v>
      </c>
      <c r="N824">
        <v>3</v>
      </c>
      <c r="O824" t="s">
        <v>53</v>
      </c>
      <c r="P824">
        <v>100</v>
      </c>
      <c r="Q824" t="s">
        <v>37</v>
      </c>
      <c r="R824" t="s">
        <v>37</v>
      </c>
      <c r="S824" t="s">
        <v>37</v>
      </c>
      <c r="T824" t="s">
        <v>40</v>
      </c>
      <c r="U824">
        <v>2</v>
      </c>
      <c r="V824" t="s">
        <v>62</v>
      </c>
      <c r="W824" t="s">
        <v>42</v>
      </c>
      <c r="X824" t="s">
        <v>37</v>
      </c>
      <c r="Y824" t="s">
        <v>47</v>
      </c>
      <c r="Z824" t="s">
        <v>37</v>
      </c>
      <c r="AA824">
        <v>2.88</v>
      </c>
      <c r="AB824" t="s">
        <v>37</v>
      </c>
      <c r="AC824">
        <v>3.93</v>
      </c>
      <c r="AD824">
        <v>139</v>
      </c>
      <c r="AE824">
        <v>77000</v>
      </c>
      <c r="AF824" t="str">
        <f>IF(Table1[[#This Row],[What is your current CGPA?]]&gt;=3.5,"High",IF(Table1[[#This Row],[What is your current CGPA?]]&gt;=2.5,"Medium","Low"))</f>
        <v>High</v>
      </c>
      <c r="AG824" t="str">
        <f>IF(AND(Table1[[#This Row],[Average attendance on class]]&lt;75,Table1[[#This Row],[How many hour do you study daily?]]&lt;1),"At Risk","Normal")</f>
        <v>Normal</v>
      </c>
      <c r="AH824">
        <f>(Table1[[#This Row],[Average attendance on class]]*0.4)+(Table1[[#This Row],[How many hour do you study daily?]]*10*0.3)+(Table1[[#This Row],[How many hour do you spent daily on your skill development?]]*10*0.3)</f>
        <v>67</v>
      </c>
    </row>
    <row r="825" spans="1:34" x14ac:dyDescent="0.25">
      <c r="A825">
        <v>2020</v>
      </c>
      <c r="B825" t="s">
        <v>48</v>
      </c>
      <c r="C825">
        <v>22</v>
      </c>
      <c r="D825">
        <v>2019</v>
      </c>
      <c r="E825" t="s">
        <v>35</v>
      </c>
      <c r="F825">
        <v>9</v>
      </c>
      <c r="G825" t="s">
        <v>37</v>
      </c>
      <c r="H825" t="s">
        <v>37</v>
      </c>
      <c r="I825">
        <v>4</v>
      </c>
      <c r="J825">
        <v>2</v>
      </c>
      <c r="K825" t="s">
        <v>38</v>
      </c>
      <c r="L825" t="s">
        <v>36</v>
      </c>
      <c r="M825" t="s">
        <v>36</v>
      </c>
      <c r="N825">
        <v>2</v>
      </c>
      <c r="O825" t="s">
        <v>39</v>
      </c>
      <c r="P825">
        <v>100</v>
      </c>
      <c r="Q825" t="s">
        <v>36</v>
      </c>
      <c r="R825" t="s">
        <v>37</v>
      </c>
      <c r="S825" t="s">
        <v>37</v>
      </c>
      <c r="T825" t="s">
        <v>49</v>
      </c>
      <c r="U825">
        <v>1</v>
      </c>
      <c r="V825" t="s">
        <v>41</v>
      </c>
      <c r="W825" t="s">
        <v>50</v>
      </c>
      <c r="X825" t="s">
        <v>37</v>
      </c>
      <c r="Y825" t="s">
        <v>43</v>
      </c>
      <c r="Z825" t="s">
        <v>36</v>
      </c>
      <c r="AA825">
        <v>2.78</v>
      </c>
      <c r="AB825" t="s">
        <v>37</v>
      </c>
      <c r="AC825">
        <v>3.84</v>
      </c>
      <c r="AD825">
        <v>120</v>
      </c>
      <c r="AE825">
        <v>77000</v>
      </c>
      <c r="AF825" t="str">
        <f>IF(Table1[[#This Row],[What is your current CGPA?]]&gt;=3.5,"High",IF(Table1[[#This Row],[What is your current CGPA?]]&gt;=2.5,"Medium","Low"))</f>
        <v>High</v>
      </c>
      <c r="AG825" t="str">
        <f>IF(AND(Table1[[#This Row],[Average attendance on class]]&lt;75,Table1[[#This Row],[How many hour do you study daily?]]&lt;1),"At Risk","Normal")</f>
        <v>Normal</v>
      </c>
      <c r="AH825">
        <f>(Table1[[#This Row],[Average attendance on class]]*0.4)+(Table1[[#This Row],[How many hour do you study daily?]]*10*0.3)+(Table1[[#This Row],[How many hour do you spent daily on your skill development?]]*10*0.3)</f>
        <v>55</v>
      </c>
    </row>
    <row r="826" spans="1:34" x14ac:dyDescent="0.25">
      <c r="A826">
        <v>2021</v>
      </c>
      <c r="B826" t="s">
        <v>48</v>
      </c>
      <c r="C826">
        <v>22</v>
      </c>
      <c r="D826">
        <v>2020</v>
      </c>
      <c r="E826" t="s">
        <v>35</v>
      </c>
      <c r="F826">
        <v>6</v>
      </c>
      <c r="G826" t="s">
        <v>36</v>
      </c>
      <c r="H826" t="s">
        <v>37</v>
      </c>
      <c r="I826">
        <v>1</v>
      </c>
      <c r="J826">
        <v>1</v>
      </c>
      <c r="K826" t="s">
        <v>44</v>
      </c>
      <c r="L826" t="s">
        <v>36</v>
      </c>
      <c r="M826" t="s">
        <v>36</v>
      </c>
      <c r="N826">
        <v>4</v>
      </c>
      <c r="O826" t="s">
        <v>45</v>
      </c>
      <c r="P826">
        <v>98</v>
      </c>
      <c r="Q826" t="s">
        <v>37</v>
      </c>
      <c r="R826" t="s">
        <v>37</v>
      </c>
      <c r="S826" t="s">
        <v>37</v>
      </c>
      <c r="T826" t="s">
        <v>61</v>
      </c>
      <c r="U826">
        <v>3</v>
      </c>
      <c r="V826" t="s">
        <v>59</v>
      </c>
      <c r="W826" t="s">
        <v>50</v>
      </c>
      <c r="X826" t="s">
        <v>36</v>
      </c>
      <c r="Y826" t="s">
        <v>47</v>
      </c>
      <c r="Z826" t="s">
        <v>36</v>
      </c>
      <c r="AA826">
        <v>2.36</v>
      </c>
      <c r="AB826" t="s">
        <v>36</v>
      </c>
      <c r="AC826">
        <v>3.19</v>
      </c>
      <c r="AD826">
        <v>70</v>
      </c>
      <c r="AE826">
        <v>77000</v>
      </c>
      <c r="AF826" t="str">
        <f>IF(Table1[[#This Row],[What is your current CGPA?]]&gt;=3.5,"High",IF(Table1[[#This Row],[What is your current CGPA?]]&gt;=2.5,"Medium","Low"))</f>
        <v>Medium</v>
      </c>
      <c r="AG826" t="str">
        <f>IF(AND(Table1[[#This Row],[Average attendance on class]]&lt;75,Table1[[#This Row],[How many hour do you study daily?]]&lt;1),"At Risk","Normal")</f>
        <v>Normal</v>
      </c>
      <c r="AH826">
        <f>(Table1[[#This Row],[Average attendance on class]]*0.4)+(Table1[[#This Row],[How many hour do you study daily?]]*10*0.3)+(Table1[[#This Row],[How many hour do you spent daily on your skill development?]]*10*0.3)</f>
        <v>51.2</v>
      </c>
    </row>
    <row r="827" spans="1:34" x14ac:dyDescent="0.25">
      <c r="A827">
        <v>2020</v>
      </c>
      <c r="B827" t="s">
        <v>48</v>
      </c>
      <c r="C827">
        <v>21</v>
      </c>
      <c r="D827">
        <v>2020</v>
      </c>
      <c r="E827" t="s">
        <v>35</v>
      </c>
      <c r="F827">
        <v>7</v>
      </c>
      <c r="G827" t="s">
        <v>37</v>
      </c>
      <c r="H827" t="s">
        <v>37</v>
      </c>
      <c r="I827">
        <v>3</v>
      </c>
      <c r="J827">
        <v>2</v>
      </c>
      <c r="K827" t="s">
        <v>38</v>
      </c>
      <c r="L827" t="s">
        <v>36</v>
      </c>
      <c r="M827" t="s">
        <v>36</v>
      </c>
      <c r="N827">
        <v>4</v>
      </c>
      <c r="O827" t="s">
        <v>39</v>
      </c>
      <c r="P827">
        <v>100</v>
      </c>
      <c r="Q827" t="s">
        <v>37</v>
      </c>
      <c r="R827" t="s">
        <v>37</v>
      </c>
      <c r="S827" t="s">
        <v>36</v>
      </c>
      <c r="T827" t="s">
        <v>52</v>
      </c>
      <c r="U827">
        <v>3</v>
      </c>
      <c r="V827" t="s">
        <v>40</v>
      </c>
      <c r="W827" t="s">
        <v>42</v>
      </c>
      <c r="X827" t="s">
        <v>37</v>
      </c>
      <c r="Y827" t="s">
        <v>47</v>
      </c>
      <c r="Z827" t="s">
        <v>37</v>
      </c>
      <c r="AA827">
        <v>2.0299999999999998</v>
      </c>
      <c r="AB827" t="s">
        <v>37</v>
      </c>
      <c r="AC827">
        <v>3.15</v>
      </c>
      <c r="AD827">
        <v>65</v>
      </c>
      <c r="AE827">
        <v>78000</v>
      </c>
      <c r="AF827" t="str">
        <f>IF(Table1[[#This Row],[What is your current CGPA?]]&gt;=3.5,"High",IF(Table1[[#This Row],[What is your current CGPA?]]&gt;=2.5,"Medium","Low"))</f>
        <v>Medium</v>
      </c>
      <c r="AG827" t="str">
        <f>IF(AND(Table1[[#This Row],[Average attendance on class]]&lt;75,Table1[[#This Row],[How many hour do you study daily?]]&lt;1),"At Risk","Normal")</f>
        <v>Normal</v>
      </c>
      <c r="AH827">
        <f>(Table1[[#This Row],[Average attendance on class]]*0.4)+(Table1[[#This Row],[How many hour do you study daily?]]*10*0.3)+(Table1[[#This Row],[How many hour do you spent daily on your skill development?]]*10*0.3)</f>
        <v>58</v>
      </c>
    </row>
    <row r="828" spans="1:34" x14ac:dyDescent="0.25">
      <c r="A828">
        <v>2018</v>
      </c>
      <c r="B828" t="s">
        <v>48</v>
      </c>
      <c r="C828">
        <v>25</v>
      </c>
      <c r="D828">
        <v>2018</v>
      </c>
      <c r="E828" t="s">
        <v>35</v>
      </c>
      <c r="F828">
        <v>11</v>
      </c>
      <c r="G828" t="s">
        <v>36</v>
      </c>
      <c r="H828" t="s">
        <v>37</v>
      </c>
      <c r="I828">
        <v>5</v>
      </c>
      <c r="J828">
        <v>3</v>
      </c>
      <c r="K828" t="s">
        <v>38</v>
      </c>
      <c r="L828" t="s">
        <v>36</v>
      </c>
      <c r="M828" t="s">
        <v>36</v>
      </c>
      <c r="N828">
        <v>1</v>
      </c>
      <c r="O828" t="s">
        <v>45</v>
      </c>
      <c r="P828">
        <v>78</v>
      </c>
      <c r="Q828" t="s">
        <v>36</v>
      </c>
      <c r="R828" t="s">
        <v>37</v>
      </c>
      <c r="S828" t="s">
        <v>36</v>
      </c>
      <c r="T828" t="s">
        <v>49</v>
      </c>
      <c r="U828">
        <v>4</v>
      </c>
      <c r="V828" t="s">
        <v>40</v>
      </c>
      <c r="W828" t="s">
        <v>42</v>
      </c>
      <c r="X828" t="s">
        <v>36</v>
      </c>
      <c r="Y828" t="s">
        <v>43</v>
      </c>
      <c r="Z828" t="s">
        <v>37</v>
      </c>
      <c r="AA828">
        <v>2.83</v>
      </c>
      <c r="AB828" t="s">
        <v>37</v>
      </c>
      <c r="AC828">
        <v>3.9</v>
      </c>
      <c r="AD828">
        <v>143</v>
      </c>
      <c r="AE828">
        <v>79000</v>
      </c>
      <c r="AF828" t="str">
        <f>IF(Table1[[#This Row],[What is your current CGPA?]]&gt;=3.5,"High",IF(Table1[[#This Row],[What is your current CGPA?]]&gt;=2.5,"Medium","Low"))</f>
        <v>High</v>
      </c>
      <c r="AG828" t="str">
        <f>IF(AND(Table1[[#This Row],[Average attendance on class]]&lt;75,Table1[[#This Row],[How many hour do you study daily?]]&lt;1),"At Risk","Normal")</f>
        <v>Normal</v>
      </c>
      <c r="AH828">
        <f>(Table1[[#This Row],[Average attendance on class]]*0.4)+(Table1[[#This Row],[How many hour do you study daily?]]*10*0.3)+(Table1[[#This Row],[How many hour do you spent daily on your skill development?]]*10*0.3)</f>
        <v>58.2</v>
      </c>
    </row>
    <row r="829" spans="1:34" x14ac:dyDescent="0.25">
      <c r="A829">
        <v>2020</v>
      </c>
      <c r="B829" t="s">
        <v>48</v>
      </c>
      <c r="C829">
        <v>20</v>
      </c>
      <c r="D829">
        <v>2019</v>
      </c>
      <c r="E829" t="s">
        <v>35</v>
      </c>
      <c r="F829">
        <v>7</v>
      </c>
      <c r="G829" t="s">
        <v>36</v>
      </c>
      <c r="H829" t="s">
        <v>37</v>
      </c>
      <c r="I829">
        <v>5</v>
      </c>
      <c r="J829">
        <v>3</v>
      </c>
      <c r="K829" t="s">
        <v>38</v>
      </c>
      <c r="L829" t="s">
        <v>36</v>
      </c>
      <c r="M829" t="s">
        <v>36</v>
      </c>
      <c r="N829">
        <v>4</v>
      </c>
      <c r="O829" t="s">
        <v>53</v>
      </c>
      <c r="P829">
        <v>100</v>
      </c>
      <c r="Q829" t="s">
        <v>37</v>
      </c>
      <c r="R829" t="s">
        <v>37</v>
      </c>
      <c r="S829" t="s">
        <v>37</v>
      </c>
      <c r="T829" t="s">
        <v>51</v>
      </c>
      <c r="U829">
        <v>1</v>
      </c>
      <c r="V829" t="s">
        <v>62</v>
      </c>
      <c r="W829" t="s">
        <v>42</v>
      </c>
      <c r="X829" t="s">
        <v>36</v>
      </c>
      <c r="Y829" t="s">
        <v>47</v>
      </c>
      <c r="Z829" t="s">
        <v>37</v>
      </c>
      <c r="AA829">
        <v>2.44</v>
      </c>
      <c r="AB829" t="s">
        <v>37</v>
      </c>
      <c r="AC829">
        <v>3.78</v>
      </c>
      <c r="AD829">
        <v>88</v>
      </c>
      <c r="AE829">
        <v>79000</v>
      </c>
      <c r="AF829" t="str">
        <f>IF(Table1[[#This Row],[What is your current CGPA?]]&gt;=3.5,"High",IF(Table1[[#This Row],[What is your current CGPA?]]&gt;=2.5,"Medium","Low"))</f>
        <v>High</v>
      </c>
      <c r="AG829" t="str">
        <f>IF(AND(Table1[[#This Row],[Average attendance on class]]&lt;75,Table1[[#This Row],[How many hour do you study daily?]]&lt;1),"At Risk","Normal")</f>
        <v>Normal</v>
      </c>
      <c r="AH829">
        <f>(Table1[[#This Row],[Average attendance on class]]*0.4)+(Table1[[#This Row],[How many hour do you study daily?]]*10*0.3)+(Table1[[#This Row],[How many hour do you spent daily on your skill development?]]*10*0.3)</f>
        <v>58</v>
      </c>
    </row>
    <row r="830" spans="1:34" x14ac:dyDescent="0.25">
      <c r="A830">
        <v>2021</v>
      </c>
      <c r="B830" t="s">
        <v>34</v>
      </c>
      <c r="C830">
        <v>20</v>
      </c>
      <c r="D830">
        <v>2020</v>
      </c>
      <c r="E830" t="s">
        <v>35</v>
      </c>
      <c r="F830">
        <v>7</v>
      </c>
      <c r="G830" t="s">
        <v>37</v>
      </c>
      <c r="H830" t="s">
        <v>37</v>
      </c>
      <c r="I830">
        <v>5</v>
      </c>
      <c r="J830">
        <v>3</v>
      </c>
      <c r="K830" t="s">
        <v>38</v>
      </c>
      <c r="L830" t="s">
        <v>36</v>
      </c>
      <c r="M830" t="s">
        <v>36</v>
      </c>
      <c r="N830">
        <v>5</v>
      </c>
      <c r="O830" t="s">
        <v>39</v>
      </c>
      <c r="P830">
        <v>50</v>
      </c>
      <c r="Q830" t="s">
        <v>37</v>
      </c>
      <c r="R830" t="s">
        <v>37</v>
      </c>
      <c r="S830" t="s">
        <v>36</v>
      </c>
      <c r="T830" t="s">
        <v>40</v>
      </c>
      <c r="U830">
        <v>3</v>
      </c>
      <c r="V830" t="s">
        <v>62</v>
      </c>
      <c r="W830" t="s">
        <v>42</v>
      </c>
      <c r="X830" t="s">
        <v>37</v>
      </c>
      <c r="Y830" t="s">
        <v>47</v>
      </c>
      <c r="Z830" t="s">
        <v>37</v>
      </c>
      <c r="AA830">
        <v>1.66</v>
      </c>
      <c r="AB830" t="s">
        <v>37</v>
      </c>
      <c r="AC830">
        <v>2.99</v>
      </c>
      <c r="AD830">
        <v>97</v>
      </c>
      <c r="AE830">
        <v>79000</v>
      </c>
      <c r="AF830" t="str">
        <f>IF(Table1[[#This Row],[What is your current CGPA?]]&gt;=3.5,"High",IF(Table1[[#This Row],[What is your current CGPA?]]&gt;=2.5,"Medium","Low"))</f>
        <v>Medium</v>
      </c>
      <c r="AG830" t="str">
        <f>IF(AND(Table1[[#This Row],[Average attendance on class]]&lt;75,Table1[[#This Row],[How many hour do you study daily?]]&lt;1),"At Risk","Normal")</f>
        <v>Normal</v>
      </c>
      <c r="AH830">
        <f>(Table1[[#This Row],[Average attendance on class]]*0.4)+(Table1[[#This Row],[How many hour do you study daily?]]*10*0.3)+(Table1[[#This Row],[How many hour do you spent daily on your skill development?]]*10*0.3)</f>
        <v>44</v>
      </c>
    </row>
    <row r="831" spans="1:34" x14ac:dyDescent="0.25">
      <c r="A831">
        <v>2019</v>
      </c>
      <c r="B831" t="s">
        <v>34</v>
      </c>
      <c r="C831">
        <v>21</v>
      </c>
      <c r="D831">
        <v>2018</v>
      </c>
      <c r="E831" t="s">
        <v>35</v>
      </c>
      <c r="F831">
        <v>10</v>
      </c>
      <c r="G831" t="s">
        <v>37</v>
      </c>
      <c r="H831" t="s">
        <v>36</v>
      </c>
      <c r="I831">
        <v>6</v>
      </c>
      <c r="J831">
        <v>4</v>
      </c>
      <c r="K831" t="s">
        <v>38</v>
      </c>
      <c r="L831" t="s">
        <v>36</v>
      </c>
      <c r="M831" t="s">
        <v>36</v>
      </c>
      <c r="N831">
        <v>3</v>
      </c>
      <c r="O831" t="s">
        <v>53</v>
      </c>
      <c r="P831">
        <v>80</v>
      </c>
      <c r="Q831" t="s">
        <v>37</v>
      </c>
      <c r="R831" t="s">
        <v>37</v>
      </c>
      <c r="S831" t="s">
        <v>37</v>
      </c>
      <c r="T831" t="s">
        <v>61</v>
      </c>
      <c r="U831">
        <v>2</v>
      </c>
      <c r="V831" t="s">
        <v>62</v>
      </c>
      <c r="W831" t="s">
        <v>42</v>
      </c>
      <c r="X831" t="s">
        <v>36</v>
      </c>
      <c r="Y831" t="s">
        <v>47</v>
      </c>
      <c r="Z831" t="s">
        <v>37</v>
      </c>
      <c r="AA831">
        <v>2.54</v>
      </c>
      <c r="AB831" t="s">
        <v>37</v>
      </c>
      <c r="AC831">
        <v>3.76</v>
      </c>
      <c r="AD831">
        <v>126</v>
      </c>
      <c r="AE831">
        <v>80000</v>
      </c>
      <c r="AF831" t="str">
        <f>IF(Table1[[#This Row],[What is your current CGPA?]]&gt;=3.5,"High",IF(Table1[[#This Row],[What is your current CGPA?]]&gt;=2.5,"Medium","Low"))</f>
        <v>High</v>
      </c>
      <c r="AG831" t="str">
        <f>IF(AND(Table1[[#This Row],[Average attendance on class]]&lt;75,Table1[[#This Row],[How many hour do you study daily?]]&lt;1),"At Risk","Normal")</f>
        <v>Normal</v>
      </c>
      <c r="AH831">
        <f>(Table1[[#This Row],[Average attendance on class]]*0.4)+(Table1[[#This Row],[How many hour do you study daily?]]*10*0.3)+(Table1[[#This Row],[How many hour do you spent daily on your skill development?]]*10*0.3)</f>
        <v>56</v>
      </c>
    </row>
    <row r="832" spans="1:34" x14ac:dyDescent="0.25">
      <c r="A832">
        <v>2020</v>
      </c>
      <c r="B832" t="s">
        <v>48</v>
      </c>
      <c r="C832">
        <v>22</v>
      </c>
      <c r="D832">
        <v>2019</v>
      </c>
      <c r="E832" t="s">
        <v>35</v>
      </c>
      <c r="F832">
        <v>11</v>
      </c>
      <c r="G832" t="s">
        <v>36</v>
      </c>
      <c r="H832" t="s">
        <v>37</v>
      </c>
      <c r="I832">
        <v>2</v>
      </c>
      <c r="J832">
        <v>1</v>
      </c>
      <c r="K832" t="s">
        <v>44</v>
      </c>
      <c r="L832" t="s">
        <v>36</v>
      </c>
      <c r="M832" t="s">
        <v>36</v>
      </c>
      <c r="N832">
        <v>4</v>
      </c>
      <c r="O832" t="s">
        <v>39</v>
      </c>
      <c r="P832">
        <v>99</v>
      </c>
      <c r="Q832" t="s">
        <v>37</v>
      </c>
      <c r="R832" t="s">
        <v>37</v>
      </c>
      <c r="S832" t="s">
        <v>37</v>
      </c>
      <c r="T832" t="s">
        <v>40</v>
      </c>
      <c r="U832">
        <v>1</v>
      </c>
      <c r="V832" t="s">
        <v>59</v>
      </c>
      <c r="W832" t="s">
        <v>42</v>
      </c>
      <c r="X832" t="s">
        <v>37</v>
      </c>
      <c r="Y832" t="s">
        <v>47</v>
      </c>
      <c r="Z832" t="s">
        <v>37</v>
      </c>
      <c r="AA832">
        <v>2.79</v>
      </c>
      <c r="AB832" t="s">
        <v>37</v>
      </c>
      <c r="AC832">
        <v>3.59</v>
      </c>
      <c r="AD832">
        <v>125</v>
      </c>
      <c r="AE832">
        <v>80000</v>
      </c>
      <c r="AF832" t="str">
        <f>IF(Table1[[#This Row],[What is your current CGPA?]]&gt;=3.5,"High",IF(Table1[[#This Row],[What is your current CGPA?]]&gt;=2.5,"Medium","Low"))</f>
        <v>High</v>
      </c>
      <c r="AG832" t="str">
        <f>IF(AND(Table1[[#This Row],[Average attendance on class]]&lt;75,Table1[[#This Row],[How many hour do you study daily?]]&lt;1),"At Risk","Normal")</f>
        <v>Normal</v>
      </c>
      <c r="AH832">
        <f>(Table1[[#This Row],[Average attendance on class]]*0.4)+(Table1[[#This Row],[How many hour do you study daily?]]*10*0.3)+(Table1[[#This Row],[How many hour do you spent daily on your skill development?]]*10*0.3)</f>
        <v>48.6</v>
      </c>
    </row>
    <row r="833" spans="1:34" x14ac:dyDescent="0.25">
      <c r="A833">
        <v>2019</v>
      </c>
      <c r="B833" t="s">
        <v>34</v>
      </c>
      <c r="C833">
        <v>20</v>
      </c>
      <c r="D833">
        <v>2019</v>
      </c>
      <c r="E833" t="s">
        <v>35</v>
      </c>
      <c r="F833">
        <v>11</v>
      </c>
      <c r="G833" t="s">
        <v>37</v>
      </c>
      <c r="H833" t="s">
        <v>37</v>
      </c>
      <c r="I833">
        <v>2</v>
      </c>
      <c r="J833">
        <v>1</v>
      </c>
      <c r="K833" t="s">
        <v>38</v>
      </c>
      <c r="L833" t="s">
        <v>36</v>
      </c>
      <c r="M833" t="s">
        <v>36</v>
      </c>
      <c r="N833">
        <v>6</v>
      </c>
      <c r="O833" t="s">
        <v>45</v>
      </c>
      <c r="P833">
        <v>77</v>
      </c>
      <c r="Q833" t="s">
        <v>36</v>
      </c>
      <c r="R833" t="s">
        <v>36</v>
      </c>
      <c r="S833" t="s">
        <v>36</v>
      </c>
      <c r="T833" t="s">
        <v>61</v>
      </c>
      <c r="U833">
        <v>2</v>
      </c>
      <c r="V833" t="s">
        <v>59</v>
      </c>
      <c r="W833" t="s">
        <v>50</v>
      </c>
      <c r="X833" t="s">
        <v>37</v>
      </c>
      <c r="Y833" t="s">
        <v>43</v>
      </c>
      <c r="Z833" t="s">
        <v>37</v>
      </c>
      <c r="AA833">
        <v>1.55</v>
      </c>
      <c r="AB833" t="s">
        <v>37</v>
      </c>
      <c r="AC833">
        <v>2.67</v>
      </c>
      <c r="AD833">
        <v>144</v>
      </c>
      <c r="AE833">
        <v>80000</v>
      </c>
      <c r="AF833" t="str">
        <f>IF(Table1[[#This Row],[What is your current CGPA?]]&gt;=3.5,"High",IF(Table1[[#This Row],[What is your current CGPA?]]&gt;=2.5,"Medium","Low"))</f>
        <v>Medium</v>
      </c>
      <c r="AG833" t="str">
        <f>IF(AND(Table1[[#This Row],[Average attendance on class]]&lt;75,Table1[[#This Row],[How many hour do you study daily?]]&lt;1),"At Risk","Normal")</f>
        <v>Normal</v>
      </c>
      <c r="AH833">
        <f>(Table1[[#This Row],[Average attendance on class]]*0.4)+(Table1[[#This Row],[How many hour do you study daily?]]*10*0.3)+(Table1[[#This Row],[How many hour do you spent daily on your skill development?]]*10*0.3)</f>
        <v>42.8</v>
      </c>
    </row>
    <row r="834" spans="1:34" x14ac:dyDescent="0.25">
      <c r="A834">
        <v>2021</v>
      </c>
      <c r="B834" t="s">
        <v>34</v>
      </c>
      <c r="C834">
        <v>21</v>
      </c>
      <c r="D834">
        <v>2020</v>
      </c>
      <c r="E834" t="s">
        <v>35</v>
      </c>
      <c r="F834">
        <v>8</v>
      </c>
      <c r="G834" t="s">
        <v>37</v>
      </c>
      <c r="H834" t="s">
        <v>37</v>
      </c>
      <c r="I834">
        <v>4</v>
      </c>
      <c r="J834">
        <v>2</v>
      </c>
      <c r="K834" t="s">
        <v>38</v>
      </c>
      <c r="L834" t="s">
        <v>36</v>
      </c>
      <c r="M834" t="s">
        <v>36</v>
      </c>
      <c r="N834">
        <v>2</v>
      </c>
      <c r="O834" t="s">
        <v>53</v>
      </c>
      <c r="P834">
        <v>100</v>
      </c>
      <c r="Q834" t="s">
        <v>36</v>
      </c>
      <c r="R834" t="s">
        <v>37</v>
      </c>
      <c r="S834" t="s">
        <v>37</v>
      </c>
      <c r="T834" t="s">
        <v>51</v>
      </c>
      <c r="U834">
        <v>2</v>
      </c>
      <c r="V834" t="s">
        <v>41</v>
      </c>
      <c r="W834" t="s">
        <v>42</v>
      </c>
      <c r="X834" t="s">
        <v>37</v>
      </c>
      <c r="Y834" t="s">
        <v>47</v>
      </c>
      <c r="Z834" t="s">
        <v>36</v>
      </c>
      <c r="AA834">
        <v>1.25</v>
      </c>
      <c r="AB834" t="s">
        <v>37</v>
      </c>
      <c r="AC834">
        <v>2.57</v>
      </c>
      <c r="AD834">
        <v>101</v>
      </c>
      <c r="AE834">
        <v>80000</v>
      </c>
      <c r="AF834" t="str">
        <f>IF(Table1[[#This Row],[What is your current CGPA?]]&gt;=3.5,"High",IF(Table1[[#This Row],[What is your current CGPA?]]&gt;=2.5,"Medium","Low"))</f>
        <v>Medium</v>
      </c>
      <c r="AG834" t="str">
        <f>IF(AND(Table1[[#This Row],[Average attendance on class]]&lt;75,Table1[[#This Row],[How many hour do you study daily?]]&lt;1),"At Risk","Normal")</f>
        <v>Normal</v>
      </c>
      <c r="AH834">
        <f>(Table1[[#This Row],[Average attendance on class]]*0.4)+(Table1[[#This Row],[How many hour do you study daily?]]*10*0.3)+(Table1[[#This Row],[How many hour do you spent daily on your skill development?]]*10*0.3)</f>
        <v>58</v>
      </c>
    </row>
    <row r="835" spans="1:34" x14ac:dyDescent="0.25">
      <c r="A835">
        <v>2020</v>
      </c>
      <c r="B835" t="s">
        <v>48</v>
      </c>
      <c r="C835">
        <v>20</v>
      </c>
      <c r="D835">
        <v>2020</v>
      </c>
      <c r="E835" t="s">
        <v>35</v>
      </c>
      <c r="F835">
        <v>10</v>
      </c>
      <c r="G835" t="s">
        <v>37</v>
      </c>
      <c r="H835" t="s">
        <v>37</v>
      </c>
      <c r="I835">
        <v>4</v>
      </c>
      <c r="J835">
        <v>2</v>
      </c>
      <c r="K835" t="s">
        <v>38</v>
      </c>
      <c r="L835" t="s">
        <v>36</v>
      </c>
      <c r="M835" t="s">
        <v>36</v>
      </c>
      <c r="N835">
        <v>2</v>
      </c>
      <c r="O835" t="s">
        <v>53</v>
      </c>
      <c r="P835">
        <v>100</v>
      </c>
      <c r="Q835" t="s">
        <v>37</v>
      </c>
      <c r="R835" t="s">
        <v>37</v>
      </c>
      <c r="S835" t="s">
        <v>37</v>
      </c>
      <c r="T835" t="s">
        <v>51</v>
      </c>
      <c r="U835">
        <v>2</v>
      </c>
      <c r="V835" t="s">
        <v>59</v>
      </c>
      <c r="W835" t="s">
        <v>42</v>
      </c>
      <c r="X835" t="s">
        <v>37</v>
      </c>
      <c r="Y835" t="s">
        <v>43</v>
      </c>
      <c r="Z835" t="s">
        <v>112</v>
      </c>
      <c r="AA835">
        <v>2.56</v>
      </c>
      <c r="AB835" t="s">
        <v>37</v>
      </c>
      <c r="AC835">
        <v>3.61</v>
      </c>
      <c r="AD835">
        <v>131</v>
      </c>
      <c r="AE835">
        <v>80000</v>
      </c>
      <c r="AF835" t="str">
        <f>IF(Table1[[#This Row],[What is your current CGPA?]]&gt;=3.5,"High",IF(Table1[[#This Row],[What is your current CGPA?]]&gt;=2.5,"Medium","Low"))</f>
        <v>High</v>
      </c>
      <c r="AG835" t="str">
        <f>IF(AND(Table1[[#This Row],[Average attendance on class]]&lt;75,Table1[[#This Row],[How many hour do you study daily?]]&lt;1),"At Risk","Normal")</f>
        <v>Normal</v>
      </c>
      <c r="AH835">
        <f>(Table1[[#This Row],[Average attendance on class]]*0.4)+(Table1[[#This Row],[How many hour do you study daily?]]*10*0.3)+(Table1[[#This Row],[How many hour do you spent daily on your skill development?]]*10*0.3)</f>
        <v>58</v>
      </c>
    </row>
    <row r="836" spans="1:34" x14ac:dyDescent="0.25">
      <c r="A836">
        <v>2022</v>
      </c>
      <c r="B836" t="s">
        <v>34</v>
      </c>
      <c r="C836">
        <v>20</v>
      </c>
      <c r="D836">
        <v>2021</v>
      </c>
      <c r="E836" t="s">
        <v>35</v>
      </c>
      <c r="F836">
        <v>8</v>
      </c>
      <c r="G836" t="s">
        <v>37</v>
      </c>
      <c r="H836" t="s">
        <v>37</v>
      </c>
      <c r="I836">
        <v>4</v>
      </c>
      <c r="J836">
        <v>1</v>
      </c>
      <c r="K836" t="s">
        <v>38</v>
      </c>
      <c r="L836" t="s">
        <v>36</v>
      </c>
      <c r="M836" t="s">
        <v>36</v>
      </c>
      <c r="N836">
        <v>3</v>
      </c>
      <c r="O836" t="s">
        <v>39</v>
      </c>
      <c r="P836">
        <v>100</v>
      </c>
      <c r="Q836" t="s">
        <v>36</v>
      </c>
      <c r="R836" t="s">
        <v>37</v>
      </c>
      <c r="S836" t="s">
        <v>37</v>
      </c>
      <c r="T836" t="s">
        <v>51</v>
      </c>
      <c r="U836">
        <v>1</v>
      </c>
      <c r="V836" t="s">
        <v>59</v>
      </c>
      <c r="W836" t="s">
        <v>42</v>
      </c>
      <c r="X836" t="s">
        <v>36</v>
      </c>
      <c r="Y836" t="s">
        <v>47</v>
      </c>
      <c r="Z836" t="s">
        <v>37</v>
      </c>
      <c r="AA836">
        <v>2.64</v>
      </c>
      <c r="AB836" t="s">
        <v>37</v>
      </c>
      <c r="AC836">
        <v>3.7</v>
      </c>
      <c r="AD836">
        <v>99</v>
      </c>
      <c r="AE836">
        <v>81000</v>
      </c>
      <c r="AF836" t="str">
        <f>IF(Table1[[#This Row],[What is your current CGPA?]]&gt;=3.5,"High",IF(Table1[[#This Row],[What is your current CGPA?]]&gt;=2.5,"Medium","Low"))</f>
        <v>High</v>
      </c>
      <c r="AG836" t="str">
        <f>IF(AND(Table1[[#This Row],[Average attendance on class]]&lt;75,Table1[[#This Row],[How many hour do you study daily?]]&lt;1),"At Risk","Normal")</f>
        <v>Normal</v>
      </c>
      <c r="AH836">
        <f>(Table1[[#This Row],[Average attendance on class]]*0.4)+(Table1[[#This Row],[How many hour do you study daily?]]*10*0.3)+(Table1[[#This Row],[How many hour do you spent daily on your skill development?]]*10*0.3)</f>
        <v>55</v>
      </c>
    </row>
    <row r="837" spans="1:34" x14ac:dyDescent="0.25">
      <c r="A837">
        <v>2020</v>
      </c>
      <c r="B837" t="s">
        <v>34</v>
      </c>
      <c r="C837">
        <v>20</v>
      </c>
      <c r="D837">
        <v>2020</v>
      </c>
      <c r="E837" t="s">
        <v>35</v>
      </c>
      <c r="F837">
        <v>10</v>
      </c>
      <c r="G837" t="s">
        <v>36</v>
      </c>
      <c r="H837" t="s">
        <v>37</v>
      </c>
      <c r="I837">
        <v>3</v>
      </c>
      <c r="J837">
        <v>2</v>
      </c>
      <c r="K837" t="s">
        <v>38</v>
      </c>
      <c r="L837" t="s">
        <v>36</v>
      </c>
      <c r="M837" t="s">
        <v>36</v>
      </c>
      <c r="N837">
        <v>7</v>
      </c>
      <c r="O837" t="s">
        <v>53</v>
      </c>
      <c r="P837">
        <v>78</v>
      </c>
      <c r="Q837" t="s">
        <v>37</v>
      </c>
      <c r="R837" t="s">
        <v>37</v>
      </c>
      <c r="S837" t="s">
        <v>37</v>
      </c>
      <c r="T837" t="s">
        <v>61</v>
      </c>
      <c r="U837">
        <v>2</v>
      </c>
      <c r="V837" t="s">
        <v>41</v>
      </c>
      <c r="W837" t="s">
        <v>56</v>
      </c>
      <c r="X837" t="s">
        <v>36</v>
      </c>
      <c r="Y837" t="s">
        <v>47</v>
      </c>
      <c r="Z837" t="s">
        <v>36</v>
      </c>
      <c r="AA837">
        <v>1.45</v>
      </c>
      <c r="AB837" t="s">
        <v>37</v>
      </c>
      <c r="AC837">
        <v>2.67</v>
      </c>
      <c r="AD837">
        <v>142</v>
      </c>
      <c r="AE837">
        <v>82000</v>
      </c>
      <c r="AF837" t="str">
        <f>IF(Table1[[#This Row],[What is your current CGPA?]]&gt;=3.5,"High",IF(Table1[[#This Row],[What is your current CGPA?]]&gt;=2.5,"Medium","Low"))</f>
        <v>Medium</v>
      </c>
      <c r="AG837" t="str">
        <f>IF(AND(Table1[[#This Row],[Average attendance on class]]&lt;75,Table1[[#This Row],[How many hour do you study daily?]]&lt;1),"At Risk","Normal")</f>
        <v>Normal</v>
      </c>
      <c r="AH837">
        <f>(Table1[[#This Row],[Average attendance on class]]*0.4)+(Table1[[#This Row],[How many hour do you study daily?]]*10*0.3)+(Table1[[#This Row],[How many hour do you spent daily on your skill development?]]*10*0.3)</f>
        <v>46.2</v>
      </c>
    </row>
    <row r="838" spans="1:34" x14ac:dyDescent="0.25">
      <c r="A838">
        <v>2020</v>
      </c>
      <c r="B838" t="s">
        <v>34</v>
      </c>
      <c r="C838">
        <v>21</v>
      </c>
      <c r="D838">
        <v>2018</v>
      </c>
      <c r="E838" t="s">
        <v>35</v>
      </c>
      <c r="F838">
        <v>10</v>
      </c>
      <c r="G838" t="s">
        <v>37</v>
      </c>
      <c r="H838" t="s">
        <v>37</v>
      </c>
      <c r="I838">
        <v>3</v>
      </c>
      <c r="J838">
        <v>2</v>
      </c>
      <c r="K838" t="s">
        <v>38</v>
      </c>
      <c r="L838" t="s">
        <v>36</v>
      </c>
      <c r="M838" t="s">
        <v>36</v>
      </c>
      <c r="N838">
        <v>3</v>
      </c>
      <c r="O838" t="s">
        <v>45</v>
      </c>
      <c r="P838">
        <v>70</v>
      </c>
      <c r="Q838" t="s">
        <v>37</v>
      </c>
      <c r="R838" t="s">
        <v>37</v>
      </c>
      <c r="S838" t="s">
        <v>37</v>
      </c>
      <c r="T838" t="s">
        <v>40</v>
      </c>
      <c r="U838">
        <v>3</v>
      </c>
      <c r="V838" t="s">
        <v>62</v>
      </c>
      <c r="W838" t="s">
        <v>50</v>
      </c>
      <c r="X838" t="s">
        <v>37</v>
      </c>
      <c r="Y838" t="s">
        <v>43</v>
      </c>
      <c r="Z838" t="s">
        <v>36</v>
      </c>
      <c r="AA838">
        <v>1.56</v>
      </c>
      <c r="AB838" t="s">
        <v>37</v>
      </c>
      <c r="AC838">
        <v>2.87</v>
      </c>
      <c r="AD838">
        <v>133</v>
      </c>
      <c r="AE838">
        <v>85000</v>
      </c>
      <c r="AF838" t="str">
        <f>IF(Table1[[#This Row],[What is your current CGPA?]]&gt;=3.5,"High",IF(Table1[[#This Row],[What is your current CGPA?]]&gt;=2.5,"Medium","Low"))</f>
        <v>Medium</v>
      </c>
      <c r="AG838" t="str">
        <f>IF(AND(Table1[[#This Row],[Average attendance on class]]&lt;75,Table1[[#This Row],[How many hour do you study daily?]]&lt;1),"At Risk","Normal")</f>
        <v>Normal</v>
      </c>
      <c r="AH838">
        <f>(Table1[[#This Row],[Average attendance on class]]*0.4)+(Table1[[#This Row],[How many hour do you study daily?]]*10*0.3)+(Table1[[#This Row],[How many hour do you spent daily on your skill development?]]*10*0.3)</f>
        <v>46</v>
      </c>
    </row>
    <row r="839" spans="1:34" x14ac:dyDescent="0.25">
      <c r="A839">
        <v>2022</v>
      </c>
      <c r="B839" t="s">
        <v>48</v>
      </c>
      <c r="C839">
        <v>21</v>
      </c>
      <c r="D839">
        <v>2021</v>
      </c>
      <c r="E839" t="s">
        <v>35</v>
      </c>
      <c r="F839">
        <v>6</v>
      </c>
      <c r="G839" t="s">
        <v>36</v>
      </c>
      <c r="H839" t="s">
        <v>37</v>
      </c>
      <c r="I839">
        <v>6</v>
      </c>
      <c r="J839">
        <v>2</v>
      </c>
      <c r="K839" t="s">
        <v>38</v>
      </c>
      <c r="L839" t="s">
        <v>36</v>
      </c>
      <c r="M839" t="s">
        <v>36</v>
      </c>
      <c r="N839">
        <v>5</v>
      </c>
      <c r="O839" t="s">
        <v>39</v>
      </c>
      <c r="P839">
        <v>70</v>
      </c>
      <c r="Q839" t="s">
        <v>37</v>
      </c>
      <c r="R839" t="s">
        <v>37</v>
      </c>
      <c r="S839" t="s">
        <v>36</v>
      </c>
      <c r="T839" t="s">
        <v>40</v>
      </c>
      <c r="U839">
        <v>5</v>
      </c>
      <c r="V839" t="s">
        <v>62</v>
      </c>
      <c r="W839" t="s">
        <v>50</v>
      </c>
      <c r="X839" t="s">
        <v>37</v>
      </c>
      <c r="Y839" t="s">
        <v>47</v>
      </c>
      <c r="Z839" t="s">
        <v>37</v>
      </c>
      <c r="AA839">
        <v>2.1</v>
      </c>
      <c r="AB839" t="s">
        <v>37</v>
      </c>
      <c r="AC839">
        <v>3.37</v>
      </c>
      <c r="AD839">
        <v>86</v>
      </c>
      <c r="AE839">
        <v>85000</v>
      </c>
      <c r="AF839" t="str">
        <f>IF(Table1[[#This Row],[What is your current CGPA?]]&gt;=3.5,"High",IF(Table1[[#This Row],[What is your current CGPA?]]&gt;=2.5,"Medium","Low"))</f>
        <v>Medium</v>
      </c>
      <c r="AG839" t="str">
        <f>IF(AND(Table1[[#This Row],[Average attendance on class]]&lt;75,Table1[[#This Row],[How many hour do you study daily?]]&lt;1),"At Risk","Normal")</f>
        <v>Normal</v>
      </c>
      <c r="AH839">
        <f>(Table1[[#This Row],[Average attendance on class]]*0.4)+(Table1[[#This Row],[How many hour do you study daily?]]*10*0.3)+(Table1[[#This Row],[How many hour do you spent daily on your skill development?]]*10*0.3)</f>
        <v>61</v>
      </c>
    </row>
    <row r="840" spans="1:34" x14ac:dyDescent="0.25">
      <c r="A840">
        <v>2022</v>
      </c>
      <c r="B840" t="s">
        <v>48</v>
      </c>
      <c r="C840">
        <v>20</v>
      </c>
      <c r="D840">
        <v>2022</v>
      </c>
      <c r="E840" t="s">
        <v>35</v>
      </c>
      <c r="F840">
        <v>3</v>
      </c>
      <c r="G840" t="s">
        <v>37</v>
      </c>
      <c r="H840" t="s">
        <v>37</v>
      </c>
      <c r="I840">
        <v>2</v>
      </c>
      <c r="J840">
        <v>1</v>
      </c>
      <c r="K840" t="s">
        <v>44</v>
      </c>
      <c r="L840" t="s">
        <v>36</v>
      </c>
      <c r="M840" t="s">
        <v>37</v>
      </c>
      <c r="N840">
        <v>3</v>
      </c>
      <c r="O840" t="s">
        <v>39</v>
      </c>
      <c r="P840">
        <v>60</v>
      </c>
      <c r="Q840" t="s">
        <v>37</v>
      </c>
      <c r="R840" t="s">
        <v>37</v>
      </c>
      <c r="S840" t="s">
        <v>37</v>
      </c>
      <c r="T840" t="s">
        <v>49</v>
      </c>
      <c r="U840">
        <v>1</v>
      </c>
      <c r="V840" t="s">
        <v>59</v>
      </c>
      <c r="W840" t="s">
        <v>56</v>
      </c>
      <c r="X840" t="s">
        <v>37</v>
      </c>
      <c r="Y840" t="s">
        <v>47</v>
      </c>
      <c r="Z840" t="s">
        <v>37</v>
      </c>
      <c r="AA840">
        <v>2.1</v>
      </c>
      <c r="AB840" t="s">
        <v>37</v>
      </c>
      <c r="AC840">
        <v>3.28</v>
      </c>
      <c r="AD840">
        <v>77</v>
      </c>
      <c r="AE840">
        <v>85000</v>
      </c>
      <c r="AF840" t="str">
        <f>IF(Table1[[#This Row],[What is your current CGPA?]]&gt;=3.5,"High",IF(Table1[[#This Row],[What is your current CGPA?]]&gt;=2.5,"Medium","Low"))</f>
        <v>Medium</v>
      </c>
      <c r="AG840" t="str">
        <f>IF(AND(Table1[[#This Row],[Average attendance on class]]&lt;75,Table1[[#This Row],[How many hour do you study daily?]]&lt;1),"At Risk","Normal")</f>
        <v>Normal</v>
      </c>
      <c r="AH840">
        <f>(Table1[[#This Row],[Average attendance on class]]*0.4)+(Table1[[#This Row],[How many hour do you study daily?]]*10*0.3)+(Table1[[#This Row],[How many hour do you spent daily on your skill development?]]*10*0.3)</f>
        <v>33</v>
      </c>
    </row>
    <row r="841" spans="1:34" x14ac:dyDescent="0.25">
      <c r="A841">
        <v>2021</v>
      </c>
      <c r="B841" t="s">
        <v>48</v>
      </c>
      <c r="C841">
        <v>20</v>
      </c>
      <c r="D841">
        <v>2020</v>
      </c>
      <c r="E841" t="s">
        <v>35</v>
      </c>
      <c r="F841">
        <v>10</v>
      </c>
      <c r="G841" t="s">
        <v>37</v>
      </c>
      <c r="H841" t="s">
        <v>37</v>
      </c>
      <c r="I841">
        <v>2</v>
      </c>
      <c r="J841">
        <v>2</v>
      </c>
      <c r="K841" t="s">
        <v>44</v>
      </c>
      <c r="L841" t="s">
        <v>36</v>
      </c>
      <c r="M841" t="s">
        <v>36</v>
      </c>
      <c r="N841">
        <v>2</v>
      </c>
      <c r="O841" t="s">
        <v>39</v>
      </c>
      <c r="P841">
        <v>100</v>
      </c>
      <c r="Q841" t="s">
        <v>36</v>
      </c>
      <c r="R841" t="s">
        <v>37</v>
      </c>
      <c r="S841" t="s">
        <v>36</v>
      </c>
      <c r="T841" t="s">
        <v>49</v>
      </c>
      <c r="U841">
        <v>4</v>
      </c>
      <c r="V841" t="s">
        <v>41</v>
      </c>
      <c r="W841" t="s">
        <v>56</v>
      </c>
      <c r="X841" t="s">
        <v>37</v>
      </c>
      <c r="Y841" t="s">
        <v>47</v>
      </c>
      <c r="Z841" t="s">
        <v>37</v>
      </c>
      <c r="AA841">
        <v>1.54</v>
      </c>
      <c r="AB841" t="s">
        <v>37</v>
      </c>
      <c r="AC841">
        <v>2.64</v>
      </c>
      <c r="AD841">
        <v>137</v>
      </c>
      <c r="AE841">
        <v>86000</v>
      </c>
      <c r="AF841" t="str">
        <f>IF(Table1[[#This Row],[What is your current CGPA?]]&gt;=3.5,"High",IF(Table1[[#This Row],[What is your current CGPA?]]&gt;=2.5,"Medium","Low"))</f>
        <v>Medium</v>
      </c>
      <c r="AG841" t="str">
        <f>IF(AND(Table1[[#This Row],[Average attendance on class]]&lt;75,Table1[[#This Row],[How many hour do you study daily?]]&lt;1),"At Risk","Normal")</f>
        <v>Normal</v>
      </c>
      <c r="AH841">
        <f>(Table1[[#This Row],[Average attendance on class]]*0.4)+(Table1[[#This Row],[How many hour do you study daily?]]*10*0.3)+(Table1[[#This Row],[How many hour do you spent daily on your skill development?]]*10*0.3)</f>
        <v>58</v>
      </c>
    </row>
    <row r="842" spans="1:34" x14ac:dyDescent="0.25">
      <c r="A842">
        <v>2019</v>
      </c>
      <c r="B842" t="s">
        <v>34</v>
      </c>
      <c r="C842">
        <v>24</v>
      </c>
      <c r="D842">
        <v>2019</v>
      </c>
      <c r="E842" t="s">
        <v>35</v>
      </c>
      <c r="F842">
        <v>10</v>
      </c>
      <c r="G842" t="s">
        <v>37</v>
      </c>
      <c r="H842" t="s">
        <v>37</v>
      </c>
      <c r="I842">
        <v>1</v>
      </c>
      <c r="J842">
        <v>3</v>
      </c>
      <c r="K842" t="s">
        <v>38</v>
      </c>
      <c r="L842" t="s">
        <v>36</v>
      </c>
      <c r="M842" t="s">
        <v>36</v>
      </c>
      <c r="N842">
        <v>2</v>
      </c>
      <c r="O842" t="s">
        <v>45</v>
      </c>
      <c r="P842">
        <v>80</v>
      </c>
      <c r="Q842" t="s">
        <v>36</v>
      </c>
      <c r="R842" t="s">
        <v>36</v>
      </c>
      <c r="S842" t="s">
        <v>36</v>
      </c>
      <c r="T842" t="s">
        <v>40</v>
      </c>
      <c r="U842">
        <v>1</v>
      </c>
      <c r="V842" t="s">
        <v>40</v>
      </c>
      <c r="W842" t="s">
        <v>50</v>
      </c>
      <c r="X842" t="s">
        <v>36</v>
      </c>
      <c r="Y842" t="s">
        <v>47</v>
      </c>
      <c r="Z842" t="s">
        <v>36</v>
      </c>
      <c r="AA842">
        <v>2.39</v>
      </c>
      <c r="AB842" t="s">
        <v>37</v>
      </c>
      <c r="AC842">
        <v>3.43</v>
      </c>
      <c r="AD842">
        <v>45</v>
      </c>
      <c r="AE842">
        <v>87000</v>
      </c>
      <c r="AF842" t="str">
        <f>IF(Table1[[#This Row],[What is your current CGPA?]]&gt;=3.5,"High",IF(Table1[[#This Row],[What is your current CGPA?]]&gt;=2.5,"Medium","Low"))</f>
        <v>Medium</v>
      </c>
      <c r="AG842" t="str">
        <f>IF(AND(Table1[[#This Row],[Average attendance on class]]&lt;75,Table1[[#This Row],[How many hour do you study daily?]]&lt;1),"At Risk","Normal")</f>
        <v>Normal</v>
      </c>
      <c r="AH842">
        <f>(Table1[[#This Row],[Average attendance on class]]*0.4)+(Table1[[#This Row],[How many hour do you study daily?]]*10*0.3)+(Table1[[#This Row],[How many hour do you spent daily on your skill development?]]*10*0.3)</f>
        <v>38</v>
      </c>
    </row>
    <row r="843" spans="1:34" x14ac:dyDescent="0.25">
      <c r="A843">
        <v>2020</v>
      </c>
      <c r="B843" t="s">
        <v>48</v>
      </c>
      <c r="C843">
        <v>21</v>
      </c>
      <c r="D843">
        <v>2020</v>
      </c>
      <c r="E843" t="s">
        <v>35</v>
      </c>
      <c r="F843">
        <v>8</v>
      </c>
      <c r="G843" t="s">
        <v>37</v>
      </c>
      <c r="H843" t="s">
        <v>37</v>
      </c>
      <c r="I843">
        <v>4</v>
      </c>
      <c r="J843">
        <v>3</v>
      </c>
      <c r="K843" t="s">
        <v>44</v>
      </c>
      <c r="L843" t="s">
        <v>36</v>
      </c>
      <c r="M843" t="s">
        <v>36</v>
      </c>
      <c r="N843">
        <v>2</v>
      </c>
      <c r="O843" t="s">
        <v>53</v>
      </c>
      <c r="P843">
        <v>80</v>
      </c>
      <c r="Q843" t="s">
        <v>37</v>
      </c>
      <c r="R843" t="s">
        <v>37</v>
      </c>
      <c r="S843" t="s">
        <v>37</v>
      </c>
      <c r="T843" t="s">
        <v>61</v>
      </c>
      <c r="U843">
        <v>3</v>
      </c>
      <c r="V843" t="s">
        <v>62</v>
      </c>
      <c r="W843" t="s">
        <v>56</v>
      </c>
      <c r="X843" t="s">
        <v>37</v>
      </c>
      <c r="Y843" t="s">
        <v>47</v>
      </c>
      <c r="Z843" t="s">
        <v>37</v>
      </c>
      <c r="AA843">
        <v>2.5099999999999998</v>
      </c>
      <c r="AB843" t="s">
        <v>37</v>
      </c>
      <c r="AC843">
        <v>3.87</v>
      </c>
      <c r="AD843">
        <v>103</v>
      </c>
      <c r="AE843">
        <v>87000</v>
      </c>
      <c r="AF843" t="str">
        <f>IF(Table1[[#This Row],[What is your current CGPA?]]&gt;=3.5,"High",IF(Table1[[#This Row],[What is your current CGPA?]]&gt;=2.5,"Medium","Low"))</f>
        <v>High</v>
      </c>
      <c r="AG843" t="str">
        <f>IF(AND(Table1[[#This Row],[Average attendance on class]]&lt;75,Table1[[#This Row],[How many hour do you study daily?]]&lt;1),"At Risk","Normal")</f>
        <v>Normal</v>
      </c>
      <c r="AH843">
        <f>(Table1[[#This Row],[Average attendance on class]]*0.4)+(Table1[[#This Row],[How many hour do you study daily?]]*10*0.3)+(Table1[[#This Row],[How many hour do you spent daily on your skill development?]]*10*0.3)</f>
        <v>53</v>
      </c>
    </row>
    <row r="844" spans="1:34" x14ac:dyDescent="0.25">
      <c r="A844">
        <v>2020</v>
      </c>
      <c r="B844" t="s">
        <v>34</v>
      </c>
      <c r="C844">
        <v>21</v>
      </c>
      <c r="D844">
        <v>2020</v>
      </c>
      <c r="E844" t="s">
        <v>35</v>
      </c>
      <c r="F844">
        <v>11</v>
      </c>
      <c r="G844" t="s">
        <v>36</v>
      </c>
      <c r="H844" t="s">
        <v>37</v>
      </c>
      <c r="I844">
        <v>2</v>
      </c>
      <c r="J844">
        <v>2</v>
      </c>
      <c r="K844" t="s">
        <v>38</v>
      </c>
      <c r="L844" t="s">
        <v>36</v>
      </c>
      <c r="M844" t="s">
        <v>36</v>
      </c>
      <c r="N844">
        <v>1</v>
      </c>
      <c r="O844" t="s">
        <v>45</v>
      </c>
      <c r="P844">
        <v>79</v>
      </c>
      <c r="Q844" t="s">
        <v>37</v>
      </c>
      <c r="R844" t="s">
        <v>37</v>
      </c>
      <c r="S844" t="s">
        <v>37</v>
      </c>
      <c r="T844" t="s">
        <v>52</v>
      </c>
      <c r="U844">
        <v>2</v>
      </c>
      <c r="V844" t="s">
        <v>41</v>
      </c>
      <c r="W844" t="s">
        <v>42</v>
      </c>
      <c r="X844" t="s">
        <v>36</v>
      </c>
      <c r="Y844" t="s">
        <v>43</v>
      </c>
      <c r="Z844" t="s">
        <v>37</v>
      </c>
      <c r="AA844">
        <v>2.81</v>
      </c>
      <c r="AB844" t="s">
        <v>37</v>
      </c>
      <c r="AC844">
        <v>3.89</v>
      </c>
      <c r="AD844">
        <v>143</v>
      </c>
      <c r="AE844">
        <v>87000</v>
      </c>
      <c r="AF844" t="str">
        <f>IF(Table1[[#This Row],[What is your current CGPA?]]&gt;=3.5,"High",IF(Table1[[#This Row],[What is your current CGPA?]]&gt;=2.5,"Medium","Low"))</f>
        <v>High</v>
      </c>
      <c r="AG844" t="str">
        <f>IF(AND(Table1[[#This Row],[Average attendance on class]]&lt;75,Table1[[#This Row],[How many hour do you study daily?]]&lt;1),"At Risk","Normal")</f>
        <v>Normal</v>
      </c>
      <c r="AH844">
        <f>(Table1[[#This Row],[Average attendance on class]]*0.4)+(Table1[[#This Row],[How many hour do you study daily?]]*10*0.3)+(Table1[[#This Row],[How many hour do you spent daily on your skill development?]]*10*0.3)</f>
        <v>43.6</v>
      </c>
    </row>
    <row r="845" spans="1:34" x14ac:dyDescent="0.25">
      <c r="A845">
        <v>2021</v>
      </c>
      <c r="B845" t="s">
        <v>48</v>
      </c>
      <c r="C845">
        <v>20</v>
      </c>
      <c r="D845">
        <v>2020</v>
      </c>
      <c r="E845" t="s">
        <v>35</v>
      </c>
      <c r="F845">
        <v>9</v>
      </c>
      <c r="G845" t="s">
        <v>37</v>
      </c>
      <c r="H845" t="s">
        <v>37</v>
      </c>
      <c r="I845">
        <v>2</v>
      </c>
      <c r="J845">
        <v>1</v>
      </c>
      <c r="K845" t="s">
        <v>38</v>
      </c>
      <c r="L845" t="s">
        <v>36</v>
      </c>
      <c r="M845" t="s">
        <v>36</v>
      </c>
      <c r="N845">
        <v>2</v>
      </c>
      <c r="O845" t="s">
        <v>53</v>
      </c>
      <c r="P845">
        <v>88</v>
      </c>
      <c r="Q845" t="s">
        <v>37</v>
      </c>
      <c r="R845" t="s">
        <v>37</v>
      </c>
      <c r="S845" t="s">
        <v>36</v>
      </c>
      <c r="T845" t="s">
        <v>40</v>
      </c>
      <c r="U845">
        <v>1</v>
      </c>
      <c r="V845" t="s">
        <v>62</v>
      </c>
      <c r="W845" t="s">
        <v>42</v>
      </c>
      <c r="X845" t="s">
        <v>37</v>
      </c>
      <c r="Y845" t="s">
        <v>43</v>
      </c>
      <c r="Z845" t="s">
        <v>37</v>
      </c>
      <c r="AA845">
        <v>2.4500000000000002</v>
      </c>
      <c r="AB845" t="s">
        <v>37</v>
      </c>
      <c r="AC845">
        <v>3.54</v>
      </c>
      <c r="AD845">
        <v>117</v>
      </c>
      <c r="AE845">
        <v>88000</v>
      </c>
      <c r="AF845" t="str">
        <f>IF(Table1[[#This Row],[What is your current CGPA?]]&gt;=3.5,"High",IF(Table1[[#This Row],[What is your current CGPA?]]&gt;=2.5,"Medium","Low"))</f>
        <v>High</v>
      </c>
      <c r="AG845" t="str">
        <f>IF(AND(Table1[[#This Row],[Average attendance on class]]&lt;75,Table1[[#This Row],[How many hour do you study daily?]]&lt;1),"At Risk","Normal")</f>
        <v>Normal</v>
      </c>
      <c r="AH845">
        <f>(Table1[[#This Row],[Average attendance on class]]*0.4)+(Table1[[#This Row],[How many hour do you study daily?]]*10*0.3)+(Table1[[#This Row],[How many hour do you spent daily on your skill development?]]*10*0.3)</f>
        <v>44.2</v>
      </c>
    </row>
    <row r="846" spans="1:34" x14ac:dyDescent="0.25">
      <c r="A846">
        <v>2021</v>
      </c>
      <c r="B846" t="s">
        <v>34</v>
      </c>
      <c r="C846">
        <v>20</v>
      </c>
      <c r="D846">
        <v>2021</v>
      </c>
      <c r="E846" t="s">
        <v>35</v>
      </c>
      <c r="F846">
        <v>8</v>
      </c>
      <c r="G846" t="s">
        <v>37</v>
      </c>
      <c r="H846" t="s">
        <v>37</v>
      </c>
      <c r="I846">
        <v>3</v>
      </c>
      <c r="J846">
        <v>1</v>
      </c>
      <c r="K846" t="s">
        <v>38</v>
      </c>
      <c r="L846" t="s">
        <v>36</v>
      </c>
      <c r="M846" t="s">
        <v>36</v>
      </c>
      <c r="N846">
        <v>3</v>
      </c>
      <c r="O846" t="s">
        <v>39</v>
      </c>
      <c r="P846">
        <v>100</v>
      </c>
      <c r="Q846" t="s">
        <v>36</v>
      </c>
      <c r="R846" t="s">
        <v>37</v>
      </c>
      <c r="S846" t="s">
        <v>37</v>
      </c>
      <c r="T846" t="s">
        <v>49</v>
      </c>
      <c r="U846">
        <v>2</v>
      </c>
      <c r="V846" t="s">
        <v>41</v>
      </c>
      <c r="W846" t="s">
        <v>42</v>
      </c>
      <c r="X846" t="s">
        <v>36</v>
      </c>
      <c r="Y846" t="s">
        <v>47</v>
      </c>
      <c r="Z846" t="s">
        <v>36</v>
      </c>
      <c r="AA846">
        <v>2.66</v>
      </c>
      <c r="AB846" t="s">
        <v>37</v>
      </c>
      <c r="AC846">
        <v>3.72</v>
      </c>
      <c r="AD846">
        <v>98</v>
      </c>
      <c r="AE846">
        <v>88000</v>
      </c>
      <c r="AF846" t="str">
        <f>IF(Table1[[#This Row],[What is your current CGPA?]]&gt;=3.5,"High",IF(Table1[[#This Row],[What is your current CGPA?]]&gt;=2.5,"Medium","Low"))</f>
        <v>High</v>
      </c>
      <c r="AG846" t="str">
        <f>IF(AND(Table1[[#This Row],[Average attendance on class]]&lt;75,Table1[[#This Row],[How many hour do you study daily?]]&lt;1),"At Risk","Normal")</f>
        <v>Normal</v>
      </c>
      <c r="AH846">
        <f>(Table1[[#This Row],[Average attendance on class]]*0.4)+(Table1[[#This Row],[How many hour do you study daily?]]*10*0.3)+(Table1[[#This Row],[How many hour do you spent daily on your skill development?]]*10*0.3)</f>
        <v>55</v>
      </c>
    </row>
    <row r="847" spans="1:34" x14ac:dyDescent="0.25">
      <c r="A847">
        <v>2020</v>
      </c>
      <c r="B847" t="s">
        <v>48</v>
      </c>
      <c r="C847">
        <v>21</v>
      </c>
      <c r="D847">
        <v>2019</v>
      </c>
      <c r="E847" t="s">
        <v>35</v>
      </c>
      <c r="F847">
        <v>9</v>
      </c>
      <c r="G847" t="s">
        <v>36</v>
      </c>
      <c r="H847" t="s">
        <v>37</v>
      </c>
      <c r="I847">
        <v>6</v>
      </c>
      <c r="J847">
        <v>1</v>
      </c>
      <c r="K847" t="s">
        <v>38</v>
      </c>
      <c r="L847" t="s">
        <v>37</v>
      </c>
      <c r="M847" t="s">
        <v>36</v>
      </c>
      <c r="N847">
        <v>4</v>
      </c>
      <c r="O847" t="s">
        <v>39</v>
      </c>
      <c r="P847">
        <v>80</v>
      </c>
      <c r="Q847" t="s">
        <v>37</v>
      </c>
      <c r="R847" t="s">
        <v>37</v>
      </c>
      <c r="S847" t="s">
        <v>36</v>
      </c>
      <c r="T847" t="s">
        <v>40</v>
      </c>
      <c r="U847">
        <v>1</v>
      </c>
      <c r="V847" t="s">
        <v>62</v>
      </c>
      <c r="W847" t="s">
        <v>50</v>
      </c>
      <c r="X847" t="s">
        <v>36</v>
      </c>
      <c r="Y847" t="s">
        <v>47</v>
      </c>
      <c r="Z847" t="s">
        <v>36</v>
      </c>
      <c r="AA847">
        <v>2.04</v>
      </c>
      <c r="AB847" t="s">
        <v>37</v>
      </c>
      <c r="AC847">
        <v>3.23</v>
      </c>
      <c r="AD847">
        <v>100</v>
      </c>
      <c r="AE847">
        <v>89000</v>
      </c>
      <c r="AF847" t="str">
        <f>IF(Table1[[#This Row],[What is your current CGPA?]]&gt;=3.5,"High",IF(Table1[[#This Row],[What is your current CGPA?]]&gt;=2.5,"Medium","Low"))</f>
        <v>Medium</v>
      </c>
      <c r="AG847" t="str">
        <f>IF(AND(Table1[[#This Row],[Average attendance on class]]&lt;75,Table1[[#This Row],[How many hour do you study daily?]]&lt;1),"At Risk","Normal")</f>
        <v>Normal</v>
      </c>
      <c r="AH847">
        <f>(Table1[[#This Row],[Average attendance on class]]*0.4)+(Table1[[#This Row],[How many hour do you study daily?]]*10*0.3)+(Table1[[#This Row],[How many hour do you spent daily on your skill development?]]*10*0.3)</f>
        <v>53</v>
      </c>
    </row>
    <row r="848" spans="1:34" x14ac:dyDescent="0.25">
      <c r="A848">
        <v>2021</v>
      </c>
      <c r="B848" t="s">
        <v>34</v>
      </c>
      <c r="C848">
        <v>21</v>
      </c>
      <c r="D848">
        <v>2020</v>
      </c>
      <c r="E848" t="s">
        <v>35</v>
      </c>
      <c r="F848">
        <v>8</v>
      </c>
      <c r="G848" t="s">
        <v>37</v>
      </c>
      <c r="H848" t="s">
        <v>37</v>
      </c>
      <c r="I848">
        <v>4</v>
      </c>
      <c r="J848">
        <v>2</v>
      </c>
      <c r="K848" t="s">
        <v>44</v>
      </c>
      <c r="L848" t="s">
        <v>36</v>
      </c>
      <c r="M848" t="s">
        <v>36</v>
      </c>
      <c r="N848">
        <v>6</v>
      </c>
      <c r="O848" t="s">
        <v>53</v>
      </c>
      <c r="P848">
        <v>100</v>
      </c>
      <c r="Q848" t="s">
        <v>37</v>
      </c>
      <c r="R848" t="s">
        <v>36</v>
      </c>
      <c r="S848" t="s">
        <v>37</v>
      </c>
      <c r="T848" t="s">
        <v>40</v>
      </c>
      <c r="U848">
        <v>2</v>
      </c>
      <c r="V848" t="s">
        <v>40</v>
      </c>
      <c r="W848" t="s">
        <v>42</v>
      </c>
      <c r="X848" t="s">
        <v>36</v>
      </c>
      <c r="Y848" t="s">
        <v>43</v>
      </c>
      <c r="Z848" t="s">
        <v>37</v>
      </c>
      <c r="AA848">
        <v>2.29</v>
      </c>
      <c r="AB848" t="s">
        <v>37</v>
      </c>
      <c r="AC848">
        <v>3.56</v>
      </c>
      <c r="AD848">
        <v>100</v>
      </c>
      <c r="AE848">
        <v>89000</v>
      </c>
      <c r="AF848" t="str">
        <f>IF(Table1[[#This Row],[What is your current CGPA?]]&gt;=3.5,"High",IF(Table1[[#This Row],[What is your current CGPA?]]&gt;=2.5,"Medium","Low"))</f>
        <v>High</v>
      </c>
      <c r="AG848" t="str">
        <f>IF(AND(Table1[[#This Row],[Average attendance on class]]&lt;75,Table1[[#This Row],[How many hour do you study daily?]]&lt;1),"At Risk","Normal")</f>
        <v>Normal</v>
      </c>
      <c r="AH848">
        <f>(Table1[[#This Row],[Average attendance on class]]*0.4)+(Table1[[#This Row],[How many hour do you study daily?]]*10*0.3)+(Table1[[#This Row],[How many hour do you spent daily on your skill development?]]*10*0.3)</f>
        <v>58</v>
      </c>
    </row>
    <row r="849" spans="1:34" x14ac:dyDescent="0.25">
      <c r="A849">
        <v>2021</v>
      </c>
      <c r="B849" t="s">
        <v>34</v>
      </c>
      <c r="C849">
        <v>20</v>
      </c>
      <c r="D849">
        <v>2020</v>
      </c>
      <c r="E849" t="s">
        <v>35</v>
      </c>
      <c r="F849">
        <v>8</v>
      </c>
      <c r="G849" t="s">
        <v>37</v>
      </c>
      <c r="H849" t="s">
        <v>37</v>
      </c>
      <c r="I849">
        <v>4</v>
      </c>
      <c r="J849">
        <v>2</v>
      </c>
      <c r="K849" t="s">
        <v>38</v>
      </c>
      <c r="L849" t="s">
        <v>36</v>
      </c>
      <c r="M849" t="s">
        <v>36</v>
      </c>
      <c r="N849">
        <v>7</v>
      </c>
      <c r="O849" t="s">
        <v>53</v>
      </c>
      <c r="P849">
        <v>88</v>
      </c>
      <c r="Q849" t="s">
        <v>37</v>
      </c>
      <c r="R849" t="s">
        <v>37</v>
      </c>
      <c r="S849" t="s">
        <v>36</v>
      </c>
      <c r="T849" t="s">
        <v>52</v>
      </c>
      <c r="U849">
        <v>3</v>
      </c>
      <c r="V849" t="s">
        <v>40</v>
      </c>
      <c r="W849" t="s">
        <v>42</v>
      </c>
      <c r="X849" t="s">
        <v>37</v>
      </c>
      <c r="Y849" t="s">
        <v>47</v>
      </c>
      <c r="Z849" t="s">
        <v>37</v>
      </c>
      <c r="AA849">
        <v>2.5499999999999998</v>
      </c>
      <c r="AB849" t="s">
        <v>37</v>
      </c>
      <c r="AC849">
        <v>3.77</v>
      </c>
      <c r="AD849">
        <v>137</v>
      </c>
      <c r="AE849">
        <v>89000</v>
      </c>
      <c r="AF849" t="str">
        <f>IF(Table1[[#This Row],[What is your current CGPA?]]&gt;=3.5,"High",IF(Table1[[#This Row],[What is your current CGPA?]]&gt;=2.5,"Medium","Low"))</f>
        <v>High</v>
      </c>
      <c r="AG849" t="str">
        <f>IF(AND(Table1[[#This Row],[Average attendance on class]]&lt;75,Table1[[#This Row],[How many hour do you study daily?]]&lt;1),"At Risk","Normal")</f>
        <v>Normal</v>
      </c>
      <c r="AH849">
        <f>(Table1[[#This Row],[Average attendance on class]]*0.4)+(Table1[[#This Row],[How many hour do you study daily?]]*10*0.3)+(Table1[[#This Row],[How many hour do you spent daily on your skill development?]]*10*0.3)</f>
        <v>56.2</v>
      </c>
    </row>
    <row r="850" spans="1:34" x14ac:dyDescent="0.25">
      <c r="A850">
        <v>2018</v>
      </c>
      <c r="B850" t="s">
        <v>34</v>
      </c>
      <c r="C850">
        <v>22</v>
      </c>
      <c r="D850">
        <v>2017</v>
      </c>
      <c r="E850" t="s">
        <v>35</v>
      </c>
      <c r="F850">
        <v>11</v>
      </c>
      <c r="G850" t="s">
        <v>36</v>
      </c>
      <c r="H850" t="s">
        <v>37</v>
      </c>
      <c r="I850">
        <v>4</v>
      </c>
      <c r="J850">
        <v>2</v>
      </c>
      <c r="K850" t="s">
        <v>38</v>
      </c>
      <c r="L850" t="s">
        <v>36</v>
      </c>
      <c r="M850" t="s">
        <v>36</v>
      </c>
      <c r="N850">
        <v>2</v>
      </c>
      <c r="O850" t="s">
        <v>53</v>
      </c>
      <c r="P850">
        <v>100</v>
      </c>
      <c r="Q850" t="s">
        <v>37</v>
      </c>
      <c r="R850" t="s">
        <v>37</v>
      </c>
      <c r="S850" t="s">
        <v>36</v>
      </c>
      <c r="T850" t="s">
        <v>40</v>
      </c>
      <c r="U850">
        <v>3</v>
      </c>
      <c r="V850" t="s">
        <v>62</v>
      </c>
      <c r="W850" t="s">
        <v>42</v>
      </c>
      <c r="X850" t="s">
        <v>36</v>
      </c>
      <c r="Y850" t="s">
        <v>43</v>
      </c>
      <c r="Z850" t="s">
        <v>36</v>
      </c>
      <c r="AA850">
        <v>2.9</v>
      </c>
      <c r="AB850" t="s">
        <v>37</v>
      </c>
      <c r="AC850">
        <v>3.89</v>
      </c>
      <c r="AD850">
        <v>135</v>
      </c>
      <c r="AE850">
        <v>90000</v>
      </c>
      <c r="AF850" t="str">
        <f>IF(Table1[[#This Row],[What is your current CGPA?]]&gt;=3.5,"High",IF(Table1[[#This Row],[What is your current CGPA?]]&gt;=2.5,"Medium","Low"))</f>
        <v>High</v>
      </c>
      <c r="AG850" t="str">
        <f>IF(AND(Table1[[#This Row],[Average attendance on class]]&lt;75,Table1[[#This Row],[How many hour do you study daily?]]&lt;1),"At Risk","Normal")</f>
        <v>Normal</v>
      </c>
      <c r="AH850">
        <f>(Table1[[#This Row],[Average attendance on class]]*0.4)+(Table1[[#This Row],[How many hour do you study daily?]]*10*0.3)+(Table1[[#This Row],[How many hour do you spent daily on your skill development?]]*10*0.3)</f>
        <v>61</v>
      </c>
    </row>
    <row r="851" spans="1:34" x14ac:dyDescent="0.25">
      <c r="A851">
        <v>2019</v>
      </c>
      <c r="B851" t="s">
        <v>34</v>
      </c>
      <c r="C851">
        <v>25</v>
      </c>
      <c r="D851">
        <v>2018</v>
      </c>
      <c r="E851" t="s">
        <v>35</v>
      </c>
      <c r="F851">
        <v>11</v>
      </c>
      <c r="G851" t="s">
        <v>37</v>
      </c>
      <c r="H851" t="s">
        <v>37</v>
      </c>
      <c r="I851">
        <v>3</v>
      </c>
      <c r="J851">
        <v>2</v>
      </c>
      <c r="K851" t="s">
        <v>38</v>
      </c>
      <c r="L851" t="s">
        <v>36</v>
      </c>
      <c r="M851" t="s">
        <v>36</v>
      </c>
      <c r="N851">
        <v>3</v>
      </c>
      <c r="O851" t="s">
        <v>39</v>
      </c>
      <c r="P851">
        <v>100</v>
      </c>
      <c r="Q851" t="s">
        <v>37</v>
      </c>
      <c r="R851" t="s">
        <v>37</v>
      </c>
      <c r="S851" t="s">
        <v>37</v>
      </c>
      <c r="T851" t="s">
        <v>40</v>
      </c>
      <c r="U851">
        <v>2</v>
      </c>
      <c r="V851" t="s">
        <v>40</v>
      </c>
      <c r="W851" t="s">
        <v>50</v>
      </c>
      <c r="X851" t="s">
        <v>36</v>
      </c>
      <c r="Y851" t="s">
        <v>43</v>
      </c>
      <c r="Z851" t="s">
        <v>37</v>
      </c>
      <c r="AA851">
        <v>2.34</v>
      </c>
      <c r="AB851" t="s">
        <v>37</v>
      </c>
      <c r="AC851">
        <v>3.42</v>
      </c>
      <c r="AD851">
        <v>143</v>
      </c>
      <c r="AE851">
        <v>90000</v>
      </c>
      <c r="AF851" t="str">
        <f>IF(Table1[[#This Row],[What is your current CGPA?]]&gt;=3.5,"High",IF(Table1[[#This Row],[What is your current CGPA?]]&gt;=2.5,"Medium","Low"))</f>
        <v>Medium</v>
      </c>
      <c r="AG851" t="str">
        <f>IF(AND(Table1[[#This Row],[Average attendance on class]]&lt;75,Table1[[#This Row],[How many hour do you study daily?]]&lt;1),"At Risk","Normal")</f>
        <v>Normal</v>
      </c>
      <c r="AH851">
        <f>(Table1[[#This Row],[Average attendance on class]]*0.4)+(Table1[[#This Row],[How many hour do you study daily?]]*10*0.3)+(Table1[[#This Row],[How many hour do you spent daily on your skill development?]]*10*0.3)</f>
        <v>55</v>
      </c>
    </row>
    <row r="852" spans="1:34" x14ac:dyDescent="0.25">
      <c r="A852">
        <v>2020</v>
      </c>
      <c r="B852" t="s">
        <v>34</v>
      </c>
      <c r="C852">
        <v>21</v>
      </c>
      <c r="D852">
        <v>2019</v>
      </c>
      <c r="E852" t="s">
        <v>35</v>
      </c>
      <c r="F852">
        <v>10</v>
      </c>
      <c r="G852" t="s">
        <v>37</v>
      </c>
      <c r="H852" t="s">
        <v>37</v>
      </c>
      <c r="I852">
        <v>3</v>
      </c>
      <c r="J852">
        <v>2</v>
      </c>
      <c r="K852" t="s">
        <v>44</v>
      </c>
      <c r="L852" t="s">
        <v>36</v>
      </c>
      <c r="M852" t="s">
        <v>36</v>
      </c>
      <c r="N852">
        <v>4</v>
      </c>
      <c r="O852" t="s">
        <v>53</v>
      </c>
      <c r="P852">
        <v>100</v>
      </c>
      <c r="Q852" t="s">
        <v>37</v>
      </c>
      <c r="R852" t="s">
        <v>37</v>
      </c>
      <c r="S852" t="s">
        <v>36</v>
      </c>
      <c r="T852" t="s">
        <v>61</v>
      </c>
      <c r="U852">
        <v>2</v>
      </c>
      <c r="V852" t="s">
        <v>41</v>
      </c>
      <c r="W852" t="s">
        <v>56</v>
      </c>
      <c r="X852" t="s">
        <v>37</v>
      </c>
      <c r="Y852" t="s">
        <v>47</v>
      </c>
      <c r="Z852" t="s">
        <v>37</v>
      </c>
      <c r="AA852">
        <v>2.08</v>
      </c>
      <c r="AB852" t="s">
        <v>37</v>
      </c>
      <c r="AC852">
        <v>3.11</v>
      </c>
      <c r="AD852">
        <v>138</v>
      </c>
      <c r="AE852">
        <v>90000</v>
      </c>
      <c r="AF852" t="str">
        <f>IF(Table1[[#This Row],[What is your current CGPA?]]&gt;=3.5,"High",IF(Table1[[#This Row],[What is your current CGPA?]]&gt;=2.5,"Medium","Low"))</f>
        <v>Medium</v>
      </c>
      <c r="AG852" t="str">
        <f>IF(AND(Table1[[#This Row],[Average attendance on class]]&lt;75,Table1[[#This Row],[How many hour do you study daily?]]&lt;1),"At Risk","Normal")</f>
        <v>Normal</v>
      </c>
      <c r="AH852">
        <f>(Table1[[#This Row],[Average attendance on class]]*0.4)+(Table1[[#This Row],[How many hour do you study daily?]]*10*0.3)+(Table1[[#This Row],[How many hour do you spent daily on your skill development?]]*10*0.3)</f>
        <v>55</v>
      </c>
    </row>
    <row r="853" spans="1:34" x14ac:dyDescent="0.25">
      <c r="A853">
        <v>2021</v>
      </c>
      <c r="B853" t="s">
        <v>48</v>
      </c>
      <c r="C853">
        <v>20</v>
      </c>
      <c r="D853">
        <v>2020</v>
      </c>
      <c r="E853" t="s">
        <v>35</v>
      </c>
      <c r="F853">
        <v>9</v>
      </c>
      <c r="G853" t="s">
        <v>37</v>
      </c>
      <c r="H853" t="s">
        <v>37</v>
      </c>
      <c r="I853">
        <v>3</v>
      </c>
      <c r="J853">
        <v>1</v>
      </c>
      <c r="K853" t="s">
        <v>44</v>
      </c>
      <c r="L853" t="s">
        <v>36</v>
      </c>
      <c r="M853" t="s">
        <v>36</v>
      </c>
      <c r="N853">
        <v>10</v>
      </c>
      <c r="O853" t="s">
        <v>53</v>
      </c>
      <c r="P853">
        <v>100</v>
      </c>
      <c r="Q853" t="s">
        <v>37</v>
      </c>
      <c r="R853" t="s">
        <v>37</v>
      </c>
      <c r="S853" t="s">
        <v>36</v>
      </c>
      <c r="T853" t="s">
        <v>51</v>
      </c>
      <c r="U853">
        <v>3</v>
      </c>
      <c r="V853" t="s">
        <v>59</v>
      </c>
      <c r="W853" t="s">
        <v>56</v>
      </c>
      <c r="X853" t="s">
        <v>37</v>
      </c>
      <c r="Y853" t="s">
        <v>47</v>
      </c>
      <c r="Z853" t="s">
        <v>37</v>
      </c>
      <c r="AA853">
        <v>2.5099999999999998</v>
      </c>
      <c r="AB853" t="s">
        <v>37</v>
      </c>
      <c r="AC853">
        <v>3.5</v>
      </c>
      <c r="AD853">
        <v>130</v>
      </c>
      <c r="AE853">
        <v>90000</v>
      </c>
      <c r="AF853" t="str">
        <f>IF(Table1[[#This Row],[What is your current CGPA?]]&gt;=3.5,"High",IF(Table1[[#This Row],[What is your current CGPA?]]&gt;=2.5,"Medium","Low"))</f>
        <v>High</v>
      </c>
      <c r="AG853" t="str">
        <f>IF(AND(Table1[[#This Row],[Average attendance on class]]&lt;75,Table1[[#This Row],[How many hour do you study daily?]]&lt;1),"At Risk","Normal")</f>
        <v>Normal</v>
      </c>
      <c r="AH853">
        <f>(Table1[[#This Row],[Average attendance on class]]*0.4)+(Table1[[#This Row],[How many hour do you study daily?]]*10*0.3)+(Table1[[#This Row],[How many hour do you spent daily on your skill development?]]*10*0.3)</f>
        <v>58</v>
      </c>
    </row>
    <row r="854" spans="1:34" x14ac:dyDescent="0.25">
      <c r="A854">
        <v>2022</v>
      </c>
      <c r="B854" t="s">
        <v>48</v>
      </c>
      <c r="C854">
        <v>21</v>
      </c>
      <c r="D854">
        <v>2021</v>
      </c>
      <c r="E854" t="s">
        <v>35</v>
      </c>
      <c r="F854">
        <v>5</v>
      </c>
      <c r="G854" t="s">
        <v>37</v>
      </c>
      <c r="H854" t="s">
        <v>37</v>
      </c>
      <c r="I854">
        <v>4</v>
      </c>
      <c r="J854">
        <v>1</v>
      </c>
      <c r="K854" t="s">
        <v>44</v>
      </c>
      <c r="L854" t="s">
        <v>36</v>
      </c>
      <c r="M854" t="s">
        <v>36</v>
      </c>
      <c r="N854">
        <v>8</v>
      </c>
      <c r="O854" t="s">
        <v>39</v>
      </c>
      <c r="P854">
        <v>100</v>
      </c>
      <c r="Q854" t="s">
        <v>37</v>
      </c>
      <c r="R854" t="s">
        <v>37</v>
      </c>
      <c r="S854" t="s">
        <v>37</v>
      </c>
      <c r="T854" t="s">
        <v>52</v>
      </c>
      <c r="U854">
        <v>3</v>
      </c>
      <c r="V854" t="s">
        <v>40</v>
      </c>
      <c r="W854" t="s">
        <v>42</v>
      </c>
      <c r="X854" t="s">
        <v>37</v>
      </c>
      <c r="Y854" t="s">
        <v>47</v>
      </c>
      <c r="Z854" t="s">
        <v>37</v>
      </c>
      <c r="AA854">
        <v>2.13</v>
      </c>
      <c r="AB854" t="s">
        <v>37</v>
      </c>
      <c r="AC854">
        <v>3.33</v>
      </c>
      <c r="AD854">
        <v>107</v>
      </c>
      <c r="AE854">
        <v>90000</v>
      </c>
      <c r="AF854" t="str">
        <f>IF(Table1[[#This Row],[What is your current CGPA?]]&gt;=3.5,"High",IF(Table1[[#This Row],[What is your current CGPA?]]&gt;=2.5,"Medium","Low"))</f>
        <v>Medium</v>
      </c>
      <c r="AG854" t="str">
        <f>IF(AND(Table1[[#This Row],[Average attendance on class]]&lt;75,Table1[[#This Row],[How many hour do you study daily?]]&lt;1),"At Risk","Normal")</f>
        <v>Normal</v>
      </c>
      <c r="AH854">
        <f>(Table1[[#This Row],[Average attendance on class]]*0.4)+(Table1[[#This Row],[How many hour do you study daily?]]*10*0.3)+(Table1[[#This Row],[How many hour do you spent daily on your skill development?]]*10*0.3)</f>
        <v>61</v>
      </c>
    </row>
    <row r="855" spans="1:34" x14ac:dyDescent="0.25">
      <c r="A855">
        <v>2019</v>
      </c>
      <c r="B855" t="s">
        <v>34</v>
      </c>
      <c r="C855">
        <v>25</v>
      </c>
      <c r="D855">
        <v>2018</v>
      </c>
      <c r="E855" t="s">
        <v>35</v>
      </c>
      <c r="F855">
        <v>11</v>
      </c>
      <c r="G855" t="s">
        <v>37</v>
      </c>
      <c r="H855" t="s">
        <v>37</v>
      </c>
      <c r="I855">
        <v>2</v>
      </c>
      <c r="J855">
        <v>1</v>
      </c>
      <c r="K855" t="s">
        <v>38</v>
      </c>
      <c r="L855" t="s">
        <v>36</v>
      </c>
      <c r="M855" t="s">
        <v>36</v>
      </c>
      <c r="N855">
        <v>2</v>
      </c>
      <c r="O855" t="s">
        <v>39</v>
      </c>
      <c r="P855">
        <v>35</v>
      </c>
      <c r="Q855" t="s">
        <v>37</v>
      </c>
      <c r="R855" t="s">
        <v>36</v>
      </c>
      <c r="S855" t="s">
        <v>37</v>
      </c>
      <c r="T855" t="s">
        <v>61</v>
      </c>
      <c r="U855">
        <v>1</v>
      </c>
      <c r="V855" t="s">
        <v>41</v>
      </c>
      <c r="W855" t="s">
        <v>42</v>
      </c>
      <c r="X855" t="s">
        <v>37</v>
      </c>
      <c r="Y855" t="s">
        <v>43</v>
      </c>
      <c r="Z855" t="s">
        <v>37</v>
      </c>
      <c r="AA855">
        <v>1.43</v>
      </c>
      <c r="AB855" t="s">
        <v>37</v>
      </c>
      <c r="AC855">
        <v>2.56</v>
      </c>
      <c r="AD855">
        <v>143</v>
      </c>
      <c r="AE855">
        <v>91000</v>
      </c>
      <c r="AF855" t="str">
        <f>IF(Table1[[#This Row],[What is your current CGPA?]]&gt;=3.5,"High",IF(Table1[[#This Row],[What is your current CGPA?]]&gt;=2.5,"Medium","Low"))</f>
        <v>Medium</v>
      </c>
      <c r="AG855" t="str">
        <f>IF(AND(Table1[[#This Row],[Average attendance on class]]&lt;75,Table1[[#This Row],[How many hour do you study daily?]]&lt;1),"At Risk","Normal")</f>
        <v>Normal</v>
      </c>
      <c r="AH855">
        <f>(Table1[[#This Row],[Average attendance on class]]*0.4)+(Table1[[#This Row],[How many hour do you study daily?]]*10*0.3)+(Table1[[#This Row],[How many hour do you spent daily on your skill development?]]*10*0.3)</f>
        <v>23</v>
      </c>
    </row>
    <row r="856" spans="1:34" x14ac:dyDescent="0.25">
      <c r="A856">
        <v>2022</v>
      </c>
      <c r="B856" t="s">
        <v>48</v>
      </c>
      <c r="C856">
        <v>20</v>
      </c>
      <c r="D856">
        <v>2020</v>
      </c>
      <c r="E856" t="s">
        <v>35</v>
      </c>
      <c r="F856">
        <v>4</v>
      </c>
      <c r="G856" t="s">
        <v>37</v>
      </c>
      <c r="H856" t="s">
        <v>37</v>
      </c>
      <c r="I856">
        <v>2</v>
      </c>
      <c r="J856">
        <v>3</v>
      </c>
      <c r="K856" t="s">
        <v>38</v>
      </c>
      <c r="L856" t="s">
        <v>36</v>
      </c>
      <c r="M856" t="s">
        <v>36</v>
      </c>
      <c r="N856">
        <v>3</v>
      </c>
      <c r="O856" t="s">
        <v>39</v>
      </c>
      <c r="P856">
        <v>100</v>
      </c>
      <c r="Q856" t="s">
        <v>36</v>
      </c>
      <c r="R856" t="s">
        <v>37</v>
      </c>
      <c r="S856" t="s">
        <v>37</v>
      </c>
      <c r="T856" t="s">
        <v>40</v>
      </c>
      <c r="U856">
        <v>1</v>
      </c>
      <c r="V856" t="s">
        <v>62</v>
      </c>
      <c r="W856" t="s">
        <v>56</v>
      </c>
      <c r="X856" t="s">
        <v>36</v>
      </c>
      <c r="Y856" t="s">
        <v>47</v>
      </c>
      <c r="Z856" t="s">
        <v>37</v>
      </c>
      <c r="AA856">
        <v>1.26</v>
      </c>
      <c r="AB856" t="s">
        <v>37</v>
      </c>
      <c r="AC856">
        <v>2.33</v>
      </c>
      <c r="AD856">
        <v>59</v>
      </c>
      <c r="AE856">
        <v>93000</v>
      </c>
      <c r="AF856" t="str">
        <f>IF(Table1[[#This Row],[What is your current CGPA?]]&gt;=3.5,"High",IF(Table1[[#This Row],[What is your current CGPA?]]&gt;=2.5,"Medium","Low"))</f>
        <v>Low</v>
      </c>
      <c r="AG856" t="str">
        <f>IF(AND(Table1[[#This Row],[Average attendance on class]]&lt;75,Table1[[#This Row],[How many hour do you study daily?]]&lt;1),"At Risk","Normal")</f>
        <v>Normal</v>
      </c>
      <c r="AH856">
        <f>(Table1[[#This Row],[Average attendance on class]]*0.4)+(Table1[[#This Row],[How many hour do you study daily?]]*10*0.3)+(Table1[[#This Row],[How many hour do you spent daily on your skill development?]]*10*0.3)</f>
        <v>49</v>
      </c>
    </row>
    <row r="857" spans="1:34" x14ac:dyDescent="0.25">
      <c r="A857">
        <v>2021</v>
      </c>
      <c r="B857" t="s">
        <v>48</v>
      </c>
      <c r="C857">
        <v>20</v>
      </c>
      <c r="D857">
        <v>2020</v>
      </c>
      <c r="E857" t="s">
        <v>35</v>
      </c>
      <c r="F857">
        <v>9</v>
      </c>
      <c r="G857" t="s">
        <v>37</v>
      </c>
      <c r="H857" t="s">
        <v>37</v>
      </c>
      <c r="I857">
        <v>2</v>
      </c>
      <c r="J857">
        <v>3</v>
      </c>
      <c r="K857" t="s">
        <v>38</v>
      </c>
      <c r="L857" t="s">
        <v>36</v>
      </c>
      <c r="M857" t="s">
        <v>36</v>
      </c>
      <c r="N857">
        <v>3</v>
      </c>
      <c r="O857" t="s">
        <v>53</v>
      </c>
      <c r="P857">
        <v>56</v>
      </c>
      <c r="Q857" t="s">
        <v>36</v>
      </c>
      <c r="R857" t="s">
        <v>37</v>
      </c>
      <c r="S857" t="s">
        <v>36</v>
      </c>
      <c r="T857" t="s">
        <v>51</v>
      </c>
      <c r="U857">
        <v>4</v>
      </c>
      <c r="V857" t="s">
        <v>59</v>
      </c>
      <c r="W857" t="s">
        <v>42</v>
      </c>
      <c r="X857" t="s">
        <v>37</v>
      </c>
      <c r="Y857" t="s">
        <v>43</v>
      </c>
      <c r="Z857" t="s">
        <v>37</v>
      </c>
      <c r="AA857">
        <v>1.56</v>
      </c>
      <c r="AB857" t="s">
        <v>37</v>
      </c>
      <c r="AC857">
        <v>2.6</v>
      </c>
      <c r="AD857">
        <v>130</v>
      </c>
      <c r="AE857">
        <v>95000</v>
      </c>
      <c r="AF857" t="str">
        <f>IF(Table1[[#This Row],[What is your current CGPA?]]&gt;=3.5,"High",IF(Table1[[#This Row],[What is your current CGPA?]]&gt;=2.5,"Medium","Low"))</f>
        <v>Medium</v>
      </c>
      <c r="AG857" t="str">
        <f>IF(AND(Table1[[#This Row],[Average attendance on class]]&lt;75,Table1[[#This Row],[How many hour do you study daily?]]&lt;1),"At Risk","Normal")</f>
        <v>Normal</v>
      </c>
      <c r="AH857">
        <f>(Table1[[#This Row],[Average attendance on class]]*0.4)+(Table1[[#This Row],[How many hour do you study daily?]]*10*0.3)+(Table1[[#This Row],[How many hour do you spent daily on your skill development?]]*10*0.3)</f>
        <v>40.400000000000006</v>
      </c>
    </row>
    <row r="858" spans="1:34" x14ac:dyDescent="0.25">
      <c r="A858">
        <v>2020</v>
      </c>
      <c r="B858" t="s">
        <v>34</v>
      </c>
      <c r="C858">
        <v>23</v>
      </c>
      <c r="D858">
        <v>2019</v>
      </c>
      <c r="E858" t="s">
        <v>35</v>
      </c>
      <c r="F858">
        <v>10</v>
      </c>
      <c r="G858" t="s">
        <v>37</v>
      </c>
      <c r="H858" t="s">
        <v>37</v>
      </c>
      <c r="I858">
        <v>2</v>
      </c>
      <c r="J858">
        <v>3</v>
      </c>
      <c r="K858" t="s">
        <v>38</v>
      </c>
      <c r="L858" t="s">
        <v>36</v>
      </c>
      <c r="M858" t="s">
        <v>36</v>
      </c>
      <c r="N858">
        <v>1</v>
      </c>
      <c r="O858" t="s">
        <v>45</v>
      </c>
      <c r="P858">
        <v>100</v>
      </c>
      <c r="Q858" t="s">
        <v>37</v>
      </c>
      <c r="R858" t="s">
        <v>37</v>
      </c>
      <c r="S858" t="s">
        <v>37</v>
      </c>
      <c r="T858" t="s">
        <v>40</v>
      </c>
      <c r="U858">
        <v>4</v>
      </c>
      <c r="V858" t="s">
        <v>62</v>
      </c>
      <c r="W858" t="s">
        <v>42</v>
      </c>
      <c r="X858" t="s">
        <v>37</v>
      </c>
      <c r="Y858" t="s">
        <v>43</v>
      </c>
      <c r="Z858" t="s">
        <v>37</v>
      </c>
      <c r="AA858">
        <v>1.75</v>
      </c>
      <c r="AB858" t="s">
        <v>37</v>
      </c>
      <c r="AC858">
        <v>2.81</v>
      </c>
      <c r="AD858">
        <v>137</v>
      </c>
      <c r="AE858">
        <v>98000</v>
      </c>
      <c r="AF858" t="str">
        <f>IF(Table1[[#This Row],[What is your current CGPA?]]&gt;=3.5,"High",IF(Table1[[#This Row],[What is your current CGPA?]]&gt;=2.5,"Medium","Low"))</f>
        <v>Medium</v>
      </c>
      <c r="AG858" t="str">
        <f>IF(AND(Table1[[#This Row],[Average attendance on class]]&lt;75,Table1[[#This Row],[How many hour do you study daily?]]&lt;1),"At Risk","Normal")</f>
        <v>Normal</v>
      </c>
      <c r="AH858">
        <f>(Table1[[#This Row],[Average attendance on class]]*0.4)+(Table1[[#This Row],[How many hour do you study daily?]]*10*0.3)+(Table1[[#This Row],[How many hour do you spent daily on your skill development?]]*10*0.3)</f>
        <v>58</v>
      </c>
    </row>
    <row r="859" spans="1:34" x14ac:dyDescent="0.25">
      <c r="A859">
        <v>2019</v>
      </c>
      <c r="B859" t="s">
        <v>34</v>
      </c>
      <c r="C859">
        <v>25</v>
      </c>
      <c r="D859">
        <v>2018</v>
      </c>
      <c r="E859" t="s">
        <v>35</v>
      </c>
      <c r="F859">
        <v>11</v>
      </c>
      <c r="G859" t="s">
        <v>37</v>
      </c>
      <c r="H859" t="s">
        <v>37</v>
      </c>
      <c r="I859">
        <v>2</v>
      </c>
      <c r="J859">
        <v>1</v>
      </c>
      <c r="K859" t="s">
        <v>38</v>
      </c>
      <c r="L859" t="s">
        <v>36</v>
      </c>
      <c r="M859" t="s">
        <v>36</v>
      </c>
      <c r="N859">
        <v>7</v>
      </c>
      <c r="O859" t="s">
        <v>45</v>
      </c>
      <c r="P859">
        <v>100</v>
      </c>
      <c r="Q859" t="s">
        <v>37</v>
      </c>
      <c r="R859" t="s">
        <v>37</v>
      </c>
      <c r="S859" t="s">
        <v>37</v>
      </c>
      <c r="T859" t="s">
        <v>40</v>
      </c>
      <c r="U859">
        <v>3</v>
      </c>
      <c r="V859" t="s">
        <v>40</v>
      </c>
      <c r="W859" t="s">
        <v>56</v>
      </c>
      <c r="X859" t="s">
        <v>36</v>
      </c>
      <c r="Y859" t="s">
        <v>47</v>
      </c>
      <c r="Z859" t="s">
        <v>37</v>
      </c>
      <c r="AA859">
        <v>1.76</v>
      </c>
      <c r="AB859" t="s">
        <v>37</v>
      </c>
      <c r="AC859">
        <v>2.87</v>
      </c>
      <c r="AD859">
        <v>144</v>
      </c>
      <c r="AE859">
        <v>100000</v>
      </c>
      <c r="AF859" t="str">
        <f>IF(Table1[[#This Row],[What is your current CGPA?]]&gt;=3.5,"High",IF(Table1[[#This Row],[What is your current CGPA?]]&gt;=2.5,"Medium","Low"))</f>
        <v>Medium</v>
      </c>
      <c r="AG859" t="str">
        <f>IF(AND(Table1[[#This Row],[Average attendance on class]]&lt;75,Table1[[#This Row],[How many hour do you study daily?]]&lt;1),"At Risk","Normal")</f>
        <v>Normal</v>
      </c>
      <c r="AH859">
        <f>(Table1[[#This Row],[Average attendance on class]]*0.4)+(Table1[[#This Row],[How many hour do you study daily?]]*10*0.3)+(Table1[[#This Row],[How many hour do you spent daily on your skill development?]]*10*0.3)</f>
        <v>55</v>
      </c>
    </row>
    <row r="860" spans="1:34" x14ac:dyDescent="0.25">
      <c r="A860">
        <v>2021</v>
      </c>
      <c r="B860" t="s">
        <v>34</v>
      </c>
      <c r="C860">
        <v>21</v>
      </c>
      <c r="D860">
        <v>2019</v>
      </c>
      <c r="E860" t="s">
        <v>35</v>
      </c>
      <c r="F860">
        <v>5</v>
      </c>
      <c r="G860" t="s">
        <v>37</v>
      </c>
      <c r="H860" t="s">
        <v>37</v>
      </c>
      <c r="I860">
        <v>6</v>
      </c>
      <c r="J860">
        <v>2</v>
      </c>
      <c r="K860" t="s">
        <v>44</v>
      </c>
      <c r="L860" t="s">
        <v>36</v>
      </c>
      <c r="M860" t="s">
        <v>36</v>
      </c>
      <c r="N860">
        <v>4</v>
      </c>
      <c r="O860" t="s">
        <v>39</v>
      </c>
      <c r="P860">
        <v>100</v>
      </c>
      <c r="Q860" t="s">
        <v>36</v>
      </c>
      <c r="R860" t="s">
        <v>37</v>
      </c>
      <c r="S860" t="s">
        <v>36</v>
      </c>
      <c r="T860" t="s">
        <v>61</v>
      </c>
      <c r="U860">
        <v>2</v>
      </c>
      <c r="V860" t="s">
        <v>41</v>
      </c>
      <c r="W860" t="s">
        <v>42</v>
      </c>
      <c r="X860" t="s">
        <v>36</v>
      </c>
      <c r="Y860" t="s">
        <v>43</v>
      </c>
      <c r="Z860" t="s">
        <v>37</v>
      </c>
      <c r="AA860">
        <v>1.34</v>
      </c>
      <c r="AB860" t="s">
        <v>37</v>
      </c>
      <c r="AC860">
        <v>2.5299999999999998</v>
      </c>
      <c r="AD860">
        <v>96</v>
      </c>
      <c r="AE860">
        <v>100000</v>
      </c>
      <c r="AF860" t="str">
        <f>IF(Table1[[#This Row],[What is your current CGPA?]]&gt;=3.5,"High",IF(Table1[[#This Row],[What is your current CGPA?]]&gt;=2.5,"Medium","Low"))</f>
        <v>Medium</v>
      </c>
      <c r="AG860" t="str">
        <f>IF(AND(Table1[[#This Row],[Average attendance on class]]&lt;75,Table1[[#This Row],[How many hour do you study daily?]]&lt;1),"At Risk","Normal")</f>
        <v>Normal</v>
      </c>
      <c r="AH860">
        <f>(Table1[[#This Row],[Average attendance on class]]*0.4)+(Table1[[#This Row],[How many hour do you study daily?]]*10*0.3)+(Table1[[#This Row],[How many hour do you spent daily on your skill development?]]*10*0.3)</f>
        <v>64</v>
      </c>
    </row>
    <row r="861" spans="1:34" x14ac:dyDescent="0.25">
      <c r="A861">
        <v>2020</v>
      </c>
      <c r="B861" t="s">
        <v>34</v>
      </c>
      <c r="C861">
        <v>21</v>
      </c>
      <c r="D861">
        <v>2019</v>
      </c>
      <c r="E861" t="s">
        <v>35</v>
      </c>
      <c r="F861">
        <v>8</v>
      </c>
      <c r="G861" t="s">
        <v>37</v>
      </c>
      <c r="H861" t="s">
        <v>37</v>
      </c>
      <c r="I861">
        <v>5</v>
      </c>
      <c r="J861">
        <v>3</v>
      </c>
      <c r="K861" t="s">
        <v>38</v>
      </c>
      <c r="L861" t="s">
        <v>36</v>
      </c>
      <c r="M861" t="s">
        <v>36</v>
      </c>
      <c r="N861">
        <v>4</v>
      </c>
      <c r="O861" t="s">
        <v>53</v>
      </c>
      <c r="P861">
        <v>100</v>
      </c>
      <c r="Q861" t="s">
        <v>37</v>
      </c>
      <c r="R861" t="s">
        <v>37</v>
      </c>
      <c r="S861" t="s">
        <v>36</v>
      </c>
      <c r="T861" t="s">
        <v>40</v>
      </c>
      <c r="U861">
        <v>3</v>
      </c>
      <c r="V861" t="s">
        <v>62</v>
      </c>
      <c r="W861" t="s">
        <v>42</v>
      </c>
      <c r="X861" t="s">
        <v>37</v>
      </c>
      <c r="Y861" t="s">
        <v>43</v>
      </c>
      <c r="Z861" t="s">
        <v>37</v>
      </c>
      <c r="AA861">
        <v>2.91</v>
      </c>
      <c r="AB861" t="s">
        <v>37</v>
      </c>
      <c r="AC861">
        <v>3.95</v>
      </c>
      <c r="AD861">
        <v>119</v>
      </c>
      <c r="AE861">
        <v>100000</v>
      </c>
      <c r="AF861" t="str">
        <f>IF(Table1[[#This Row],[What is your current CGPA?]]&gt;=3.5,"High",IF(Table1[[#This Row],[What is your current CGPA?]]&gt;=2.5,"Medium","Low"))</f>
        <v>High</v>
      </c>
      <c r="AG861" t="str">
        <f>IF(AND(Table1[[#This Row],[Average attendance on class]]&lt;75,Table1[[#This Row],[How many hour do you study daily?]]&lt;1),"At Risk","Normal")</f>
        <v>Normal</v>
      </c>
      <c r="AH861">
        <f>(Table1[[#This Row],[Average attendance on class]]*0.4)+(Table1[[#This Row],[How many hour do you study daily?]]*10*0.3)+(Table1[[#This Row],[How many hour do you spent daily on your skill development?]]*10*0.3)</f>
        <v>64</v>
      </c>
    </row>
    <row r="862" spans="1:34" x14ac:dyDescent="0.25">
      <c r="A862">
        <v>2020</v>
      </c>
      <c r="B862" t="s">
        <v>34</v>
      </c>
      <c r="C862">
        <v>22</v>
      </c>
      <c r="D862">
        <v>2019</v>
      </c>
      <c r="E862" t="s">
        <v>35</v>
      </c>
      <c r="F862">
        <v>10</v>
      </c>
      <c r="G862" t="s">
        <v>37</v>
      </c>
      <c r="H862" t="s">
        <v>37</v>
      </c>
      <c r="I862">
        <v>2</v>
      </c>
      <c r="J862">
        <v>3</v>
      </c>
      <c r="K862" t="s">
        <v>44</v>
      </c>
      <c r="L862" t="s">
        <v>36</v>
      </c>
      <c r="M862" t="s">
        <v>36</v>
      </c>
      <c r="N862">
        <v>2</v>
      </c>
      <c r="O862" t="s">
        <v>39</v>
      </c>
      <c r="P862">
        <v>45</v>
      </c>
      <c r="Q862" t="s">
        <v>36</v>
      </c>
      <c r="R862" t="s">
        <v>37</v>
      </c>
      <c r="S862" t="s">
        <v>37</v>
      </c>
      <c r="T862" t="s">
        <v>51</v>
      </c>
      <c r="U862">
        <v>4</v>
      </c>
      <c r="V862" t="s">
        <v>59</v>
      </c>
      <c r="W862" t="s">
        <v>50</v>
      </c>
      <c r="X862" t="s">
        <v>36</v>
      </c>
      <c r="Y862" t="s">
        <v>47</v>
      </c>
      <c r="Z862" t="s">
        <v>36</v>
      </c>
      <c r="AA862">
        <v>2.46</v>
      </c>
      <c r="AB862" t="s">
        <v>37</v>
      </c>
      <c r="AC862">
        <v>3.52</v>
      </c>
      <c r="AD862">
        <v>140</v>
      </c>
      <c r="AE862">
        <v>100000</v>
      </c>
      <c r="AF862" t="str">
        <f>IF(Table1[[#This Row],[What is your current CGPA?]]&gt;=3.5,"High",IF(Table1[[#This Row],[What is your current CGPA?]]&gt;=2.5,"Medium","Low"))</f>
        <v>High</v>
      </c>
      <c r="AG862" t="str">
        <f>IF(AND(Table1[[#This Row],[Average attendance on class]]&lt;75,Table1[[#This Row],[How many hour do you study daily?]]&lt;1),"At Risk","Normal")</f>
        <v>Normal</v>
      </c>
      <c r="AH862">
        <f>(Table1[[#This Row],[Average attendance on class]]*0.4)+(Table1[[#This Row],[How many hour do you study daily?]]*10*0.3)+(Table1[[#This Row],[How many hour do you spent daily on your skill development?]]*10*0.3)</f>
        <v>36</v>
      </c>
    </row>
    <row r="863" spans="1:34" x14ac:dyDescent="0.25">
      <c r="A863">
        <v>2021</v>
      </c>
      <c r="B863" t="s">
        <v>48</v>
      </c>
      <c r="C863">
        <v>20</v>
      </c>
      <c r="D863">
        <v>2020</v>
      </c>
      <c r="E863" t="s">
        <v>35</v>
      </c>
      <c r="F863">
        <v>5</v>
      </c>
      <c r="G863" t="s">
        <v>37</v>
      </c>
      <c r="H863" t="s">
        <v>37</v>
      </c>
      <c r="I863">
        <v>3</v>
      </c>
      <c r="J863">
        <v>1</v>
      </c>
      <c r="K863" t="s">
        <v>38</v>
      </c>
      <c r="L863" t="s">
        <v>36</v>
      </c>
      <c r="M863" t="s">
        <v>36</v>
      </c>
      <c r="N863">
        <v>7</v>
      </c>
      <c r="O863" t="s">
        <v>39</v>
      </c>
      <c r="P863">
        <v>70</v>
      </c>
      <c r="Q863" t="s">
        <v>37</v>
      </c>
      <c r="R863" t="s">
        <v>37</v>
      </c>
      <c r="S863" t="s">
        <v>37</v>
      </c>
      <c r="T863" t="s">
        <v>61</v>
      </c>
      <c r="U863">
        <v>3</v>
      </c>
      <c r="V863" t="s">
        <v>40</v>
      </c>
      <c r="W863" t="s">
        <v>50</v>
      </c>
      <c r="X863" t="s">
        <v>37</v>
      </c>
      <c r="Y863" t="s">
        <v>43</v>
      </c>
      <c r="Z863" t="s">
        <v>37</v>
      </c>
      <c r="AA863">
        <v>1.67</v>
      </c>
      <c r="AB863" t="s">
        <v>37</v>
      </c>
      <c r="AC863">
        <v>2.98</v>
      </c>
      <c r="AD863">
        <v>75</v>
      </c>
      <c r="AE863">
        <v>100000</v>
      </c>
      <c r="AF863" t="str">
        <f>IF(Table1[[#This Row],[What is your current CGPA?]]&gt;=3.5,"High",IF(Table1[[#This Row],[What is your current CGPA?]]&gt;=2.5,"Medium","Low"))</f>
        <v>Medium</v>
      </c>
      <c r="AG863" t="str">
        <f>IF(AND(Table1[[#This Row],[Average attendance on class]]&lt;75,Table1[[#This Row],[How many hour do you study daily?]]&lt;1),"At Risk","Normal")</f>
        <v>Normal</v>
      </c>
      <c r="AH863">
        <f>(Table1[[#This Row],[Average attendance on class]]*0.4)+(Table1[[#This Row],[How many hour do you study daily?]]*10*0.3)+(Table1[[#This Row],[How many hour do you spent daily on your skill development?]]*10*0.3)</f>
        <v>46</v>
      </c>
    </row>
    <row r="864" spans="1:34" x14ac:dyDescent="0.25">
      <c r="A864">
        <v>2023</v>
      </c>
      <c r="B864" t="s">
        <v>48</v>
      </c>
      <c r="C864">
        <v>20</v>
      </c>
      <c r="D864">
        <v>2021</v>
      </c>
      <c r="E864" t="s">
        <v>35</v>
      </c>
      <c r="F864">
        <v>2</v>
      </c>
      <c r="G864" t="s">
        <v>36</v>
      </c>
      <c r="H864" t="s">
        <v>37</v>
      </c>
      <c r="I864">
        <v>2</v>
      </c>
      <c r="J864">
        <v>4</v>
      </c>
      <c r="K864" t="s">
        <v>38</v>
      </c>
      <c r="L864" t="s">
        <v>36</v>
      </c>
      <c r="M864" t="s">
        <v>36</v>
      </c>
      <c r="N864">
        <v>2</v>
      </c>
      <c r="O864" t="s">
        <v>39</v>
      </c>
      <c r="P864">
        <v>100</v>
      </c>
      <c r="Q864" t="s">
        <v>37</v>
      </c>
      <c r="R864" t="s">
        <v>37</v>
      </c>
      <c r="S864" t="s">
        <v>36</v>
      </c>
      <c r="T864" t="s">
        <v>40</v>
      </c>
      <c r="U864">
        <v>3</v>
      </c>
      <c r="V864" t="s">
        <v>59</v>
      </c>
      <c r="W864" t="s">
        <v>50</v>
      </c>
      <c r="X864" t="s">
        <v>36</v>
      </c>
      <c r="Y864" t="s">
        <v>47</v>
      </c>
      <c r="Z864" t="s">
        <v>36</v>
      </c>
      <c r="AA864">
        <v>2.66</v>
      </c>
      <c r="AB864" t="s">
        <v>36</v>
      </c>
      <c r="AC864">
        <v>2.66</v>
      </c>
      <c r="AD864">
        <v>12</v>
      </c>
      <c r="AE864">
        <v>100000</v>
      </c>
      <c r="AF864" t="str">
        <f>IF(Table1[[#This Row],[What is your current CGPA?]]&gt;=3.5,"High",IF(Table1[[#This Row],[What is your current CGPA?]]&gt;=2.5,"Medium","Low"))</f>
        <v>Medium</v>
      </c>
      <c r="AG864" t="str">
        <f>IF(AND(Table1[[#This Row],[Average attendance on class]]&lt;75,Table1[[#This Row],[How many hour do you study daily?]]&lt;1),"At Risk","Normal")</f>
        <v>Normal</v>
      </c>
      <c r="AH864">
        <f>(Table1[[#This Row],[Average attendance on class]]*0.4)+(Table1[[#This Row],[How many hour do you study daily?]]*10*0.3)+(Table1[[#This Row],[How many hour do you spent daily on your skill development?]]*10*0.3)</f>
        <v>55</v>
      </c>
    </row>
    <row r="865" spans="1:34" x14ac:dyDescent="0.25">
      <c r="A865">
        <v>2018</v>
      </c>
      <c r="B865" t="s">
        <v>34</v>
      </c>
      <c r="C865">
        <v>24</v>
      </c>
      <c r="D865">
        <v>2018</v>
      </c>
      <c r="E865" t="s">
        <v>35</v>
      </c>
      <c r="F865">
        <v>10</v>
      </c>
      <c r="G865" t="s">
        <v>37</v>
      </c>
      <c r="H865" t="s">
        <v>37</v>
      </c>
      <c r="I865">
        <v>1</v>
      </c>
      <c r="J865">
        <v>3</v>
      </c>
      <c r="K865" t="s">
        <v>44</v>
      </c>
      <c r="L865" t="s">
        <v>36</v>
      </c>
      <c r="M865" t="s">
        <v>36</v>
      </c>
      <c r="N865">
        <v>3</v>
      </c>
      <c r="O865" t="s">
        <v>53</v>
      </c>
      <c r="P865">
        <v>65</v>
      </c>
      <c r="Q865" t="s">
        <v>36</v>
      </c>
      <c r="R865" t="s">
        <v>37</v>
      </c>
      <c r="S865" t="s">
        <v>37</v>
      </c>
      <c r="T865" t="s">
        <v>49</v>
      </c>
      <c r="U865">
        <v>2</v>
      </c>
      <c r="V865" t="s">
        <v>41</v>
      </c>
      <c r="W865" t="s">
        <v>42</v>
      </c>
      <c r="X865" t="s">
        <v>36</v>
      </c>
      <c r="Y865" t="s">
        <v>47</v>
      </c>
      <c r="Z865" t="s">
        <v>37</v>
      </c>
      <c r="AA865">
        <v>2.65</v>
      </c>
      <c r="AB865" t="s">
        <v>37</v>
      </c>
      <c r="AC865">
        <v>3.68</v>
      </c>
      <c r="AD865">
        <v>140</v>
      </c>
      <c r="AE865">
        <v>110000</v>
      </c>
      <c r="AF865" t="str">
        <f>IF(Table1[[#This Row],[What is your current CGPA?]]&gt;=3.5,"High",IF(Table1[[#This Row],[What is your current CGPA?]]&gt;=2.5,"Medium","Low"))</f>
        <v>High</v>
      </c>
      <c r="AG865" t="str">
        <f>IF(AND(Table1[[#This Row],[Average attendance on class]]&lt;75,Table1[[#This Row],[How many hour do you study daily?]]&lt;1),"At Risk","Normal")</f>
        <v>Normal</v>
      </c>
      <c r="AH865">
        <f>(Table1[[#This Row],[Average attendance on class]]*0.4)+(Table1[[#This Row],[How many hour do you study daily?]]*10*0.3)+(Table1[[#This Row],[How many hour do you spent daily on your skill development?]]*10*0.3)</f>
        <v>35</v>
      </c>
    </row>
    <row r="866" spans="1:34" x14ac:dyDescent="0.25">
      <c r="A866">
        <v>2022</v>
      </c>
      <c r="B866" t="s">
        <v>34</v>
      </c>
      <c r="C866">
        <v>20</v>
      </c>
      <c r="D866">
        <v>2020</v>
      </c>
      <c r="E866" t="s">
        <v>35</v>
      </c>
      <c r="F866">
        <v>6</v>
      </c>
      <c r="G866" t="s">
        <v>37</v>
      </c>
      <c r="H866" t="s">
        <v>37</v>
      </c>
      <c r="I866">
        <v>2</v>
      </c>
      <c r="J866">
        <v>1</v>
      </c>
      <c r="K866" t="s">
        <v>38</v>
      </c>
      <c r="L866" t="s">
        <v>36</v>
      </c>
      <c r="M866" t="s">
        <v>36</v>
      </c>
      <c r="N866">
        <v>5</v>
      </c>
      <c r="O866" t="s">
        <v>39</v>
      </c>
      <c r="P866">
        <v>100</v>
      </c>
      <c r="Q866" t="s">
        <v>37</v>
      </c>
      <c r="R866" t="s">
        <v>37</v>
      </c>
      <c r="S866" t="s">
        <v>37</v>
      </c>
      <c r="T866" t="s">
        <v>51</v>
      </c>
      <c r="U866">
        <v>4</v>
      </c>
      <c r="V866" t="s">
        <v>59</v>
      </c>
      <c r="W866" t="s">
        <v>42</v>
      </c>
      <c r="X866" t="s">
        <v>37</v>
      </c>
      <c r="Y866" t="s">
        <v>47</v>
      </c>
      <c r="Z866" t="s">
        <v>37</v>
      </c>
      <c r="AA866">
        <v>2.8</v>
      </c>
      <c r="AB866" t="s">
        <v>37</v>
      </c>
      <c r="AC866">
        <v>3.91</v>
      </c>
      <c r="AD866">
        <v>77</v>
      </c>
      <c r="AE866">
        <v>110000</v>
      </c>
      <c r="AF866" t="str">
        <f>IF(Table1[[#This Row],[What is your current CGPA?]]&gt;=3.5,"High",IF(Table1[[#This Row],[What is your current CGPA?]]&gt;=2.5,"Medium","Low"))</f>
        <v>High</v>
      </c>
      <c r="AG866" t="str">
        <f>IF(AND(Table1[[#This Row],[Average attendance on class]]&lt;75,Table1[[#This Row],[How many hour do you study daily?]]&lt;1),"At Risk","Normal")</f>
        <v>Normal</v>
      </c>
      <c r="AH866">
        <f>(Table1[[#This Row],[Average attendance on class]]*0.4)+(Table1[[#This Row],[How many hour do you study daily?]]*10*0.3)+(Table1[[#This Row],[How many hour do you spent daily on your skill development?]]*10*0.3)</f>
        <v>58</v>
      </c>
    </row>
    <row r="867" spans="1:34" x14ac:dyDescent="0.25">
      <c r="A867">
        <v>2021</v>
      </c>
      <c r="B867" t="s">
        <v>48</v>
      </c>
      <c r="C867">
        <v>20</v>
      </c>
      <c r="D867">
        <v>2020</v>
      </c>
      <c r="E867" t="s">
        <v>35</v>
      </c>
      <c r="F867">
        <v>8</v>
      </c>
      <c r="G867" t="s">
        <v>37</v>
      </c>
      <c r="H867" t="s">
        <v>37</v>
      </c>
      <c r="I867">
        <v>5</v>
      </c>
      <c r="J867">
        <v>3</v>
      </c>
      <c r="K867" t="s">
        <v>38</v>
      </c>
      <c r="L867" t="s">
        <v>36</v>
      </c>
      <c r="M867" t="s">
        <v>36</v>
      </c>
      <c r="N867">
        <v>6</v>
      </c>
      <c r="O867" t="s">
        <v>39</v>
      </c>
      <c r="P867">
        <v>100</v>
      </c>
      <c r="Q867" t="s">
        <v>37</v>
      </c>
      <c r="R867" t="s">
        <v>37</v>
      </c>
      <c r="S867" t="s">
        <v>37</v>
      </c>
      <c r="T867" t="s">
        <v>51</v>
      </c>
      <c r="U867">
        <v>1</v>
      </c>
      <c r="V867" t="s">
        <v>59</v>
      </c>
      <c r="W867" t="s">
        <v>56</v>
      </c>
      <c r="X867" t="s">
        <v>36</v>
      </c>
      <c r="Y867" t="s">
        <v>47</v>
      </c>
      <c r="Z867" t="s">
        <v>37</v>
      </c>
      <c r="AA867">
        <v>1.46</v>
      </c>
      <c r="AB867" t="s">
        <v>37</v>
      </c>
      <c r="AC867">
        <v>2.67</v>
      </c>
      <c r="AD867">
        <v>101</v>
      </c>
      <c r="AE867">
        <v>110000</v>
      </c>
      <c r="AF867" t="str">
        <f>IF(Table1[[#This Row],[What is your current CGPA?]]&gt;=3.5,"High",IF(Table1[[#This Row],[What is your current CGPA?]]&gt;=2.5,"Medium","Low"))</f>
        <v>Medium</v>
      </c>
      <c r="AG867" t="str">
        <f>IF(AND(Table1[[#This Row],[Average attendance on class]]&lt;75,Table1[[#This Row],[How many hour do you study daily?]]&lt;1),"At Risk","Normal")</f>
        <v>Normal</v>
      </c>
      <c r="AH867">
        <f>(Table1[[#This Row],[Average attendance on class]]*0.4)+(Table1[[#This Row],[How many hour do you study daily?]]*10*0.3)+(Table1[[#This Row],[How many hour do you spent daily on your skill development?]]*10*0.3)</f>
        <v>58</v>
      </c>
    </row>
    <row r="868" spans="1:34" x14ac:dyDescent="0.25">
      <c r="A868">
        <v>2021</v>
      </c>
      <c r="B868" t="s">
        <v>48</v>
      </c>
      <c r="C868">
        <v>21</v>
      </c>
      <c r="D868">
        <v>2020</v>
      </c>
      <c r="E868" t="s">
        <v>35</v>
      </c>
      <c r="F868">
        <v>10</v>
      </c>
      <c r="G868" t="s">
        <v>37</v>
      </c>
      <c r="H868" t="s">
        <v>37</v>
      </c>
      <c r="I868">
        <v>2</v>
      </c>
      <c r="J868">
        <v>3</v>
      </c>
      <c r="K868" t="s">
        <v>38</v>
      </c>
      <c r="L868" t="s">
        <v>36</v>
      </c>
      <c r="M868" t="s">
        <v>36</v>
      </c>
      <c r="N868">
        <v>2</v>
      </c>
      <c r="O868" t="s">
        <v>39</v>
      </c>
      <c r="P868">
        <v>89</v>
      </c>
      <c r="Q868" t="s">
        <v>36</v>
      </c>
      <c r="R868" t="s">
        <v>37</v>
      </c>
      <c r="S868" t="s">
        <v>37</v>
      </c>
      <c r="T868" t="s">
        <v>40</v>
      </c>
      <c r="U868">
        <v>4</v>
      </c>
      <c r="V868" t="s">
        <v>62</v>
      </c>
      <c r="W868" t="s">
        <v>42</v>
      </c>
      <c r="X868" t="s">
        <v>37</v>
      </c>
      <c r="Y868" t="s">
        <v>43</v>
      </c>
      <c r="Z868" t="s">
        <v>37</v>
      </c>
      <c r="AA868">
        <v>1.67</v>
      </c>
      <c r="AB868" t="s">
        <v>37</v>
      </c>
      <c r="AC868">
        <v>2.73</v>
      </c>
      <c r="AD868">
        <v>134</v>
      </c>
      <c r="AE868">
        <v>110000</v>
      </c>
      <c r="AF868" t="str">
        <f>IF(Table1[[#This Row],[What is your current CGPA?]]&gt;=3.5,"High",IF(Table1[[#This Row],[What is your current CGPA?]]&gt;=2.5,"Medium","Low"))</f>
        <v>Medium</v>
      </c>
      <c r="AG868" t="str">
        <f>IF(AND(Table1[[#This Row],[Average attendance on class]]&lt;75,Table1[[#This Row],[How many hour do you study daily?]]&lt;1),"At Risk","Normal")</f>
        <v>Normal</v>
      </c>
      <c r="AH868">
        <f>(Table1[[#This Row],[Average attendance on class]]*0.4)+(Table1[[#This Row],[How many hour do you study daily?]]*10*0.3)+(Table1[[#This Row],[How many hour do you spent daily on your skill development?]]*10*0.3)</f>
        <v>53.6</v>
      </c>
    </row>
    <row r="869" spans="1:34" x14ac:dyDescent="0.25">
      <c r="A869">
        <v>2022</v>
      </c>
      <c r="B869" t="s">
        <v>34</v>
      </c>
      <c r="C869">
        <v>20</v>
      </c>
      <c r="D869">
        <v>2021</v>
      </c>
      <c r="E869" t="s">
        <v>35</v>
      </c>
      <c r="F869">
        <v>6</v>
      </c>
      <c r="G869" t="s">
        <v>37</v>
      </c>
      <c r="H869" t="s">
        <v>37</v>
      </c>
      <c r="I869">
        <v>3</v>
      </c>
      <c r="J869">
        <v>3</v>
      </c>
      <c r="K869" t="s">
        <v>38</v>
      </c>
      <c r="L869" t="s">
        <v>36</v>
      </c>
      <c r="M869" t="s">
        <v>36</v>
      </c>
      <c r="N869">
        <v>3</v>
      </c>
      <c r="O869" t="s">
        <v>53</v>
      </c>
      <c r="P869">
        <v>62</v>
      </c>
      <c r="Q869" t="s">
        <v>36</v>
      </c>
      <c r="R869" t="s">
        <v>37</v>
      </c>
      <c r="S869" t="s">
        <v>37</v>
      </c>
      <c r="T869" t="s">
        <v>49</v>
      </c>
      <c r="U869">
        <v>1</v>
      </c>
      <c r="V869" t="s">
        <v>41</v>
      </c>
      <c r="W869" t="s">
        <v>42</v>
      </c>
      <c r="X869" t="s">
        <v>36</v>
      </c>
      <c r="Y869" t="s">
        <v>43</v>
      </c>
      <c r="Z869" t="s">
        <v>37</v>
      </c>
      <c r="AA869">
        <v>1.35</v>
      </c>
      <c r="AB869" t="s">
        <v>37</v>
      </c>
      <c r="AC869">
        <v>2.58</v>
      </c>
      <c r="AD869">
        <v>77</v>
      </c>
      <c r="AE869">
        <v>114000</v>
      </c>
      <c r="AF869" t="str">
        <f>IF(Table1[[#This Row],[What is your current CGPA?]]&gt;=3.5,"High",IF(Table1[[#This Row],[What is your current CGPA?]]&gt;=2.5,"Medium","Low"))</f>
        <v>Medium</v>
      </c>
      <c r="AG869" t="str">
        <f>IF(AND(Table1[[#This Row],[Average attendance on class]]&lt;75,Table1[[#This Row],[How many hour do you study daily?]]&lt;1),"At Risk","Normal")</f>
        <v>Normal</v>
      </c>
      <c r="AH869">
        <f>(Table1[[#This Row],[Average attendance on class]]*0.4)+(Table1[[#This Row],[How many hour do you study daily?]]*10*0.3)+(Table1[[#This Row],[How many hour do you spent daily on your skill development?]]*10*0.3)</f>
        <v>36.799999999999997</v>
      </c>
    </row>
    <row r="870" spans="1:34" x14ac:dyDescent="0.25">
      <c r="A870">
        <v>2021</v>
      </c>
      <c r="B870" t="s">
        <v>34</v>
      </c>
      <c r="C870">
        <v>21</v>
      </c>
      <c r="D870">
        <v>2020</v>
      </c>
      <c r="E870" t="s">
        <v>35</v>
      </c>
      <c r="F870">
        <v>7</v>
      </c>
      <c r="G870" t="s">
        <v>37</v>
      </c>
      <c r="H870" t="s">
        <v>37</v>
      </c>
      <c r="I870">
        <v>3</v>
      </c>
      <c r="J870">
        <v>1</v>
      </c>
      <c r="K870" t="s">
        <v>38</v>
      </c>
      <c r="L870" t="s">
        <v>36</v>
      </c>
      <c r="M870" t="s">
        <v>36</v>
      </c>
      <c r="N870">
        <v>2</v>
      </c>
      <c r="O870" t="s">
        <v>53</v>
      </c>
      <c r="P870">
        <v>78</v>
      </c>
      <c r="Q870" t="s">
        <v>37</v>
      </c>
      <c r="R870" t="s">
        <v>37</v>
      </c>
      <c r="S870" t="s">
        <v>37</v>
      </c>
      <c r="T870" t="s">
        <v>40</v>
      </c>
      <c r="U870">
        <v>2</v>
      </c>
      <c r="V870" t="s">
        <v>40</v>
      </c>
      <c r="W870" t="s">
        <v>50</v>
      </c>
      <c r="X870" t="s">
        <v>37</v>
      </c>
      <c r="Y870" t="s">
        <v>47</v>
      </c>
      <c r="Z870" t="s">
        <v>37</v>
      </c>
      <c r="AA870">
        <v>2.56</v>
      </c>
      <c r="AB870" t="s">
        <v>37</v>
      </c>
      <c r="AC870">
        <v>3.66</v>
      </c>
      <c r="AD870">
        <v>88</v>
      </c>
      <c r="AE870">
        <v>115000</v>
      </c>
      <c r="AF870" t="str">
        <f>IF(Table1[[#This Row],[What is your current CGPA?]]&gt;=3.5,"High",IF(Table1[[#This Row],[What is your current CGPA?]]&gt;=2.5,"Medium","Low"))</f>
        <v>High</v>
      </c>
      <c r="AG870" t="str">
        <f>IF(AND(Table1[[#This Row],[Average attendance on class]]&lt;75,Table1[[#This Row],[How many hour do you study daily?]]&lt;1),"At Risk","Normal")</f>
        <v>Normal</v>
      </c>
      <c r="AH870">
        <f>(Table1[[#This Row],[Average attendance on class]]*0.4)+(Table1[[#This Row],[How many hour do you study daily?]]*10*0.3)+(Table1[[#This Row],[How many hour do you spent daily on your skill development?]]*10*0.3)</f>
        <v>46.2</v>
      </c>
    </row>
    <row r="871" spans="1:34" x14ac:dyDescent="0.25">
      <c r="A871">
        <v>2022</v>
      </c>
      <c r="B871" t="s">
        <v>48</v>
      </c>
      <c r="C871">
        <v>19</v>
      </c>
      <c r="D871">
        <v>2022</v>
      </c>
      <c r="E871" t="s">
        <v>35</v>
      </c>
      <c r="F871">
        <v>3</v>
      </c>
      <c r="G871" t="s">
        <v>37</v>
      </c>
      <c r="H871" t="s">
        <v>37</v>
      </c>
      <c r="I871">
        <v>1</v>
      </c>
      <c r="J871">
        <v>1</v>
      </c>
      <c r="K871" t="s">
        <v>44</v>
      </c>
      <c r="L871" t="s">
        <v>36</v>
      </c>
      <c r="M871" t="s">
        <v>36</v>
      </c>
      <c r="N871">
        <v>5</v>
      </c>
      <c r="O871" t="s">
        <v>53</v>
      </c>
      <c r="P871">
        <v>100</v>
      </c>
      <c r="Q871" t="s">
        <v>37</v>
      </c>
      <c r="R871" t="s">
        <v>37</v>
      </c>
      <c r="S871" t="s">
        <v>37</v>
      </c>
      <c r="T871" t="s">
        <v>61</v>
      </c>
      <c r="U871">
        <v>3</v>
      </c>
      <c r="V871" t="s">
        <v>62</v>
      </c>
      <c r="W871" t="s">
        <v>42</v>
      </c>
      <c r="X871" t="s">
        <v>37</v>
      </c>
      <c r="Y871" t="s">
        <v>47</v>
      </c>
      <c r="Z871" t="s">
        <v>37</v>
      </c>
      <c r="AA871">
        <v>2.67</v>
      </c>
      <c r="AB871" t="s">
        <v>37</v>
      </c>
      <c r="AC871">
        <v>3.78</v>
      </c>
      <c r="AD871">
        <v>32</v>
      </c>
      <c r="AE871">
        <v>115000</v>
      </c>
      <c r="AF871" t="str">
        <f>IF(Table1[[#This Row],[What is your current CGPA?]]&gt;=3.5,"High",IF(Table1[[#This Row],[What is your current CGPA?]]&gt;=2.5,"Medium","Low"))</f>
        <v>High</v>
      </c>
      <c r="AG871" t="str">
        <f>IF(AND(Table1[[#This Row],[Average attendance on class]]&lt;75,Table1[[#This Row],[How many hour do you study daily?]]&lt;1),"At Risk","Normal")</f>
        <v>Normal</v>
      </c>
      <c r="AH871">
        <f>(Table1[[#This Row],[Average attendance on class]]*0.4)+(Table1[[#This Row],[How many hour do you study daily?]]*10*0.3)+(Table1[[#This Row],[How many hour do you spent daily on your skill development?]]*10*0.3)</f>
        <v>52</v>
      </c>
    </row>
    <row r="872" spans="1:34" x14ac:dyDescent="0.25">
      <c r="A872">
        <v>2022</v>
      </c>
      <c r="B872" t="s">
        <v>48</v>
      </c>
      <c r="C872">
        <v>20</v>
      </c>
      <c r="D872">
        <v>2020</v>
      </c>
      <c r="E872" t="s">
        <v>35</v>
      </c>
      <c r="F872">
        <v>5</v>
      </c>
      <c r="G872" t="s">
        <v>37</v>
      </c>
      <c r="H872" t="s">
        <v>37</v>
      </c>
      <c r="I872">
        <v>2</v>
      </c>
      <c r="J872">
        <v>2</v>
      </c>
      <c r="K872" t="s">
        <v>38</v>
      </c>
      <c r="L872" t="s">
        <v>36</v>
      </c>
      <c r="M872" t="s">
        <v>36</v>
      </c>
      <c r="N872">
        <v>1</v>
      </c>
      <c r="O872" t="s">
        <v>53</v>
      </c>
      <c r="P872">
        <v>41</v>
      </c>
      <c r="Q872" t="s">
        <v>37</v>
      </c>
      <c r="R872" t="s">
        <v>37</v>
      </c>
      <c r="S872" t="s">
        <v>36</v>
      </c>
      <c r="T872" t="s">
        <v>52</v>
      </c>
      <c r="U872">
        <v>2</v>
      </c>
      <c r="V872" t="s">
        <v>41</v>
      </c>
      <c r="W872" t="s">
        <v>42</v>
      </c>
      <c r="X872" t="s">
        <v>36</v>
      </c>
      <c r="Y872" t="s">
        <v>43</v>
      </c>
      <c r="Z872" t="s">
        <v>37</v>
      </c>
      <c r="AA872">
        <v>2.56</v>
      </c>
      <c r="AB872" t="s">
        <v>37</v>
      </c>
      <c r="AC872">
        <v>3.61</v>
      </c>
      <c r="AD872">
        <v>68</v>
      </c>
      <c r="AE872">
        <v>116000</v>
      </c>
      <c r="AF872" t="str">
        <f>IF(Table1[[#This Row],[What is your current CGPA?]]&gt;=3.5,"High",IF(Table1[[#This Row],[What is your current CGPA?]]&gt;=2.5,"Medium","Low"))</f>
        <v>High</v>
      </c>
      <c r="AG872" t="str">
        <f>IF(AND(Table1[[#This Row],[Average attendance on class]]&lt;75,Table1[[#This Row],[How many hour do you study daily?]]&lt;1),"At Risk","Normal")</f>
        <v>Normal</v>
      </c>
      <c r="AH872">
        <f>(Table1[[#This Row],[Average attendance on class]]*0.4)+(Table1[[#This Row],[How many hour do you study daily?]]*10*0.3)+(Table1[[#This Row],[How many hour do you spent daily on your skill development?]]*10*0.3)</f>
        <v>28.400000000000002</v>
      </c>
    </row>
    <row r="873" spans="1:34" x14ac:dyDescent="0.25">
      <c r="A873">
        <v>2020</v>
      </c>
      <c r="B873" t="s">
        <v>34</v>
      </c>
      <c r="C873">
        <v>25</v>
      </c>
      <c r="D873">
        <v>2019</v>
      </c>
      <c r="E873" t="s">
        <v>35</v>
      </c>
      <c r="F873">
        <v>10</v>
      </c>
      <c r="G873" t="s">
        <v>37</v>
      </c>
      <c r="H873" t="s">
        <v>37</v>
      </c>
      <c r="I873">
        <v>2</v>
      </c>
      <c r="J873">
        <v>3</v>
      </c>
      <c r="K873" t="s">
        <v>38</v>
      </c>
      <c r="L873" t="s">
        <v>36</v>
      </c>
      <c r="M873" t="s">
        <v>36</v>
      </c>
      <c r="N873">
        <v>2</v>
      </c>
      <c r="O873" t="s">
        <v>39</v>
      </c>
      <c r="P873">
        <v>86</v>
      </c>
      <c r="Q873" t="s">
        <v>36</v>
      </c>
      <c r="R873" t="s">
        <v>37</v>
      </c>
      <c r="S873" t="s">
        <v>37</v>
      </c>
      <c r="T873" t="s">
        <v>51</v>
      </c>
      <c r="U873">
        <v>2</v>
      </c>
      <c r="V873" t="s">
        <v>59</v>
      </c>
      <c r="W873" t="s">
        <v>42</v>
      </c>
      <c r="X873" t="s">
        <v>37</v>
      </c>
      <c r="Y873" t="s">
        <v>43</v>
      </c>
      <c r="Z873" t="s">
        <v>37</v>
      </c>
      <c r="AA873">
        <v>2.67</v>
      </c>
      <c r="AB873" t="s">
        <v>37</v>
      </c>
      <c r="AC873">
        <v>3.75</v>
      </c>
      <c r="AD873">
        <v>140</v>
      </c>
      <c r="AE873">
        <v>117000</v>
      </c>
      <c r="AF873" t="str">
        <f>IF(Table1[[#This Row],[What is your current CGPA?]]&gt;=3.5,"High",IF(Table1[[#This Row],[What is your current CGPA?]]&gt;=2.5,"Medium","Low"))</f>
        <v>High</v>
      </c>
      <c r="AG873" t="str">
        <f>IF(AND(Table1[[#This Row],[Average attendance on class]]&lt;75,Table1[[#This Row],[How many hour do you study daily?]]&lt;1),"At Risk","Normal")</f>
        <v>Normal</v>
      </c>
      <c r="AH873">
        <f>(Table1[[#This Row],[Average attendance on class]]*0.4)+(Table1[[#This Row],[How many hour do you study daily?]]*10*0.3)+(Table1[[#This Row],[How many hour do you spent daily on your skill development?]]*10*0.3)</f>
        <v>46.4</v>
      </c>
    </row>
    <row r="874" spans="1:34" x14ac:dyDescent="0.25">
      <c r="A874">
        <v>2022</v>
      </c>
      <c r="B874" t="s">
        <v>34</v>
      </c>
      <c r="C874">
        <v>20</v>
      </c>
      <c r="D874">
        <v>2021</v>
      </c>
      <c r="E874" t="s">
        <v>35</v>
      </c>
      <c r="F874">
        <v>6</v>
      </c>
      <c r="G874" t="s">
        <v>37</v>
      </c>
      <c r="H874" t="s">
        <v>37</v>
      </c>
      <c r="I874">
        <v>3</v>
      </c>
      <c r="J874">
        <v>3</v>
      </c>
      <c r="K874" t="s">
        <v>38</v>
      </c>
      <c r="L874" t="s">
        <v>36</v>
      </c>
      <c r="M874" t="s">
        <v>36</v>
      </c>
      <c r="N874">
        <v>2</v>
      </c>
      <c r="O874" t="s">
        <v>45</v>
      </c>
      <c r="P874">
        <v>100</v>
      </c>
      <c r="Q874" t="s">
        <v>37</v>
      </c>
      <c r="R874" t="s">
        <v>37</v>
      </c>
      <c r="S874" t="s">
        <v>36</v>
      </c>
      <c r="T874" t="s">
        <v>40</v>
      </c>
      <c r="U874">
        <v>1</v>
      </c>
      <c r="V874" t="s">
        <v>40</v>
      </c>
      <c r="W874" t="s">
        <v>50</v>
      </c>
      <c r="X874" t="s">
        <v>37</v>
      </c>
      <c r="Y874" t="s">
        <v>43</v>
      </c>
      <c r="Z874" t="s">
        <v>37</v>
      </c>
      <c r="AA874">
        <v>2.46</v>
      </c>
      <c r="AB874" t="s">
        <v>37</v>
      </c>
      <c r="AC874">
        <v>3.55</v>
      </c>
      <c r="AD874">
        <v>89</v>
      </c>
      <c r="AE874">
        <v>120000</v>
      </c>
      <c r="AF874" t="str">
        <f>IF(Table1[[#This Row],[What is your current CGPA?]]&gt;=3.5,"High",IF(Table1[[#This Row],[What is your current CGPA?]]&gt;=2.5,"Medium","Low"))</f>
        <v>High</v>
      </c>
      <c r="AG874" t="str">
        <f>IF(AND(Table1[[#This Row],[Average attendance on class]]&lt;75,Table1[[#This Row],[How many hour do you study daily?]]&lt;1),"At Risk","Normal")</f>
        <v>Normal</v>
      </c>
      <c r="AH874">
        <f>(Table1[[#This Row],[Average attendance on class]]*0.4)+(Table1[[#This Row],[How many hour do you study daily?]]*10*0.3)+(Table1[[#This Row],[How many hour do you spent daily on your skill development?]]*10*0.3)</f>
        <v>52</v>
      </c>
    </row>
    <row r="875" spans="1:34" x14ac:dyDescent="0.25">
      <c r="A875">
        <v>2020</v>
      </c>
      <c r="B875" t="s">
        <v>34</v>
      </c>
      <c r="C875">
        <v>24</v>
      </c>
      <c r="D875">
        <v>2019</v>
      </c>
      <c r="E875" t="s">
        <v>35</v>
      </c>
      <c r="F875">
        <v>10</v>
      </c>
      <c r="G875" t="s">
        <v>37</v>
      </c>
      <c r="H875" t="s">
        <v>37</v>
      </c>
      <c r="I875">
        <v>1</v>
      </c>
      <c r="J875">
        <v>2</v>
      </c>
      <c r="K875" t="s">
        <v>38</v>
      </c>
      <c r="L875" t="s">
        <v>36</v>
      </c>
      <c r="M875" t="s">
        <v>36</v>
      </c>
      <c r="N875">
        <v>3</v>
      </c>
      <c r="O875" t="s">
        <v>39</v>
      </c>
      <c r="P875">
        <v>83</v>
      </c>
      <c r="Q875" t="s">
        <v>36</v>
      </c>
      <c r="R875" t="s">
        <v>37</v>
      </c>
      <c r="S875" t="s">
        <v>36</v>
      </c>
      <c r="T875" t="s">
        <v>51</v>
      </c>
      <c r="U875">
        <v>2</v>
      </c>
      <c r="V875" t="s">
        <v>59</v>
      </c>
      <c r="W875" t="s">
        <v>56</v>
      </c>
      <c r="X875" t="s">
        <v>36</v>
      </c>
      <c r="Y875" t="s">
        <v>47</v>
      </c>
      <c r="Z875" t="s">
        <v>37</v>
      </c>
      <c r="AA875">
        <v>1.44</v>
      </c>
      <c r="AB875" t="s">
        <v>37</v>
      </c>
      <c r="AC875">
        <v>2.65</v>
      </c>
      <c r="AD875">
        <v>136</v>
      </c>
      <c r="AE875">
        <v>123000</v>
      </c>
      <c r="AF875" t="str">
        <f>IF(Table1[[#This Row],[What is your current CGPA?]]&gt;=3.5,"High",IF(Table1[[#This Row],[What is your current CGPA?]]&gt;=2.5,"Medium","Low"))</f>
        <v>Medium</v>
      </c>
      <c r="AG875" t="str">
        <f>IF(AND(Table1[[#This Row],[Average attendance on class]]&lt;75,Table1[[#This Row],[How many hour do you study daily?]]&lt;1),"At Risk","Normal")</f>
        <v>Normal</v>
      </c>
      <c r="AH875">
        <f>(Table1[[#This Row],[Average attendance on class]]*0.4)+(Table1[[#This Row],[How many hour do you study daily?]]*10*0.3)+(Table1[[#This Row],[How many hour do you spent daily on your skill development?]]*10*0.3)</f>
        <v>42.2</v>
      </c>
    </row>
    <row r="876" spans="1:34" x14ac:dyDescent="0.25">
      <c r="A876">
        <v>2020</v>
      </c>
      <c r="B876" t="s">
        <v>48</v>
      </c>
      <c r="C876">
        <v>24</v>
      </c>
      <c r="D876">
        <v>2019</v>
      </c>
      <c r="E876" t="s">
        <v>35</v>
      </c>
      <c r="F876">
        <v>11</v>
      </c>
      <c r="G876" t="s">
        <v>37</v>
      </c>
      <c r="H876" t="s">
        <v>37</v>
      </c>
      <c r="I876">
        <v>3</v>
      </c>
      <c r="J876">
        <v>2</v>
      </c>
      <c r="K876" t="s">
        <v>38</v>
      </c>
      <c r="L876" t="s">
        <v>36</v>
      </c>
      <c r="M876" t="s">
        <v>36</v>
      </c>
      <c r="N876">
        <v>1</v>
      </c>
      <c r="O876" t="s">
        <v>45</v>
      </c>
      <c r="P876">
        <v>100</v>
      </c>
      <c r="Q876" t="s">
        <v>37</v>
      </c>
      <c r="R876" t="s">
        <v>37</v>
      </c>
      <c r="S876" t="s">
        <v>37</v>
      </c>
      <c r="T876" t="s">
        <v>40</v>
      </c>
      <c r="U876">
        <v>4</v>
      </c>
      <c r="V876" t="s">
        <v>40</v>
      </c>
      <c r="W876" t="s">
        <v>50</v>
      </c>
      <c r="X876" t="s">
        <v>36</v>
      </c>
      <c r="Y876" t="s">
        <v>43</v>
      </c>
      <c r="Z876" t="s">
        <v>37</v>
      </c>
      <c r="AA876">
        <v>2.5299999999999998</v>
      </c>
      <c r="AB876" t="s">
        <v>37</v>
      </c>
      <c r="AC876">
        <v>3.62</v>
      </c>
      <c r="AD876">
        <v>143</v>
      </c>
      <c r="AE876">
        <v>128000</v>
      </c>
      <c r="AF876" t="str">
        <f>IF(Table1[[#This Row],[What is your current CGPA?]]&gt;=3.5,"High",IF(Table1[[#This Row],[What is your current CGPA?]]&gt;=2.5,"Medium","Low"))</f>
        <v>High</v>
      </c>
      <c r="AG876" t="str">
        <f>IF(AND(Table1[[#This Row],[Average attendance on class]]&lt;75,Table1[[#This Row],[How many hour do you study daily?]]&lt;1),"At Risk","Normal")</f>
        <v>Normal</v>
      </c>
      <c r="AH876">
        <f>(Table1[[#This Row],[Average attendance on class]]*0.4)+(Table1[[#This Row],[How many hour do you study daily?]]*10*0.3)+(Table1[[#This Row],[How many hour do you spent daily on your skill development?]]*10*0.3)</f>
        <v>61</v>
      </c>
    </row>
    <row r="877" spans="1:34" x14ac:dyDescent="0.25">
      <c r="A877">
        <v>2019</v>
      </c>
      <c r="B877" t="s">
        <v>48</v>
      </c>
      <c r="C877">
        <v>25</v>
      </c>
      <c r="D877">
        <v>2019</v>
      </c>
      <c r="E877" t="s">
        <v>35</v>
      </c>
      <c r="F877">
        <v>11</v>
      </c>
      <c r="G877" t="s">
        <v>37</v>
      </c>
      <c r="H877" t="s">
        <v>37</v>
      </c>
      <c r="I877">
        <v>2</v>
      </c>
      <c r="J877">
        <v>2</v>
      </c>
      <c r="K877" t="s">
        <v>38</v>
      </c>
      <c r="L877" t="s">
        <v>36</v>
      </c>
      <c r="M877" t="s">
        <v>36</v>
      </c>
      <c r="N877">
        <v>5</v>
      </c>
      <c r="O877" t="s">
        <v>45</v>
      </c>
      <c r="P877">
        <v>100</v>
      </c>
      <c r="Q877" t="s">
        <v>37</v>
      </c>
      <c r="R877" t="s">
        <v>37</v>
      </c>
      <c r="S877" t="s">
        <v>37</v>
      </c>
      <c r="T877" t="s">
        <v>40</v>
      </c>
      <c r="U877">
        <v>3</v>
      </c>
      <c r="V877" t="s">
        <v>40</v>
      </c>
      <c r="W877" t="s">
        <v>42</v>
      </c>
      <c r="X877" t="s">
        <v>36</v>
      </c>
      <c r="Y877" t="s">
        <v>47</v>
      </c>
      <c r="Z877" t="s">
        <v>37</v>
      </c>
      <c r="AA877">
        <v>2.79</v>
      </c>
      <c r="AB877" t="s">
        <v>37</v>
      </c>
      <c r="AC877">
        <v>3.88</v>
      </c>
      <c r="AD877">
        <v>141</v>
      </c>
      <c r="AE877">
        <v>130000</v>
      </c>
      <c r="AF877" t="str">
        <f>IF(Table1[[#This Row],[What is your current CGPA?]]&gt;=3.5,"High",IF(Table1[[#This Row],[What is your current CGPA?]]&gt;=2.5,"Medium","Low"))</f>
        <v>High</v>
      </c>
      <c r="AG877" t="str">
        <f>IF(AND(Table1[[#This Row],[Average attendance on class]]&lt;75,Table1[[#This Row],[How many hour do you study daily?]]&lt;1),"At Risk","Normal")</f>
        <v>Normal</v>
      </c>
      <c r="AH877">
        <f>(Table1[[#This Row],[Average attendance on class]]*0.4)+(Table1[[#This Row],[How many hour do you study daily?]]*10*0.3)+(Table1[[#This Row],[How many hour do you spent daily on your skill development?]]*10*0.3)</f>
        <v>55</v>
      </c>
    </row>
    <row r="878" spans="1:34" x14ac:dyDescent="0.25">
      <c r="A878">
        <v>2021</v>
      </c>
      <c r="B878" t="s">
        <v>48</v>
      </c>
      <c r="C878">
        <v>20</v>
      </c>
      <c r="D878">
        <v>2020</v>
      </c>
      <c r="E878" t="s">
        <v>35</v>
      </c>
      <c r="F878">
        <v>9</v>
      </c>
      <c r="G878" t="s">
        <v>36</v>
      </c>
      <c r="H878" t="s">
        <v>37</v>
      </c>
      <c r="I878">
        <v>3</v>
      </c>
      <c r="J878">
        <v>1</v>
      </c>
      <c r="K878" t="s">
        <v>38</v>
      </c>
      <c r="L878" t="s">
        <v>36</v>
      </c>
      <c r="M878" t="s">
        <v>36</v>
      </c>
      <c r="N878">
        <v>3</v>
      </c>
      <c r="O878" t="s">
        <v>39</v>
      </c>
      <c r="P878">
        <v>100</v>
      </c>
      <c r="Q878" t="s">
        <v>36</v>
      </c>
      <c r="R878" t="s">
        <v>37</v>
      </c>
      <c r="S878" t="s">
        <v>36</v>
      </c>
      <c r="T878" t="s">
        <v>40</v>
      </c>
      <c r="U878">
        <v>4</v>
      </c>
      <c r="V878" t="s">
        <v>40</v>
      </c>
      <c r="W878" t="s">
        <v>42</v>
      </c>
      <c r="X878" t="s">
        <v>36</v>
      </c>
      <c r="Y878" t="s">
        <v>47</v>
      </c>
      <c r="Z878" t="s">
        <v>37</v>
      </c>
      <c r="AA878">
        <v>2.75</v>
      </c>
      <c r="AB878" t="s">
        <v>37</v>
      </c>
      <c r="AC878">
        <v>3.82</v>
      </c>
      <c r="AD878">
        <v>103</v>
      </c>
      <c r="AE878">
        <v>130000</v>
      </c>
      <c r="AF878" t="str">
        <f>IF(Table1[[#This Row],[What is your current CGPA?]]&gt;=3.5,"High",IF(Table1[[#This Row],[What is your current CGPA?]]&gt;=2.5,"Medium","Low"))</f>
        <v>High</v>
      </c>
      <c r="AG878" t="str">
        <f>IF(AND(Table1[[#This Row],[Average attendance on class]]&lt;75,Table1[[#This Row],[How many hour do you study daily?]]&lt;1),"At Risk","Normal")</f>
        <v>Normal</v>
      </c>
      <c r="AH878">
        <f>(Table1[[#This Row],[Average attendance on class]]*0.4)+(Table1[[#This Row],[How many hour do you study daily?]]*10*0.3)+(Table1[[#This Row],[How many hour do you spent daily on your skill development?]]*10*0.3)</f>
        <v>61</v>
      </c>
    </row>
    <row r="879" spans="1:34" x14ac:dyDescent="0.25">
      <c r="A879">
        <v>2022</v>
      </c>
      <c r="B879" t="s">
        <v>34</v>
      </c>
      <c r="C879">
        <v>21</v>
      </c>
      <c r="D879">
        <v>2021</v>
      </c>
      <c r="E879" t="s">
        <v>35</v>
      </c>
      <c r="F879">
        <v>6</v>
      </c>
      <c r="G879" t="s">
        <v>37</v>
      </c>
      <c r="H879" t="s">
        <v>37</v>
      </c>
      <c r="I879">
        <v>1</v>
      </c>
      <c r="J879">
        <v>3</v>
      </c>
      <c r="K879" t="s">
        <v>38</v>
      </c>
      <c r="L879" t="s">
        <v>36</v>
      </c>
      <c r="M879" t="s">
        <v>36</v>
      </c>
      <c r="N879">
        <v>2</v>
      </c>
      <c r="O879" t="s">
        <v>53</v>
      </c>
      <c r="P879">
        <v>100</v>
      </c>
      <c r="Q879" t="s">
        <v>36</v>
      </c>
      <c r="R879" t="s">
        <v>37</v>
      </c>
      <c r="S879" t="s">
        <v>37</v>
      </c>
      <c r="T879" t="s">
        <v>40</v>
      </c>
      <c r="U879">
        <v>4</v>
      </c>
      <c r="V879" t="s">
        <v>62</v>
      </c>
      <c r="W879" t="s">
        <v>56</v>
      </c>
      <c r="X879" t="s">
        <v>36</v>
      </c>
      <c r="Y879" t="s">
        <v>47</v>
      </c>
      <c r="Z879" t="s">
        <v>36</v>
      </c>
      <c r="AA879">
        <v>1.68</v>
      </c>
      <c r="AB879" t="s">
        <v>37</v>
      </c>
      <c r="AC879">
        <v>2.73</v>
      </c>
      <c r="AD879">
        <v>88</v>
      </c>
      <c r="AE879">
        <v>130000</v>
      </c>
      <c r="AF879" t="str">
        <f>IF(Table1[[#This Row],[What is your current CGPA?]]&gt;=3.5,"High",IF(Table1[[#This Row],[What is your current CGPA?]]&gt;=2.5,"Medium","Low"))</f>
        <v>Medium</v>
      </c>
      <c r="AG879" t="str">
        <f>IF(AND(Table1[[#This Row],[Average attendance on class]]&lt;75,Table1[[#This Row],[How many hour do you study daily?]]&lt;1),"At Risk","Normal")</f>
        <v>Normal</v>
      </c>
      <c r="AH879">
        <f>(Table1[[#This Row],[Average attendance on class]]*0.4)+(Table1[[#This Row],[How many hour do you study daily?]]*10*0.3)+(Table1[[#This Row],[How many hour do you spent daily on your skill development?]]*10*0.3)</f>
        <v>55</v>
      </c>
    </row>
    <row r="880" spans="1:34" x14ac:dyDescent="0.25">
      <c r="A880">
        <v>2022</v>
      </c>
      <c r="B880" t="s">
        <v>48</v>
      </c>
      <c r="C880">
        <v>20</v>
      </c>
      <c r="D880">
        <v>2021</v>
      </c>
      <c r="E880" t="s">
        <v>35</v>
      </c>
      <c r="F880">
        <v>5</v>
      </c>
      <c r="G880" t="s">
        <v>37</v>
      </c>
      <c r="H880" t="s">
        <v>37</v>
      </c>
      <c r="I880">
        <v>4</v>
      </c>
      <c r="J880">
        <v>1</v>
      </c>
      <c r="K880" t="s">
        <v>44</v>
      </c>
      <c r="L880" t="s">
        <v>36</v>
      </c>
      <c r="M880" t="s">
        <v>36</v>
      </c>
      <c r="N880">
        <v>2</v>
      </c>
      <c r="O880" t="s">
        <v>39</v>
      </c>
      <c r="P880">
        <v>77</v>
      </c>
      <c r="Q880" t="s">
        <v>36</v>
      </c>
      <c r="R880" t="s">
        <v>37</v>
      </c>
      <c r="S880" t="s">
        <v>36</v>
      </c>
      <c r="T880" t="s">
        <v>40</v>
      </c>
      <c r="U880">
        <v>4</v>
      </c>
      <c r="V880" t="s">
        <v>40</v>
      </c>
      <c r="W880" t="s">
        <v>56</v>
      </c>
      <c r="X880" t="s">
        <v>37</v>
      </c>
      <c r="Y880" t="s">
        <v>47</v>
      </c>
      <c r="Z880" t="s">
        <v>37</v>
      </c>
      <c r="AA880">
        <v>1.67</v>
      </c>
      <c r="AB880" t="s">
        <v>37</v>
      </c>
      <c r="AC880">
        <v>2.77</v>
      </c>
      <c r="AD880">
        <v>58</v>
      </c>
      <c r="AE880">
        <v>130000</v>
      </c>
      <c r="AF880" t="str">
        <f>IF(Table1[[#This Row],[What is your current CGPA?]]&gt;=3.5,"High",IF(Table1[[#This Row],[What is your current CGPA?]]&gt;=2.5,"Medium","Low"))</f>
        <v>Medium</v>
      </c>
      <c r="AG880" t="str">
        <f>IF(AND(Table1[[#This Row],[Average attendance on class]]&lt;75,Table1[[#This Row],[How many hour do you study daily?]]&lt;1),"At Risk","Normal")</f>
        <v>Normal</v>
      </c>
      <c r="AH880">
        <f>(Table1[[#This Row],[Average attendance on class]]*0.4)+(Table1[[#This Row],[How many hour do you study daily?]]*10*0.3)+(Table1[[#This Row],[How many hour do you spent daily on your skill development?]]*10*0.3)</f>
        <v>54.8</v>
      </c>
    </row>
    <row r="881" spans="1:34" x14ac:dyDescent="0.25">
      <c r="A881">
        <v>2020</v>
      </c>
      <c r="B881" t="s">
        <v>34</v>
      </c>
      <c r="C881">
        <v>20</v>
      </c>
      <c r="D881">
        <v>2020</v>
      </c>
      <c r="E881" t="s">
        <v>35</v>
      </c>
      <c r="F881">
        <v>10</v>
      </c>
      <c r="G881" t="s">
        <v>36</v>
      </c>
      <c r="H881" t="s">
        <v>37</v>
      </c>
      <c r="I881">
        <v>2</v>
      </c>
      <c r="J881">
        <v>2</v>
      </c>
      <c r="K881" t="s">
        <v>38</v>
      </c>
      <c r="L881" t="s">
        <v>36</v>
      </c>
      <c r="M881" t="s">
        <v>36</v>
      </c>
      <c r="N881">
        <v>3</v>
      </c>
      <c r="O881" t="s">
        <v>53</v>
      </c>
      <c r="P881">
        <v>84</v>
      </c>
      <c r="Q881" t="s">
        <v>37</v>
      </c>
      <c r="R881" t="s">
        <v>37</v>
      </c>
      <c r="S881" t="s">
        <v>36</v>
      </c>
      <c r="T881" t="s">
        <v>40</v>
      </c>
      <c r="U881">
        <v>4</v>
      </c>
      <c r="V881" t="s">
        <v>40</v>
      </c>
      <c r="W881" t="s">
        <v>50</v>
      </c>
      <c r="X881" t="s">
        <v>37</v>
      </c>
      <c r="Y881" t="s">
        <v>43</v>
      </c>
      <c r="Z881" t="s">
        <v>37</v>
      </c>
      <c r="AA881">
        <v>1.76</v>
      </c>
      <c r="AB881" t="s">
        <v>37</v>
      </c>
      <c r="AC881">
        <v>2.8</v>
      </c>
      <c r="AD881">
        <v>122</v>
      </c>
      <c r="AE881">
        <v>134000</v>
      </c>
      <c r="AF881" t="str">
        <f>IF(Table1[[#This Row],[What is your current CGPA?]]&gt;=3.5,"High",IF(Table1[[#This Row],[What is your current CGPA?]]&gt;=2.5,"Medium","Low"))</f>
        <v>Medium</v>
      </c>
      <c r="AG881" t="str">
        <f>IF(AND(Table1[[#This Row],[Average attendance on class]]&lt;75,Table1[[#This Row],[How many hour do you study daily?]]&lt;1),"At Risk","Normal")</f>
        <v>Normal</v>
      </c>
      <c r="AH881">
        <f>(Table1[[#This Row],[Average attendance on class]]*0.4)+(Table1[[#This Row],[How many hour do you study daily?]]*10*0.3)+(Table1[[#This Row],[How many hour do you spent daily on your skill development?]]*10*0.3)</f>
        <v>51.6</v>
      </c>
    </row>
    <row r="882" spans="1:34" x14ac:dyDescent="0.25">
      <c r="A882">
        <v>2021</v>
      </c>
      <c r="B882" t="s">
        <v>48</v>
      </c>
      <c r="C882">
        <v>25</v>
      </c>
      <c r="D882">
        <v>2019</v>
      </c>
      <c r="E882" t="s">
        <v>35</v>
      </c>
      <c r="F882">
        <v>10</v>
      </c>
      <c r="G882" t="s">
        <v>37</v>
      </c>
      <c r="H882" t="s">
        <v>37</v>
      </c>
      <c r="I882">
        <v>4</v>
      </c>
      <c r="J882">
        <v>2</v>
      </c>
      <c r="K882" t="s">
        <v>44</v>
      </c>
      <c r="L882" t="s">
        <v>36</v>
      </c>
      <c r="M882" t="s">
        <v>36</v>
      </c>
      <c r="N882">
        <v>4</v>
      </c>
      <c r="O882" t="s">
        <v>53</v>
      </c>
      <c r="P882">
        <v>100</v>
      </c>
      <c r="Q882" t="s">
        <v>37</v>
      </c>
      <c r="R882" t="s">
        <v>37</v>
      </c>
      <c r="S882" t="s">
        <v>36</v>
      </c>
      <c r="T882" t="s">
        <v>51</v>
      </c>
      <c r="U882">
        <v>2</v>
      </c>
      <c r="V882" t="s">
        <v>59</v>
      </c>
      <c r="W882" t="s">
        <v>50</v>
      </c>
      <c r="X882" t="s">
        <v>37</v>
      </c>
      <c r="Y882" t="s">
        <v>43</v>
      </c>
      <c r="Z882" t="s">
        <v>37</v>
      </c>
      <c r="AA882">
        <v>2.88</v>
      </c>
      <c r="AB882" t="s">
        <v>37</v>
      </c>
      <c r="AC882">
        <v>3.9</v>
      </c>
      <c r="AD882">
        <v>139</v>
      </c>
      <c r="AE882">
        <v>135000</v>
      </c>
      <c r="AF882" t="str">
        <f>IF(Table1[[#This Row],[What is your current CGPA?]]&gt;=3.5,"High",IF(Table1[[#This Row],[What is your current CGPA?]]&gt;=2.5,"Medium","Low"))</f>
        <v>High</v>
      </c>
      <c r="AG882" t="str">
        <f>IF(AND(Table1[[#This Row],[Average attendance on class]]&lt;75,Table1[[#This Row],[How many hour do you study daily?]]&lt;1),"At Risk","Normal")</f>
        <v>Normal</v>
      </c>
      <c r="AH882">
        <f>(Table1[[#This Row],[Average attendance on class]]*0.4)+(Table1[[#This Row],[How many hour do you study daily?]]*10*0.3)+(Table1[[#This Row],[How many hour do you spent daily on your skill development?]]*10*0.3)</f>
        <v>58</v>
      </c>
    </row>
    <row r="883" spans="1:34" x14ac:dyDescent="0.25">
      <c r="A883">
        <v>2020</v>
      </c>
      <c r="B883" t="s">
        <v>34</v>
      </c>
      <c r="C883">
        <v>20</v>
      </c>
      <c r="D883">
        <v>2020</v>
      </c>
      <c r="E883" t="s">
        <v>35</v>
      </c>
      <c r="F883">
        <v>11</v>
      </c>
      <c r="G883" t="s">
        <v>37</v>
      </c>
      <c r="H883" t="s">
        <v>37</v>
      </c>
      <c r="I883">
        <v>2</v>
      </c>
      <c r="J883">
        <v>1</v>
      </c>
      <c r="K883" t="s">
        <v>38</v>
      </c>
      <c r="L883" t="s">
        <v>36</v>
      </c>
      <c r="M883" t="s">
        <v>36</v>
      </c>
      <c r="N883">
        <v>3</v>
      </c>
      <c r="O883" t="s">
        <v>45</v>
      </c>
      <c r="P883">
        <v>100</v>
      </c>
      <c r="Q883" t="s">
        <v>36</v>
      </c>
      <c r="R883" t="s">
        <v>37</v>
      </c>
      <c r="S883" t="s">
        <v>37</v>
      </c>
      <c r="T883" t="s">
        <v>51</v>
      </c>
      <c r="U883">
        <v>2</v>
      </c>
      <c r="V883" t="s">
        <v>59</v>
      </c>
      <c r="W883" t="s">
        <v>42</v>
      </c>
      <c r="X883" t="s">
        <v>37</v>
      </c>
      <c r="Y883" t="s">
        <v>43</v>
      </c>
      <c r="Z883" t="s">
        <v>37</v>
      </c>
      <c r="AA883">
        <v>2.54</v>
      </c>
      <c r="AB883" t="s">
        <v>37</v>
      </c>
      <c r="AC883">
        <v>3.61</v>
      </c>
      <c r="AD883">
        <v>143</v>
      </c>
      <c r="AE883">
        <v>135000</v>
      </c>
      <c r="AF883" t="str">
        <f>IF(Table1[[#This Row],[What is your current CGPA?]]&gt;=3.5,"High",IF(Table1[[#This Row],[What is your current CGPA?]]&gt;=2.5,"Medium","Low"))</f>
        <v>High</v>
      </c>
      <c r="AG883" t="str">
        <f>IF(AND(Table1[[#This Row],[Average attendance on class]]&lt;75,Table1[[#This Row],[How many hour do you study daily?]]&lt;1),"At Risk","Normal")</f>
        <v>Normal</v>
      </c>
      <c r="AH883">
        <f>(Table1[[#This Row],[Average attendance on class]]*0.4)+(Table1[[#This Row],[How many hour do you study daily?]]*10*0.3)+(Table1[[#This Row],[How many hour do you spent daily on your skill development?]]*10*0.3)</f>
        <v>52</v>
      </c>
    </row>
    <row r="884" spans="1:34" x14ac:dyDescent="0.25">
      <c r="A884">
        <v>2021</v>
      </c>
      <c r="B884" t="s">
        <v>48</v>
      </c>
      <c r="C884">
        <v>22</v>
      </c>
      <c r="D884">
        <v>2020</v>
      </c>
      <c r="E884" t="s">
        <v>35</v>
      </c>
      <c r="F884">
        <v>9</v>
      </c>
      <c r="G884" t="s">
        <v>37</v>
      </c>
      <c r="H884" t="s">
        <v>37</v>
      </c>
      <c r="I884">
        <v>4</v>
      </c>
      <c r="J884">
        <v>2</v>
      </c>
      <c r="K884" t="s">
        <v>38</v>
      </c>
      <c r="L884" t="s">
        <v>36</v>
      </c>
      <c r="M884" t="s">
        <v>36</v>
      </c>
      <c r="N884">
        <v>1</v>
      </c>
      <c r="O884" t="s">
        <v>53</v>
      </c>
      <c r="P884">
        <v>100</v>
      </c>
      <c r="Q884" t="s">
        <v>36</v>
      </c>
      <c r="R884" t="s">
        <v>36</v>
      </c>
      <c r="S884" t="s">
        <v>37</v>
      </c>
      <c r="T884" t="s">
        <v>61</v>
      </c>
      <c r="U884">
        <v>2</v>
      </c>
      <c r="V884" t="s">
        <v>41</v>
      </c>
      <c r="W884" t="s">
        <v>56</v>
      </c>
      <c r="X884" t="s">
        <v>36</v>
      </c>
      <c r="Y884" t="s">
        <v>47</v>
      </c>
      <c r="Z884" t="s">
        <v>37</v>
      </c>
      <c r="AA884">
        <v>1.76</v>
      </c>
      <c r="AB884" t="s">
        <v>37</v>
      </c>
      <c r="AC884">
        <v>2.82</v>
      </c>
      <c r="AD884">
        <v>121</v>
      </c>
      <c r="AE884">
        <v>135000</v>
      </c>
      <c r="AF884" t="str">
        <f>IF(Table1[[#This Row],[What is your current CGPA?]]&gt;=3.5,"High",IF(Table1[[#This Row],[What is your current CGPA?]]&gt;=2.5,"Medium","Low"))</f>
        <v>Medium</v>
      </c>
      <c r="AG884" t="str">
        <f>IF(AND(Table1[[#This Row],[Average attendance on class]]&lt;75,Table1[[#This Row],[How many hour do you study daily?]]&lt;1),"At Risk","Normal")</f>
        <v>Normal</v>
      </c>
      <c r="AH884">
        <f>(Table1[[#This Row],[Average attendance on class]]*0.4)+(Table1[[#This Row],[How many hour do you study daily?]]*10*0.3)+(Table1[[#This Row],[How many hour do you spent daily on your skill development?]]*10*0.3)</f>
        <v>58</v>
      </c>
    </row>
    <row r="885" spans="1:34" x14ac:dyDescent="0.25">
      <c r="A885">
        <v>2020</v>
      </c>
      <c r="B885" t="s">
        <v>34</v>
      </c>
      <c r="C885">
        <v>21</v>
      </c>
      <c r="D885">
        <v>2020</v>
      </c>
      <c r="E885" t="s">
        <v>35</v>
      </c>
      <c r="F885">
        <v>8</v>
      </c>
      <c r="G885" t="s">
        <v>37</v>
      </c>
      <c r="H885" t="s">
        <v>37</v>
      </c>
      <c r="I885">
        <v>3</v>
      </c>
      <c r="J885">
        <v>2</v>
      </c>
      <c r="K885" t="s">
        <v>38</v>
      </c>
      <c r="L885" t="s">
        <v>36</v>
      </c>
      <c r="M885" t="s">
        <v>36</v>
      </c>
      <c r="N885">
        <v>2</v>
      </c>
      <c r="O885" t="s">
        <v>39</v>
      </c>
      <c r="P885">
        <v>100</v>
      </c>
      <c r="Q885" t="s">
        <v>37</v>
      </c>
      <c r="R885" t="s">
        <v>37</v>
      </c>
      <c r="S885" t="s">
        <v>37</v>
      </c>
      <c r="T885" t="s">
        <v>49</v>
      </c>
      <c r="U885">
        <v>2</v>
      </c>
      <c r="V885" t="s">
        <v>41</v>
      </c>
      <c r="W885" t="s">
        <v>42</v>
      </c>
      <c r="X885" t="s">
        <v>36</v>
      </c>
      <c r="Y885" t="s">
        <v>47</v>
      </c>
      <c r="Z885" t="s">
        <v>36</v>
      </c>
      <c r="AA885">
        <v>2.54</v>
      </c>
      <c r="AB885" t="s">
        <v>37</v>
      </c>
      <c r="AC885">
        <v>3.64</v>
      </c>
      <c r="AD885">
        <v>97</v>
      </c>
      <c r="AE885">
        <v>135000</v>
      </c>
      <c r="AF885" t="str">
        <f>IF(Table1[[#This Row],[What is your current CGPA?]]&gt;=3.5,"High",IF(Table1[[#This Row],[What is your current CGPA?]]&gt;=2.5,"Medium","Low"))</f>
        <v>High</v>
      </c>
      <c r="AG885" t="str">
        <f>IF(AND(Table1[[#This Row],[Average attendance on class]]&lt;75,Table1[[#This Row],[How many hour do you study daily?]]&lt;1),"At Risk","Normal")</f>
        <v>Normal</v>
      </c>
      <c r="AH885">
        <f>(Table1[[#This Row],[Average attendance on class]]*0.4)+(Table1[[#This Row],[How many hour do you study daily?]]*10*0.3)+(Table1[[#This Row],[How many hour do you spent daily on your skill development?]]*10*0.3)</f>
        <v>55</v>
      </c>
    </row>
    <row r="886" spans="1:34" x14ac:dyDescent="0.25">
      <c r="A886">
        <v>2019</v>
      </c>
      <c r="B886" t="s">
        <v>34</v>
      </c>
      <c r="C886">
        <v>25</v>
      </c>
      <c r="D886">
        <v>2018</v>
      </c>
      <c r="E886" t="s">
        <v>35</v>
      </c>
      <c r="F886">
        <v>11</v>
      </c>
      <c r="G886" t="s">
        <v>37</v>
      </c>
      <c r="H886" t="s">
        <v>37</v>
      </c>
      <c r="I886">
        <v>3</v>
      </c>
      <c r="J886">
        <v>2</v>
      </c>
      <c r="K886" t="s">
        <v>38</v>
      </c>
      <c r="L886" t="s">
        <v>36</v>
      </c>
      <c r="M886" t="s">
        <v>36</v>
      </c>
      <c r="N886">
        <v>2</v>
      </c>
      <c r="O886" t="s">
        <v>39</v>
      </c>
      <c r="P886">
        <v>100</v>
      </c>
      <c r="Q886" t="s">
        <v>37</v>
      </c>
      <c r="R886" t="s">
        <v>37</v>
      </c>
      <c r="S886" t="s">
        <v>36</v>
      </c>
      <c r="T886" t="s">
        <v>51</v>
      </c>
      <c r="U886">
        <v>1</v>
      </c>
      <c r="V886" t="s">
        <v>59</v>
      </c>
      <c r="W886" t="s">
        <v>42</v>
      </c>
      <c r="X886" t="s">
        <v>36</v>
      </c>
      <c r="Y886" t="s">
        <v>47</v>
      </c>
      <c r="Z886" t="s">
        <v>37</v>
      </c>
      <c r="AA886">
        <v>1.54</v>
      </c>
      <c r="AB886" t="s">
        <v>37</v>
      </c>
      <c r="AC886">
        <v>2.68</v>
      </c>
      <c r="AD886">
        <v>143</v>
      </c>
      <c r="AE886">
        <v>144000</v>
      </c>
      <c r="AF886" t="str">
        <f>IF(Table1[[#This Row],[What is your current CGPA?]]&gt;=3.5,"High",IF(Table1[[#This Row],[What is your current CGPA?]]&gt;=2.5,"Medium","Low"))</f>
        <v>Medium</v>
      </c>
      <c r="AG886" t="str">
        <f>IF(AND(Table1[[#This Row],[Average attendance on class]]&lt;75,Table1[[#This Row],[How many hour do you study daily?]]&lt;1),"At Risk","Normal")</f>
        <v>Normal</v>
      </c>
      <c r="AH886">
        <f>(Table1[[#This Row],[Average attendance on class]]*0.4)+(Table1[[#This Row],[How many hour do you study daily?]]*10*0.3)+(Table1[[#This Row],[How many hour do you spent daily on your skill development?]]*10*0.3)</f>
        <v>52</v>
      </c>
    </row>
    <row r="887" spans="1:34" x14ac:dyDescent="0.25">
      <c r="A887">
        <v>2021</v>
      </c>
      <c r="B887" t="s">
        <v>48</v>
      </c>
      <c r="C887">
        <v>21</v>
      </c>
      <c r="D887">
        <v>2020</v>
      </c>
      <c r="E887" t="s">
        <v>35</v>
      </c>
      <c r="F887">
        <v>9</v>
      </c>
      <c r="G887" t="s">
        <v>37</v>
      </c>
      <c r="H887" t="s">
        <v>37</v>
      </c>
      <c r="I887">
        <v>2</v>
      </c>
      <c r="J887">
        <v>1</v>
      </c>
      <c r="K887" t="s">
        <v>38</v>
      </c>
      <c r="L887" t="s">
        <v>36</v>
      </c>
      <c r="M887" t="s">
        <v>36</v>
      </c>
      <c r="N887">
        <v>2</v>
      </c>
      <c r="O887" t="s">
        <v>39</v>
      </c>
      <c r="P887">
        <v>35</v>
      </c>
      <c r="Q887" t="s">
        <v>37</v>
      </c>
      <c r="R887" t="s">
        <v>37</v>
      </c>
      <c r="S887" t="s">
        <v>37</v>
      </c>
      <c r="T887" t="s">
        <v>52</v>
      </c>
      <c r="U887">
        <v>2</v>
      </c>
      <c r="V887" t="s">
        <v>41</v>
      </c>
      <c r="W887" t="s">
        <v>50</v>
      </c>
      <c r="X887" t="s">
        <v>36</v>
      </c>
      <c r="Y887" t="s">
        <v>43</v>
      </c>
      <c r="Z887" t="s">
        <v>36</v>
      </c>
      <c r="AA887">
        <v>1.46</v>
      </c>
      <c r="AB887" t="s">
        <v>37</v>
      </c>
      <c r="AC887">
        <v>2.5</v>
      </c>
      <c r="AD887">
        <v>119</v>
      </c>
      <c r="AE887">
        <v>144000</v>
      </c>
      <c r="AF887" t="str">
        <f>IF(Table1[[#This Row],[What is your current CGPA?]]&gt;=3.5,"High",IF(Table1[[#This Row],[What is your current CGPA?]]&gt;=2.5,"Medium","Low"))</f>
        <v>Medium</v>
      </c>
      <c r="AG887" t="str">
        <f>IF(AND(Table1[[#This Row],[Average attendance on class]]&lt;75,Table1[[#This Row],[How many hour do you study daily?]]&lt;1),"At Risk","Normal")</f>
        <v>Normal</v>
      </c>
      <c r="AH887">
        <f>(Table1[[#This Row],[Average attendance on class]]*0.4)+(Table1[[#This Row],[How many hour do you study daily?]]*10*0.3)+(Table1[[#This Row],[How many hour do you spent daily on your skill development?]]*10*0.3)</f>
        <v>26</v>
      </c>
    </row>
    <row r="888" spans="1:34" x14ac:dyDescent="0.25">
      <c r="A888">
        <v>2019</v>
      </c>
      <c r="B888" t="s">
        <v>34</v>
      </c>
      <c r="C888">
        <v>22</v>
      </c>
      <c r="D888">
        <v>2019</v>
      </c>
      <c r="E888" t="s">
        <v>35</v>
      </c>
      <c r="F888">
        <v>11</v>
      </c>
      <c r="G888" t="s">
        <v>36</v>
      </c>
      <c r="H888" t="s">
        <v>37</v>
      </c>
      <c r="I888">
        <v>6</v>
      </c>
      <c r="J888">
        <v>3</v>
      </c>
      <c r="K888" t="s">
        <v>38</v>
      </c>
      <c r="L888" t="s">
        <v>36</v>
      </c>
      <c r="M888" t="s">
        <v>36</v>
      </c>
      <c r="N888">
        <v>7</v>
      </c>
      <c r="O888" t="s">
        <v>53</v>
      </c>
      <c r="P888">
        <v>100</v>
      </c>
      <c r="Q888" t="s">
        <v>37</v>
      </c>
      <c r="R888" t="s">
        <v>37</v>
      </c>
      <c r="S888" t="s">
        <v>37</v>
      </c>
      <c r="T888" t="s">
        <v>61</v>
      </c>
      <c r="U888">
        <v>4</v>
      </c>
      <c r="V888" t="s">
        <v>41</v>
      </c>
      <c r="W888" t="s">
        <v>42</v>
      </c>
      <c r="X888" t="s">
        <v>37</v>
      </c>
      <c r="Y888" t="s">
        <v>47</v>
      </c>
      <c r="Z888" t="s">
        <v>37</v>
      </c>
      <c r="AA888">
        <v>2.91</v>
      </c>
      <c r="AB888" t="s">
        <v>37</v>
      </c>
      <c r="AC888">
        <v>3.97</v>
      </c>
      <c r="AD888">
        <v>141</v>
      </c>
      <c r="AE888">
        <v>150000</v>
      </c>
      <c r="AF888" t="str">
        <f>IF(Table1[[#This Row],[What is your current CGPA?]]&gt;=3.5,"High",IF(Table1[[#This Row],[What is your current CGPA?]]&gt;=2.5,"Medium","Low"))</f>
        <v>High</v>
      </c>
      <c r="AG888" t="str">
        <f>IF(AND(Table1[[#This Row],[Average attendance on class]]&lt;75,Table1[[#This Row],[How many hour do you study daily?]]&lt;1),"At Risk","Normal")</f>
        <v>Normal</v>
      </c>
      <c r="AH888">
        <f>(Table1[[#This Row],[Average attendance on class]]*0.4)+(Table1[[#This Row],[How many hour do you study daily?]]*10*0.3)+(Table1[[#This Row],[How many hour do you spent daily on your skill development?]]*10*0.3)</f>
        <v>70</v>
      </c>
    </row>
    <row r="889" spans="1:34" x14ac:dyDescent="0.25">
      <c r="A889">
        <v>2021</v>
      </c>
      <c r="B889" t="s">
        <v>48</v>
      </c>
      <c r="C889">
        <v>20</v>
      </c>
      <c r="D889">
        <v>2020</v>
      </c>
      <c r="E889" t="s">
        <v>35</v>
      </c>
      <c r="F889">
        <v>9</v>
      </c>
      <c r="G889" t="s">
        <v>37</v>
      </c>
      <c r="H889" t="s">
        <v>37</v>
      </c>
      <c r="I889">
        <v>3</v>
      </c>
      <c r="J889">
        <v>3</v>
      </c>
      <c r="K889" t="s">
        <v>44</v>
      </c>
      <c r="L889" t="s">
        <v>36</v>
      </c>
      <c r="M889" t="s">
        <v>36</v>
      </c>
      <c r="N889">
        <v>3</v>
      </c>
      <c r="O889" t="s">
        <v>53</v>
      </c>
      <c r="P889">
        <v>100</v>
      </c>
      <c r="Q889" t="s">
        <v>37</v>
      </c>
      <c r="R889" t="s">
        <v>37</v>
      </c>
      <c r="S889" t="s">
        <v>37</v>
      </c>
      <c r="T889" t="s">
        <v>51</v>
      </c>
      <c r="U889">
        <v>2</v>
      </c>
      <c r="V889" t="s">
        <v>59</v>
      </c>
      <c r="W889" t="s">
        <v>50</v>
      </c>
      <c r="X889" t="s">
        <v>36</v>
      </c>
      <c r="Y889" t="s">
        <v>43</v>
      </c>
      <c r="Z889" t="s">
        <v>37</v>
      </c>
      <c r="AA889">
        <v>1.8</v>
      </c>
      <c r="AB889" t="s">
        <v>37</v>
      </c>
      <c r="AC889">
        <v>2.89</v>
      </c>
      <c r="AD889">
        <v>116</v>
      </c>
      <c r="AE889">
        <v>155000</v>
      </c>
      <c r="AF889" t="str">
        <f>IF(Table1[[#This Row],[What is your current CGPA?]]&gt;=3.5,"High",IF(Table1[[#This Row],[What is your current CGPA?]]&gt;=2.5,"Medium","Low"))</f>
        <v>Medium</v>
      </c>
      <c r="AG889" t="str">
        <f>IF(AND(Table1[[#This Row],[Average attendance on class]]&lt;75,Table1[[#This Row],[How many hour do you study daily?]]&lt;1),"At Risk","Normal")</f>
        <v>Normal</v>
      </c>
      <c r="AH889">
        <f>(Table1[[#This Row],[Average attendance on class]]*0.4)+(Table1[[#This Row],[How many hour do you study daily?]]*10*0.3)+(Table1[[#This Row],[How many hour do you spent daily on your skill development?]]*10*0.3)</f>
        <v>55</v>
      </c>
    </row>
    <row r="890" spans="1:34" x14ac:dyDescent="0.25">
      <c r="A890">
        <v>2021</v>
      </c>
      <c r="B890" t="s">
        <v>48</v>
      </c>
      <c r="C890">
        <v>20</v>
      </c>
      <c r="D890">
        <v>2020</v>
      </c>
      <c r="E890" t="s">
        <v>35</v>
      </c>
      <c r="F890">
        <v>8</v>
      </c>
      <c r="G890" t="s">
        <v>36</v>
      </c>
      <c r="H890" t="s">
        <v>37</v>
      </c>
      <c r="I890">
        <v>5</v>
      </c>
      <c r="J890">
        <v>2</v>
      </c>
      <c r="K890" t="s">
        <v>38</v>
      </c>
      <c r="L890" t="s">
        <v>36</v>
      </c>
      <c r="M890" t="s">
        <v>36</v>
      </c>
      <c r="N890">
        <v>3</v>
      </c>
      <c r="O890" t="s">
        <v>39</v>
      </c>
      <c r="P890">
        <v>100</v>
      </c>
      <c r="Q890" t="s">
        <v>37</v>
      </c>
      <c r="R890" t="s">
        <v>37</v>
      </c>
      <c r="S890" t="s">
        <v>37</v>
      </c>
      <c r="T890" t="s">
        <v>40</v>
      </c>
      <c r="U890">
        <v>4</v>
      </c>
      <c r="V890" t="s">
        <v>40</v>
      </c>
      <c r="W890" t="s">
        <v>50</v>
      </c>
      <c r="X890" t="s">
        <v>36</v>
      </c>
      <c r="Y890" t="s">
        <v>43</v>
      </c>
      <c r="Z890" t="s">
        <v>37</v>
      </c>
      <c r="AA890">
        <v>2.78</v>
      </c>
      <c r="AB890" t="s">
        <v>37</v>
      </c>
      <c r="AC890">
        <v>3.8</v>
      </c>
      <c r="AD890">
        <v>89</v>
      </c>
      <c r="AE890">
        <v>158000</v>
      </c>
      <c r="AF890" t="str">
        <f>IF(Table1[[#This Row],[What is your current CGPA?]]&gt;=3.5,"High",IF(Table1[[#This Row],[What is your current CGPA?]]&gt;=2.5,"Medium","Low"))</f>
        <v>High</v>
      </c>
      <c r="AG890" t="str">
        <f>IF(AND(Table1[[#This Row],[Average attendance on class]]&lt;75,Table1[[#This Row],[How many hour do you study daily?]]&lt;1),"At Risk","Normal")</f>
        <v>Normal</v>
      </c>
      <c r="AH890">
        <f>(Table1[[#This Row],[Average attendance on class]]*0.4)+(Table1[[#This Row],[How many hour do you study daily?]]*10*0.3)+(Table1[[#This Row],[How many hour do you spent daily on your skill development?]]*10*0.3)</f>
        <v>67</v>
      </c>
    </row>
    <row r="891" spans="1:34" x14ac:dyDescent="0.25">
      <c r="A891">
        <v>2021</v>
      </c>
      <c r="B891" t="s">
        <v>48</v>
      </c>
      <c r="C891">
        <v>21</v>
      </c>
      <c r="D891">
        <v>2021</v>
      </c>
      <c r="E891" t="s">
        <v>35</v>
      </c>
      <c r="F891">
        <v>5</v>
      </c>
      <c r="G891" t="s">
        <v>36</v>
      </c>
      <c r="H891" t="s">
        <v>37</v>
      </c>
      <c r="I891">
        <v>3</v>
      </c>
      <c r="J891">
        <v>2</v>
      </c>
      <c r="K891" t="s">
        <v>38</v>
      </c>
      <c r="L891" t="s">
        <v>36</v>
      </c>
      <c r="M891" t="s">
        <v>36</v>
      </c>
      <c r="N891">
        <v>8</v>
      </c>
      <c r="O891" t="s">
        <v>53</v>
      </c>
      <c r="P891">
        <v>67</v>
      </c>
      <c r="Q891" t="s">
        <v>37</v>
      </c>
      <c r="R891" t="s">
        <v>37</v>
      </c>
      <c r="S891" t="s">
        <v>36</v>
      </c>
      <c r="T891" t="s">
        <v>40</v>
      </c>
      <c r="U891">
        <v>2</v>
      </c>
      <c r="V891" t="s">
        <v>40</v>
      </c>
      <c r="W891" t="s">
        <v>42</v>
      </c>
      <c r="X891" t="s">
        <v>36</v>
      </c>
      <c r="Y891" t="s">
        <v>47</v>
      </c>
      <c r="Z891" t="s">
        <v>37</v>
      </c>
      <c r="AA891">
        <v>1.65</v>
      </c>
      <c r="AB891" t="s">
        <v>37</v>
      </c>
      <c r="AC891">
        <v>2.56</v>
      </c>
      <c r="AD891">
        <v>64</v>
      </c>
      <c r="AE891">
        <v>165000</v>
      </c>
      <c r="AF891" t="str">
        <f>IF(Table1[[#This Row],[What is your current CGPA?]]&gt;=3.5,"High",IF(Table1[[#This Row],[What is your current CGPA?]]&gt;=2.5,"Medium","Low"))</f>
        <v>Medium</v>
      </c>
      <c r="AG891" t="str">
        <f>IF(AND(Table1[[#This Row],[Average attendance on class]]&lt;75,Table1[[#This Row],[How many hour do you study daily?]]&lt;1),"At Risk","Normal")</f>
        <v>Normal</v>
      </c>
      <c r="AH891">
        <f>(Table1[[#This Row],[Average attendance on class]]*0.4)+(Table1[[#This Row],[How many hour do you study daily?]]*10*0.3)+(Table1[[#This Row],[How many hour do you spent daily on your skill development?]]*10*0.3)</f>
        <v>41.8</v>
      </c>
    </row>
    <row r="892" spans="1:34" x14ac:dyDescent="0.25">
      <c r="A892">
        <v>2020</v>
      </c>
      <c r="B892" t="s">
        <v>48</v>
      </c>
      <c r="C892">
        <v>22</v>
      </c>
      <c r="D892">
        <v>2019</v>
      </c>
      <c r="E892" t="s">
        <v>35</v>
      </c>
      <c r="F892">
        <v>8</v>
      </c>
      <c r="G892" t="s">
        <v>36</v>
      </c>
      <c r="H892" t="s">
        <v>37</v>
      </c>
      <c r="I892">
        <v>2</v>
      </c>
      <c r="J892">
        <v>1</v>
      </c>
      <c r="K892" t="s">
        <v>38</v>
      </c>
      <c r="L892" t="s">
        <v>36</v>
      </c>
      <c r="M892" t="s">
        <v>36</v>
      </c>
      <c r="N892">
        <v>4</v>
      </c>
      <c r="O892" t="s">
        <v>53</v>
      </c>
      <c r="P892">
        <v>100</v>
      </c>
      <c r="Q892" t="s">
        <v>37</v>
      </c>
      <c r="R892" t="s">
        <v>37</v>
      </c>
      <c r="S892" t="s">
        <v>37</v>
      </c>
      <c r="T892" t="s">
        <v>40</v>
      </c>
      <c r="U892">
        <v>2</v>
      </c>
      <c r="V892" t="s">
        <v>62</v>
      </c>
      <c r="W892" t="s">
        <v>42</v>
      </c>
      <c r="X892" t="s">
        <v>36</v>
      </c>
      <c r="Y892" t="s">
        <v>47</v>
      </c>
      <c r="Z892" t="s">
        <v>37</v>
      </c>
      <c r="AA892">
        <v>2.3199999999999998</v>
      </c>
      <c r="AB892" t="s">
        <v>37</v>
      </c>
      <c r="AC892">
        <v>3.87</v>
      </c>
      <c r="AD892">
        <v>113</v>
      </c>
      <c r="AE892">
        <v>170000</v>
      </c>
      <c r="AF892" t="str">
        <f>IF(Table1[[#This Row],[What is your current CGPA?]]&gt;=3.5,"High",IF(Table1[[#This Row],[What is your current CGPA?]]&gt;=2.5,"Medium","Low"))</f>
        <v>High</v>
      </c>
      <c r="AG892" t="str">
        <f>IF(AND(Table1[[#This Row],[Average attendance on class]]&lt;75,Table1[[#This Row],[How many hour do you study daily?]]&lt;1),"At Risk","Normal")</f>
        <v>Normal</v>
      </c>
      <c r="AH892">
        <f>(Table1[[#This Row],[Average attendance on class]]*0.4)+(Table1[[#This Row],[How many hour do you study daily?]]*10*0.3)+(Table1[[#This Row],[How many hour do you spent daily on your skill development?]]*10*0.3)</f>
        <v>52</v>
      </c>
    </row>
    <row r="893" spans="1:34" x14ac:dyDescent="0.25">
      <c r="A893">
        <v>2020</v>
      </c>
      <c r="B893" t="s">
        <v>48</v>
      </c>
      <c r="C893">
        <v>25</v>
      </c>
      <c r="D893">
        <v>2019</v>
      </c>
      <c r="E893" t="s">
        <v>35</v>
      </c>
      <c r="F893">
        <v>11</v>
      </c>
      <c r="G893" t="s">
        <v>37</v>
      </c>
      <c r="H893" t="s">
        <v>37</v>
      </c>
      <c r="I893">
        <v>3</v>
      </c>
      <c r="J893">
        <v>3</v>
      </c>
      <c r="K893" t="s">
        <v>44</v>
      </c>
      <c r="L893" t="s">
        <v>36</v>
      </c>
      <c r="M893" t="s">
        <v>36</v>
      </c>
      <c r="N893">
        <v>1</v>
      </c>
      <c r="O893" t="s">
        <v>53</v>
      </c>
      <c r="P893">
        <v>35</v>
      </c>
      <c r="Q893" t="s">
        <v>37</v>
      </c>
      <c r="R893" t="s">
        <v>37</v>
      </c>
      <c r="S893" t="s">
        <v>37</v>
      </c>
      <c r="T893" t="s">
        <v>51</v>
      </c>
      <c r="U893">
        <v>2</v>
      </c>
      <c r="V893" t="s">
        <v>59</v>
      </c>
      <c r="W893" t="s">
        <v>50</v>
      </c>
      <c r="X893" t="s">
        <v>37</v>
      </c>
      <c r="Y893" t="s">
        <v>43</v>
      </c>
      <c r="Z893" t="s">
        <v>37</v>
      </c>
      <c r="AA893">
        <v>1.57</v>
      </c>
      <c r="AB893" t="s">
        <v>37</v>
      </c>
      <c r="AC893">
        <v>2.63</v>
      </c>
      <c r="AD893">
        <v>143</v>
      </c>
      <c r="AE893">
        <v>170000</v>
      </c>
      <c r="AF893" t="str">
        <f>IF(Table1[[#This Row],[What is your current CGPA?]]&gt;=3.5,"High",IF(Table1[[#This Row],[What is your current CGPA?]]&gt;=2.5,"Medium","Low"))</f>
        <v>Medium</v>
      </c>
      <c r="AG893" t="str">
        <f>IF(AND(Table1[[#This Row],[Average attendance on class]]&lt;75,Table1[[#This Row],[How many hour do you study daily?]]&lt;1),"At Risk","Normal")</f>
        <v>Normal</v>
      </c>
      <c r="AH893">
        <f>(Table1[[#This Row],[Average attendance on class]]*0.4)+(Table1[[#This Row],[How many hour do you study daily?]]*10*0.3)+(Table1[[#This Row],[How many hour do you spent daily on your skill development?]]*10*0.3)</f>
        <v>29</v>
      </c>
    </row>
    <row r="894" spans="1:34" x14ac:dyDescent="0.25">
      <c r="A894">
        <v>2021</v>
      </c>
      <c r="B894" t="s">
        <v>48</v>
      </c>
      <c r="C894">
        <v>20</v>
      </c>
      <c r="D894">
        <v>2020</v>
      </c>
      <c r="E894" t="s">
        <v>35</v>
      </c>
      <c r="F894">
        <v>8</v>
      </c>
      <c r="G894" t="s">
        <v>36</v>
      </c>
      <c r="H894" t="s">
        <v>37</v>
      </c>
      <c r="I894">
        <v>3</v>
      </c>
      <c r="J894">
        <v>3</v>
      </c>
      <c r="K894" t="s">
        <v>38</v>
      </c>
      <c r="L894" t="s">
        <v>36</v>
      </c>
      <c r="M894" t="s">
        <v>36</v>
      </c>
      <c r="N894">
        <v>3</v>
      </c>
      <c r="O894" t="s">
        <v>39</v>
      </c>
      <c r="P894">
        <v>100</v>
      </c>
      <c r="Q894" t="s">
        <v>36</v>
      </c>
      <c r="R894" t="s">
        <v>37</v>
      </c>
      <c r="S894" t="s">
        <v>37</v>
      </c>
      <c r="T894" t="s">
        <v>49</v>
      </c>
      <c r="U894">
        <v>4</v>
      </c>
      <c r="V894" t="s">
        <v>41</v>
      </c>
      <c r="W894" t="s">
        <v>42</v>
      </c>
      <c r="X894" t="s">
        <v>36</v>
      </c>
      <c r="Y894" t="s">
        <v>47</v>
      </c>
      <c r="Z894" t="s">
        <v>37</v>
      </c>
      <c r="AA894">
        <v>2.85</v>
      </c>
      <c r="AB894" t="s">
        <v>37</v>
      </c>
      <c r="AC894">
        <v>3.93</v>
      </c>
      <c r="AD894">
        <v>100</v>
      </c>
      <c r="AE894">
        <v>190000</v>
      </c>
      <c r="AF894" t="str">
        <f>IF(Table1[[#This Row],[What is your current CGPA?]]&gt;=3.5,"High",IF(Table1[[#This Row],[What is your current CGPA?]]&gt;=2.5,"Medium","Low"))</f>
        <v>High</v>
      </c>
      <c r="AG894" t="str">
        <f>IF(AND(Table1[[#This Row],[Average attendance on class]]&lt;75,Table1[[#This Row],[How many hour do you study daily?]]&lt;1),"At Risk","Normal")</f>
        <v>Normal</v>
      </c>
      <c r="AH894">
        <f>(Table1[[#This Row],[Average attendance on class]]*0.4)+(Table1[[#This Row],[How many hour do you study daily?]]*10*0.3)+(Table1[[#This Row],[How many hour do you spent daily on your skill development?]]*10*0.3)</f>
        <v>61</v>
      </c>
    </row>
    <row r="895" spans="1:34" x14ac:dyDescent="0.25">
      <c r="A895">
        <v>2020</v>
      </c>
      <c r="B895" t="s">
        <v>34</v>
      </c>
      <c r="C895">
        <v>21</v>
      </c>
      <c r="D895">
        <v>2020</v>
      </c>
      <c r="E895" t="s">
        <v>35</v>
      </c>
      <c r="F895">
        <v>10</v>
      </c>
      <c r="G895" t="s">
        <v>37</v>
      </c>
      <c r="H895" t="s">
        <v>37</v>
      </c>
      <c r="I895">
        <v>3</v>
      </c>
      <c r="J895">
        <v>2</v>
      </c>
      <c r="K895" t="s">
        <v>38</v>
      </c>
      <c r="L895" t="s">
        <v>36</v>
      </c>
      <c r="M895" t="s">
        <v>36</v>
      </c>
      <c r="N895">
        <v>1</v>
      </c>
      <c r="O895" t="s">
        <v>39</v>
      </c>
      <c r="P895">
        <v>68</v>
      </c>
      <c r="Q895" t="s">
        <v>37</v>
      </c>
      <c r="R895" t="s">
        <v>37</v>
      </c>
      <c r="S895" t="s">
        <v>37</v>
      </c>
      <c r="T895" t="s">
        <v>51</v>
      </c>
      <c r="U895">
        <v>4</v>
      </c>
      <c r="V895" t="s">
        <v>59</v>
      </c>
      <c r="W895" t="s">
        <v>56</v>
      </c>
      <c r="X895" t="s">
        <v>37</v>
      </c>
      <c r="Y895" t="s">
        <v>47</v>
      </c>
      <c r="Z895" t="s">
        <v>37</v>
      </c>
      <c r="AA895">
        <v>2.74</v>
      </c>
      <c r="AB895" t="s">
        <v>37</v>
      </c>
      <c r="AC895">
        <v>3.84</v>
      </c>
      <c r="AD895">
        <v>137</v>
      </c>
      <c r="AE895">
        <v>190000</v>
      </c>
      <c r="AF895" t="str">
        <f>IF(Table1[[#This Row],[What is your current CGPA?]]&gt;=3.5,"High",IF(Table1[[#This Row],[What is your current CGPA?]]&gt;=2.5,"Medium","Low"))</f>
        <v>High</v>
      </c>
      <c r="AG895" t="str">
        <f>IF(AND(Table1[[#This Row],[Average attendance on class]]&lt;75,Table1[[#This Row],[How many hour do you study daily?]]&lt;1),"At Risk","Normal")</f>
        <v>Normal</v>
      </c>
      <c r="AH895">
        <f>(Table1[[#This Row],[Average attendance on class]]*0.4)+(Table1[[#This Row],[How many hour do you study daily?]]*10*0.3)+(Table1[[#This Row],[How many hour do you spent daily on your skill development?]]*10*0.3)</f>
        <v>48.2</v>
      </c>
    </row>
    <row r="896" spans="1:34" x14ac:dyDescent="0.25">
      <c r="A896">
        <v>2020</v>
      </c>
      <c r="B896" t="s">
        <v>48</v>
      </c>
      <c r="C896">
        <v>22</v>
      </c>
      <c r="D896">
        <v>2020</v>
      </c>
      <c r="E896" t="s">
        <v>35</v>
      </c>
      <c r="F896">
        <v>7</v>
      </c>
      <c r="G896" t="s">
        <v>37</v>
      </c>
      <c r="H896" t="s">
        <v>37</v>
      </c>
      <c r="I896">
        <v>3</v>
      </c>
      <c r="J896">
        <v>2</v>
      </c>
      <c r="K896" t="s">
        <v>38</v>
      </c>
      <c r="L896" t="s">
        <v>36</v>
      </c>
      <c r="M896" t="s">
        <v>36</v>
      </c>
      <c r="N896">
        <v>7</v>
      </c>
      <c r="O896" t="s">
        <v>39</v>
      </c>
      <c r="P896">
        <v>100</v>
      </c>
      <c r="Q896" t="s">
        <v>37</v>
      </c>
      <c r="R896" t="s">
        <v>36</v>
      </c>
      <c r="S896" t="s">
        <v>37</v>
      </c>
      <c r="T896" t="s">
        <v>40</v>
      </c>
      <c r="U896">
        <v>3</v>
      </c>
      <c r="V896" t="s">
        <v>62</v>
      </c>
      <c r="W896" t="s">
        <v>42</v>
      </c>
      <c r="X896" t="s">
        <v>36</v>
      </c>
      <c r="Y896" t="s">
        <v>43</v>
      </c>
      <c r="Z896" t="s">
        <v>37</v>
      </c>
      <c r="AA896">
        <v>2.13</v>
      </c>
      <c r="AB896" t="s">
        <v>37</v>
      </c>
      <c r="AC896">
        <v>3.03</v>
      </c>
      <c r="AD896">
        <v>107</v>
      </c>
      <c r="AE896">
        <v>235000</v>
      </c>
      <c r="AF896" t="str">
        <f>IF(Table1[[#This Row],[What is your current CGPA?]]&gt;=3.5,"High",IF(Table1[[#This Row],[What is your current CGPA?]]&gt;=2.5,"Medium","Low"))</f>
        <v>Medium</v>
      </c>
      <c r="AG896" t="str">
        <f>IF(AND(Table1[[#This Row],[Average attendance on class]]&lt;75,Table1[[#This Row],[How many hour do you study daily?]]&lt;1),"At Risk","Normal")</f>
        <v>Normal</v>
      </c>
      <c r="AH896">
        <f>(Table1[[#This Row],[Average attendance on class]]*0.4)+(Table1[[#This Row],[How many hour do you study daily?]]*10*0.3)+(Table1[[#This Row],[How many hour do you spent daily on your skill development?]]*10*0.3)</f>
        <v>58</v>
      </c>
    </row>
    <row r="897" spans="1:34" x14ac:dyDescent="0.25">
      <c r="A897">
        <v>2021</v>
      </c>
      <c r="B897" t="s">
        <v>48</v>
      </c>
      <c r="C897">
        <v>20</v>
      </c>
      <c r="D897">
        <v>2021</v>
      </c>
      <c r="E897" t="s">
        <v>35</v>
      </c>
      <c r="F897">
        <v>5</v>
      </c>
      <c r="G897" t="s">
        <v>36</v>
      </c>
      <c r="H897" t="s">
        <v>37</v>
      </c>
      <c r="I897">
        <v>6</v>
      </c>
      <c r="J897">
        <v>2</v>
      </c>
      <c r="K897" t="s">
        <v>38</v>
      </c>
      <c r="L897" t="s">
        <v>36</v>
      </c>
      <c r="M897" t="s">
        <v>36</v>
      </c>
      <c r="N897">
        <v>1</v>
      </c>
      <c r="O897" t="s">
        <v>53</v>
      </c>
      <c r="P897">
        <v>100</v>
      </c>
      <c r="Q897" t="s">
        <v>37</v>
      </c>
      <c r="R897" t="s">
        <v>37</v>
      </c>
      <c r="S897" t="s">
        <v>37</v>
      </c>
      <c r="T897" t="s">
        <v>40</v>
      </c>
      <c r="U897">
        <v>4</v>
      </c>
      <c r="V897" t="s">
        <v>62</v>
      </c>
      <c r="W897" t="s">
        <v>42</v>
      </c>
      <c r="X897" t="s">
        <v>36</v>
      </c>
      <c r="Y897" t="s">
        <v>47</v>
      </c>
      <c r="Z897" t="s">
        <v>37</v>
      </c>
      <c r="AA897">
        <v>2.91</v>
      </c>
      <c r="AB897" t="s">
        <v>37</v>
      </c>
      <c r="AC897">
        <v>3.91</v>
      </c>
      <c r="AD897">
        <v>81</v>
      </c>
      <c r="AE897">
        <v>250000</v>
      </c>
      <c r="AF897" t="str">
        <f>IF(Table1[[#This Row],[What is your current CGPA?]]&gt;=3.5,"High",IF(Table1[[#This Row],[What is your current CGPA?]]&gt;=2.5,"Medium","Low"))</f>
        <v>High</v>
      </c>
      <c r="AG897" t="str">
        <f>IF(AND(Table1[[#This Row],[Average attendance on class]]&lt;75,Table1[[#This Row],[How many hour do you study daily?]]&lt;1),"At Risk","Normal")</f>
        <v>Normal</v>
      </c>
      <c r="AH897">
        <f>(Table1[[#This Row],[Average attendance on class]]*0.4)+(Table1[[#This Row],[How many hour do you study daily?]]*10*0.3)+(Table1[[#This Row],[How many hour do you spent daily on your skill development?]]*10*0.3)</f>
        <v>70</v>
      </c>
    </row>
    <row r="898" spans="1:34" x14ac:dyDescent="0.25">
      <c r="A898">
        <v>2019</v>
      </c>
      <c r="B898" t="s">
        <v>48</v>
      </c>
      <c r="C898">
        <v>25</v>
      </c>
      <c r="D898">
        <v>2018</v>
      </c>
      <c r="E898" t="s">
        <v>35</v>
      </c>
      <c r="F898">
        <v>11</v>
      </c>
      <c r="G898" t="s">
        <v>37</v>
      </c>
      <c r="H898" t="s">
        <v>37</v>
      </c>
      <c r="I898">
        <v>3</v>
      </c>
      <c r="J898">
        <v>3</v>
      </c>
      <c r="K898" t="s">
        <v>38</v>
      </c>
      <c r="L898" t="s">
        <v>36</v>
      </c>
      <c r="M898" t="s">
        <v>36</v>
      </c>
      <c r="N898">
        <v>2</v>
      </c>
      <c r="O898" t="s">
        <v>39</v>
      </c>
      <c r="P898">
        <v>100</v>
      </c>
      <c r="Q898" t="s">
        <v>36</v>
      </c>
      <c r="R898" t="s">
        <v>37</v>
      </c>
      <c r="S898" t="s">
        <v>37</v>
      </c>
      <c r="T898" t="s">
        <v>61</v>
      </c>
      <c r="U898">
        <v>1</v>
      </c>
      <c r="V898" t="s">
        <v>41</v>
      </c>
      <c r="W898" t="s">
        <v>42</v>
      </c>
      <c r="X898" t="s">
        <v>37</v>
      </c>
      <c r="Y898" t="s">
        <v>43</v>
      </c>
      <c r="Z898" t="s">
        <v>37</v>
      </c>
      <c r="AA898">
        <v>1.43</v>
      </c>
      <c r="AB898" t="s">
        <v>37</v>
      </c>
      <c r="AC898">
        <v>2.4900000000000002</v>
      </c>
      <c r="AD898">
        <v>143</v>
      </c>
      <c r="AE898">
        <v>255000</v>
      </c>
      <c r="AF898" t="str">
        <f>IF(Table1[[#This Row],[What is your current CGPA?]]&gt;=3.5,"High",IF(Table1[[#This Row],[What is your current CGPA?]]&gt;=2.5,"Medium","Low"))</f>
        <v>Low</v>
      </c>
      <c r="AG898" t="str">
        <f>IF(AND(Table1[[#This Row],[Average attendance on class]]&lt;75,Table1[[#This Row],[How many hour do you study daily?]]&lt;1),"At Risk","Normal")</f>
        <v>Normal</v>
      </c>
      <c r="AH898">
        <f>(Table1[[#This Row],[Average attendance on class]]*0.4)+(Table1[[#This Row],[How many hour do you study daily?]]*10*0.3)+(Table1[[#This Row],[How many hour do you spent daily on your skill development?]]*10*0.3)</f>
        <v>52</v>
      </c>
    </row>
    <row r="899" spans="1:34" x14ac:dyDescent="0.25">
      <c r="A899">
        <v>2019</v>
      </c>
      <c r="B899" t="s">
        <v>34</v>
      </c>
      <c r="C899">
        <v>25</v>
      </c>
      <c r="D899">
        <v>2017</v>
      </c>
      <c r="E899" t="s">
        <v>35</v>
      </c>
      <c r="F899">
        <v>11</v>
      </c>
      <c r="G899" t="s">
        <v>37</v>
      </c>
      <c r="H899" t="s">
        <v>37</v>
      </c>
      <c r="I899">
        <v>2</v>
      </c>
      <c r="J899">
        <v>1</v>
      </c>
      <c r="K899" t="s">
        <v>38</v>
      </c>
      <c r="L899" t="s">
        <v>36</v>
      </c>
      <c r="M899" t="s">
        <v>37</v>
      </c>
      <c r="N899">
        <v>5</v>
      </c>
      <c r="O899" t="s">
        <v>45</v>
      </c>
      <c r="P899">
        <v>86</v>
      </c>
      <c r="Q899" t="s">
        <v>37</v>
      </c>
      <c r="R899" t="s">
        <v>37</v>
      </c>
      <c r="S899" t="s">
        <v>37</v>
      </c>
      <c r="T899" t="s">
        <v>51</v>
      </c>
      <c r="U899">
        <v>3</v>
      </c>
      <c r="V899" t="s">
        <v>41</v>
      </c>
      <c r="W899" t="s">
        <v>50</v>
      </c>
      <c r="X899" t="s">
        <v>37</v>
      </c>
      <c r="Y899" t="s">
        <v>47</v>
      </c>
      <c r="Z899" t="s">
        <v>37</v>
      </c>
      <c r="AA899">
        <v>1.98</v>
      </c>
      <c r="AB899" t="s">
        <v>37</v>
      </c>
      <c r="AC899">
        <v>2.89</v>
      </c>
      <c r="AD899">
        <v>145</v>
      </c>
      <c r="AE899">
        <v>300000</v>
      </c>
      <c r="AF899" t="str">
        <f>IF(Table1[[#This Row],[What is your current CGPA?]]&gt;=3.5,"High",IF(Table1[[#This Row],[What is your current CGPA?]]&gt;=2.5,"Medium","Low"))</f>
        <v>Medium</v>
      </c>
      <c r="AG899" t="str">
        <f>IF(AND(Table1[[#This Row],[Average attendance on class]]&lt;75,Table1[[#This Row],[How many hour do you study daily?]]&lt;1),"At Risk","Normal")</f>
        <v>Normal</v>
      </c>
      <c r="AH899">
        <f>(Table1[[#This Row],[Average attendance on class]]*0.4)+(Table1[[#This Row],[How many hour do you study daily?]]*10*0.3)+(Table1[[#This Row],[How many hour do you spent daily on your skill development?]]*10*0.3)</f>
        <v>49.4</v>
      </c>
    </row>
    <row r="900" spans="1:34" x14ac:dyDescent="0.25">
      <c r="A900">
        <v>2020</v>
      </c>
      <c r="B900" t="s">
        <v>34</v>
      </c>
      <c r="C900">
        <v>23</v>
      </c>
      <c r="D900">
        <v>2019</v>
      </c>
      <c r="E900" t="s">
        <v>35</v>
      </c>
      <c r="F900">
        <v>9</v>
      </c>
      <c r="G900" t="s">
        <v>36</v>
      </c>
      <c r="H900" t="s">
        <v>37</v>
      </c>
      <c r="I900">
        <v>1</v>
      </c>
      <c r="J900">
        <v>2</v>
      </c>
      <c r="K900" t="s">
        <v>38</v>
      </c>
      <c r="L900" t="s">
        <v>36</v>
      </c>
      <c r="M900" t="s">
        <v>36</v>
      </c>
      <c r="N900">
        <v>5</v>
      </c>
      <c r="O900" t="s">
        <v>45</v>
      </c>
      <c r="P900">
        <v>100</v>
      </c>
      <c r="Q900" t="s">
        <v>37</v>
      </c>
      <c r="R900" t="s">
        <v>37</v>
      </c>
      <c r="S900" t="s">
        <v>36</v>
      </c>
      <c r="T900" t="s">
        <v>40</v>
      </c>
      <c r="U900">
        <v>1</v>
      </c>
      <c r="V900" t="s">
        <v>41</v>
      </c>
      <c r="W900" t="s">
        <v>50</v>
      </c>
      <c r="X900" t="s">
        <v>37</v>
      </c>
      <c r="Y900" t="s">
        <v>47</v>
      </c>
      <c r="Z900" t="s">
        <v>37</v>
      </c>
      <c r="AA900">
        <v>2.91</v>
      </c>
      <c r="AB900" t="s">
        <v>37</v>
      </c>
      <c r="AC900">
        <v>3.89</v>
      </c>
      <c r="AD900">
        <v>103</v>
      </c>
      <c r="AE900">
        <v>10000</v>
      </c>
      <c r="AF900" t="str">
        <f>IF(Table1[[#This Row],[What is your current CGPA?]]&gt;=3.5,"High",IF(Table1[[#This Row],[What is your current CGPA?]]&gt;=2.5,"Medium","Low"))</f>
        <v>High</v>
      </c>
      <c r="AG900" t="str">
        <f>IF(AND(Table1[[#This Row],[Average attendance on class]]&lt;75,Table1[[#This Row],[How many hour do you study daily?]]&lt;1),"At Risk","Normal")</f>
        <v>Normal</v>
      </c>
      <c r="AH900">
        <f>(Table1[[#This Row],[Average attendance on class]]*0.4)+(Table1[[#This Row],[How many hour do you study daily?]]*10*0.3)+(Table1[[#This Row],[How many hour do you spent daily on your skill development?]]*10*0.3)</f>
        <v>46</v>
      </c>
    </row>
    <row r="901" spans="1:34" x14ac:dyDescent="0.25">
      <c r="A901">
        <v>2020</v>
      </c>
      <c r="B901" t="s">
        <v>48</v>
      </c>
      <c r="C901">
        <v>22</v>
      </c>
      <c r="D901">
        <v>2019</v>
      </c>
      <c r="E901" t="s">
        <v>35</v>
      </c>
      <c r="F901">
        <v>11</v>
      </c>
      <c r="G901" t="s">
        <v>36</v>
      </c>
      <c r="H901" t="s">
        <v>37</v>
      </c>
      <c r="I901">
        <v>2</v>
      </c>
      <c r="J901">
        <v>1</v>
      </c>
      <c r="K901" t="s">
        <v>38</v>
      </c>
      <c r="L901" t="s">
        <v>36</v>
      </c>
      <c r="M901" t="s">
        <v>36</v>
      </c>
      <c r="N901">
        <v>3</v>
      </c>
      <c r="O901" t="s">
        <v>39</v>
      </c>
      <c r="P901">
        <v>95</v>
      </c>
      <c r="Q901" t="s">
        <v>37</v>
      </c>
      <c r="R901" t="s">
        <v>37</v>
      </c>
      <c r="S901" t="s">
        <v>36</v>
      </c>
      <c r="T901" t="s">
        <v>40</v>
      </c>
      <c r="U901">
        <v>1</v>
      </c>
      <c r="V901" t="s">
        <v>41</v>
      </c>
      <c r="W901" t="s">
        <v>42</v>
      </c>
      <c r="X901" t="s">
        <v>37</v>
      </c>
      <c r="Y901" t="s">
        <v>47</v>
      </c>
      <c r="Z901" t="s">
        <v>37</v>
      </c>
      <c r="AA901">
        <v>2.5</v>
      </c>
      <c r="AB901" t="s">
        <v>37</v>
      </c>
      <c r="AC901">
        <v>3.48</v>
      </c>
      <c r="AD901">
        <v>128</v>
      </c>
      <c r="AE901">
        <v>25000</v>
      </c>
      <c r="AF901" t="str">
        <f>IF(Table1[[#This Row],[What is your current CGPA?]]&gt;=3.5,"High",IF(Table1[[#This Row],[What is your current CGPA?]]&gt;=2.5,"Medium","Low"))</f>
        <v>Medium</v>
      </c>
      <c r="AG901" t="str">
        <f>IF(AND(Table1[[#This Row],[Average attendance on class]]&lt;75,Table1[[#This Row],[How many hour do you study daily?]]&lt;1),"At Risk","Normal")</f>
        <v>Normal</v>
      </c>
      <c r="AH901">
        <f>(Table1[[#This Row],[Average attendance on class]]*0.4)+(Table1[[#This Row],[How many hour do you study daily?]]*10*0.3)+(Table1[[#This Row],[How many hour do you spent daily on your skill development?]]*10*0.3)</f>
        <v>47</v>
      </c>
    </row>
    <row r="902" spans="1:34" x14ac:dyDescent="0.25">
      <c r="A902">
        <v>2023</v>
      </c>
      <c r="B902" t="s">
        <v>48</v>
      </c>
      <c r="C902">
        <v>21</v>
      </c>
      <c r="D902">
        <v>2022</v>
      </c>
      <c r="E902" t="s">
        <v>35</v>
      </c>
      <c r="F902">
        <v>2</v>
      </c>
      <c r="G902" t="s">
        <v>37</v>
      </c>
      <c r="H902" t="s">
        <v>37</v>
      </c>
      <c r="I902">
        <v>5</v>
      </c>
      <c r="J902">
        <v>5</v>
      </c>
      <c r="K902" t="s">
        <v>38</v>
      </c>
      <c r="L902" t="s">
        <v>36</v>
      </c>
      <c r="M902" t="s">
        <v>36</v>
      </c>
      <c r="N902">
        <v>5</v>
      </c>
      <c r="O902" t="s">
        <v>39</v>
      </c>
      <c r="P902">
        <v>100</v>
      </c>
      <c r="Q902" t="s">
        <v>37</v>
      </c>
      <c r="R902" t="s">
        <v>37</v>
      </c>
      <c r="S902" t="s">
        <v>37</v>
      </c>
      <c r="T902" t="s">
        <v>40</v>
      </c>
      <c r="U902">
        <v>3</v>
      </c>
      <c r="V902" t="s">
        <v>40</v>
      </c>
      <c r="W902" t="s">
        <v>42</v>
      </c>
      <c r="X902" t="s">
        <v>36</v>
      </c>
      <c r="Y902" t="s">
        <v>47</v>
      </c>
      <c r="Z902" t="s">
        <v>37</v>
      </c>
      <c r="AA902">
        <v>2.85</v>
      </c>
      <c r="AB902" t="s">
        <v>37</v>
      </c>
      <c r="AC902">
        <v>3.65</v>
      </c>
      <c r="AD902">
        <v>28</v>
      </c>
      <c r="AE902">
        <v>25000</v>
      </c>
      <c r="AF902" t="str">
        <f>IF(Table1[[#This Row],[What is your current CGPA?]]&gt;=3.5,"High",IF(Table1[[#This Row],[What is your current CGPA?]]&gt;=2.5,"Medium","Low"))</f>
        <v>High</v>
      </c>
      <c r="AG902" t="str">
        <f>IF(AND(Table1[[#This Row],[Average attendance on class]]&lt;75,Table1[[#This Row],[How many hour do you study daily?]]&lt;1),"At Risk","Normal")</f>
        <v>Normal</v>
      </c>
      <c r="AH902">
        <f>(Table1[[#This Row],[Average attendance on class]]*0.4)+(Table1[[#This Row],[How many hour do you study daily?]]*10*0.3)+(Table1[[#This Row],[How many hour do you spent daily on your skill development?]]*10*0.3)</f>
        <v>64</v>
      </c>
    </row>
    <row r="903" spans="1:34" x14ac:dyDescent="0.25">
      <c r="A903">
        <v>2020</v>
      </c>
      <c r="B903" t="s">
        <v>48</v>
      </c>
      <c r="C903">
        <v>24</v>
      </c>
      <c r="D903">
        <v>2019</v>
      </c>
      <c r="E903" t="s">
        <v>35</v>
      </c>
      <c r="F903">
        <v>9</v>
      </c>
      <c r="G903" t="s">
        <v>37</v>
      </c>
      <c r="H903" t="s">
        <v>37</v>
      </c>
      <c r="I903">
        <v>5</v>
      </c>
      <c r="J903">
        <v>1</v>
      </c>
      <c r="K903" t="s">
        <v>38</v>
      </c>
      <c r="L903" t="s">
        <v>36</v>
      </c>
      <c r="M903" t="s">
        <v>36</v>
      </c>
      <c r="N903">
        <v>6</v>
      </c>
      <c r="O903" t="s">
        <v>45</v>
      </c>
      <c r="P903">
        <v>90</v>
      </c>
      <c r="Q903" t="s">
        <v>37</v>
      </c>
      <c r="R903" t="s">
        <v>37</v>
      </c>
      <c r="S903" t="s">
        <v>37</v>
      </c>
      <c r="T903" t="s">
        <v>51</v>
      </c>
      <c r="U903">
        <v>2</v>
      </c>
      <c r="V903" t="s">
        <v>59</v>
      </c>
      <c r="W903" t="s">
        <v>42</v>
      </c>
      <c r="X903" t="s">
        <v>36</v>
      </c>
      <c r="Y903" t="s">
        <v>47</v>
      </c>
      <c r="Z903" t="s">
        <v>36</v>
      </c>
      <c r="AA903">
        <v>2.2000000000000002</v>
      </c>
      <c r="AB903" t="s">
        <v>36</v>
      </c>
      <c r="AC903">
        <v>3.5</v>
      </c>
      <c r="AD903">
        <v>60</v>
      </c>
      <c r="AE903">
        <v>28000</v>
      </c>
      <c r="AF903" t="str">
        <f>IF(Table1[[#This Row],[What is your current CGPA?]]&gt;=3.5,"High",IF(Table1[[#This Row],[What is your current CGPA?]]&gt;=2.5,"Medium","Low"))</f>
        <v>High</v>
      </c>
      <c r="AG903" t="str">
        <f>IF(AND(Table1[[#This Row],[Average attendance on class]]&lt;75,Table1[[#This Row],[How many hour do you study daily?]]&lt;1),"At Risk","Normal")</f>
        <v>Normal</v>
      </c>
      <c r="AH903">
        <f>(Table1[[#This Row],[Average attendance on class]]*0.4)+(Table1[[#This Row],[How many hour do you study daily?]]*10*0.3)+(Table1[[#This Row],[How many hour do you spent daily on your skill development?]]*10*0.3)</f>
        <v>57</v>
      </c>
    </row>
    <row r="904" spans="1:34" x14ac:dyDescent="0.25">
      <c r="A904">
        <v>2020</v>
      </c>
      <c r="B904" t="s">
        <v>34</v>
      </c>
      <c r="C904">
        <v>25</v>
      </c>
      <c r="D904">
        <v>2019</v>
      </c>
      <c r="E904" t="s">
        <v>35</v>
      </c>
      <c r="F904">
        <v>10</v>
      </c>
      <c r="G904" t="s">
        <v>36</v>
      </c>
      <c r="H904" t="s">
        <v>37</v>
      </c>
      <c r="I904">
        <v>3</v>
      </c>
      <c r="J904">
        <v>1</v>
      </c>
      <c r="K904" t="s">
        <v>44</v>
      </c>
      <c r="L904" t="s">
        <v>36</v>
      </c>
      <c r="M904" t="s">
        <v>36</v>
      </c>
      <c r="N904">
        <v>5</v>
      </c>
      <c r="O904" t="s">
        <v>53</v>
      </c>
      <c r="P904">
        <v>99</v>
      </c>
      <c r="Q904" t="s">
        <v>37</v>
      </c>
      <c r="R904" t="s">
        <v>37</v>
      </c>
      <c r="S904" t="s">
        <v>36</v>
      </c>
      <c r="T904" t="s">
        <v>51</v>
      </c>
      <c r="U904">
        <v>3</v>
      </c>
      <c r="V904" t="s">
        <v>40</v>
      </c>
      <c r="W904" t="s">
        <v>50</v>
      </c>
      <c r="X904" t="s">
        <v>36</v>
      </c>
      <c r="Y904" t="s">
        <v>43</v>
      </c>
      <c r="Z904" t="s">
        <v>37</v>
      </c>
      <c r="AA904">
        <v>2.48</v>
      </c>
      <c r="AB904" t="s">
        <v>37</v>
      </c>
      <c r="AC904">
        <v>3.48</v>
      </c>
      <c r="AD904">
        <v>105</v>
      </c>
      <c r="AE904">
        <v>30000</v>
      </c>
      <c r="AF904" t="str">
        <f>IF(Table1[[#This Row],[What is your current CGPA?]]&gt;=3.5,"High",IF(Table1[[#This Row],[What is your current CGPA?]]&gt;=2.5,"Medium","Low"))</f>
        <v>Medium</v>
      </c>
      <c r="AG904" t="str">
        <f>IF(AND(Table1[[#This Row],[Average attendance on class]]&lt;75,Table1[[#This Row],[How many hour do you study daily?]]&lt;1),"At Risk","Normal")</f>
        <v>Normal</v>
      </c>
      <c r="AH904">
        <f>(Table1[[#This Row],[Average attendance on class]]*0.4)+(Table1[[#This Row],[How many hour do you study daily?]]*10*0.3)+(Table1[[#This Row],[How many hour do you spent daily on your skill development?]]*10*0.3)</f>
        <v>57.6</v>
      </c>
    </row>
    <row r="905" spans="1:34" x14ac:dyDescent="0.25">
      <c r="A905">
        <v>2020</v>
      </c>
      <c r="B905" t="s">
        <v>48</v>
      </c>
      <c r="C905">
        <v>23</v>
      </c>
      <c r="D905">
        <v>2019</v>
      </c>
      <c r="E905" t="s">
        <v>35</v>
      </c>
      <c r="F905">
        <v>10</v>
      </c>
      <c r="G905" t="s">
        <v>37</v>
      </c>
      <c r="H905" t="s">
        <v>37</v>
      </c>
      <c r="I905">
        <v>4</v>
      </c>
      <c r="J905">
        <v>1</v>
      </c>
      <c r="K905" t="s">
        <v>38</v>
      </c>
      <c r="L905" t="s">
        <v>36</v>
      </c>
      <c r="M905" t="s">
        <v>36</v>
      </c>
      <c r="N905">
        <v>3</v>
      </c>
      <c r="O905" t="s">
        <v>39</v>
      </c>
      <c r="P905">
        <v>98</v>
      </c>
      <c r="Q905" t="s">
        <v>37</v>
      </c>
      <c r="R905" t="s">
        <v>37</v>
      </c>
      <c r="S905" t="s">
        <v>37</v>
      </c>
      <c r="T905" t="s">
        <v>51</v>
      </c>
      <c r="U905">
        <v>2</v>
      </c>
      <c r="V905" t="s">
        <v>59</v>
      </c>
      <c r="W905" t="s">
        <v>42</v>
      </c>
      <c r="X905" t="s">
        <v>37</v>
      </c>
      <c r="Y905" t="s">
        <v>43</v>
      </c>
      <c r="Z905" t="s">
        <v>37</v>
      </c>
      <c r="AA905">
        <v>2.87</v>
      </c>
      <c r="AB905" t="s">
        <v>37</v>
      </c>
      <c r="AC905">
        <v>3.93</v>
      </c>
      <c r="AD905">
        <v>138</v>
      </c>
      <c r="AE905">
        <v>30000</v>
      </c>
      <c r="AF905" t="str">
        <f>IF(Table1[[#This Row],[What is your current CGPA?]]&gt;=3.5,"High",IF(Table1[[#This Row],[What is your current CGPA?]]&gt;=2.5,"Medium","Low"))</f>
        <v>High</v>
      </c>
      <c r="AG905" t="str">
        <f>IF(AND(Table1[[#This Row],[Average attendance on class]]&lt;75,Table1[[#This Row],[How many hour do you study daily?]]&lt;1),"At Risk","Normal")</f>
        <v>Normal</v>
      </c>
      <c r="AH905">
        <f>(Table1[[#This Row],[Average attendance on class]]*0.4)+(Table1[[#This Row],[How many hour do you study daily?]]*10*0.3)+(Table1[[#This Row],[How many hour do you spent daily on your skill development?]]*10*0.3)</f>
        <v>57.2</v>
      </c>
    </row>
    <row r="906" spans="1:34" x14ac:dyDescent="0.25">
      <c r="A906">
        <v>2022</v>
      </c>
      <c r="B906" t="s">
        <v>34</v>
      </c>
      <c r="C906">
        <v>22</v>
      </c>
      <c r="D906">
        <v>2020</v>
      </c>
      <c r="E906" t="s">
        <v>35</v>
      </c>
      <c r="F906">
        <v>5</v>
      </c>
      <c r="G906" t="s">
        <v>36</v>
      </c>
      <c r="H906" t="s">
        <v>37</v>
      </c>
      <c r="I906">
        <v>2</v>
      </c>
      <c r="J906">
        <v>2</v>
      </c>
      <c r="K906" t="s">
        <v>38</v>
      </c>
      <c r="L906" t="s">
        <v>36</v>
      </c>
      <c r="M906" t="s">
        <v>37</v>
      </c>
      <c r="N906">
        <v>4</v>
      </c>
      <c r="O906" t="s">
        <v>39</v>
      </c>
      <c r="P906">
        <v>99</v>
      </c>
      <c r="Q906" t="s">
        <v>37</v>
      </c>
      <c r="R906" t="s">
        <v>37</v>
      </c>
      <c r="S906" t="s">
        <v>36</v>
      </c>
      <c r="T906" t="s">
        <v>40</v>
      </c>
      <c r="U906">
        <v>2</v>
      </c>
      <c r="V906" t="s">
        <v>59</v>
      </c>
      <c r="W906" t="s">
        <v>42</v>
      </c>
      <c r="X906" t="s">
        <v>37</v>
      </c>
      <c r="Y906" t="s">
        <v>47</v>
      </c>
      <c r="Z906" t="s">
        <v>37</v>
      </c>
      <c r="AA906">
        <v>2.56</v>
      </c>
      <c r="AB906" t="s">
        <v>37</v>
      </c>
      <c r="AC906">
        <v>3.35</v>
      </c>
      <c r="AD906">
        <v>54</v>
      </c>
      <c r="AE906">
        <v>30000</v>
      </c>
      <c r="AF906" t="str">
        <f>IF(Table1[[#This Row],[What is your current CGPA?]]&gt;=3.5,"High",IF(Table1[[#This Row],[What is your current CGPA?]]&gt;=2.5,"Medium","Low"))</f>
        <v>Medium</v>
      </c>
      <c r="AG906" t="str">
        <f>IF(AND(Table1[[#This Row],[Average attendance on class]]&lt;75,Table1[[#This Row],[How many hour do you study daily?]]&lt;1),"At Risk","Normal")</f>
        <v>Normal</v>
      </c>
      <c r="AH906">
        <f>(Table1[[#This Row],[Average attendance on class]]*0.4)+(Table1[[#This Row],[How many hour do you study daily?]]*10*0.3)+(Table1[[#This Row],[How many hour do you spent daily on your skill development?]]*10*0.3)</f>
        <v>51.6</v>
      </c>
    </row>
    <row r="907" spans="1:34" x14ac:dyDescent="0.25">
      <c r="A907">
        <v>2021</v>
      </c>
      <c r="B907" t="s">
        <v>48</v>
      </c>
      <c r="C907">
        <v>20</v>
      </c>
      <c r="D907">
        <v>2020</v>
      </c>
      <c r="E907" t="s">
        <v>35</v>
      </c>
      <c r="F907">
        <v>7</v>
      </c>
      <c r="G907" t="s">
        <v>37</v>
      </c>
      <c r="H907" t="s">
        <v>37</v>
      </c>
      <c r="I907">
        <v>4</v>
      </c>
      <c r="J907">
        <v>2</v>
      </c>
      <c r="K907" t="s">
        <v>38</v>
      </c>
      <c r="L907" t="s">
        <v>36</v>
      </c>
      <c r="M907" t="s">
        <v>36</v>
      </c>
      <c r="N907">
        <v>7</v>
      </c>
      <c r="O907" t="s">
        <v>39</v>
      </c>
      <c r="P907">
        <v>100</v>
      </c>
      <c r="Q907" t="s">
        <v>37</v>
      </c>
      <c r="R907" t="s">
        <v>37</v>
      </c>
      <c r="S907" t="s">
        <v>36</v>
      </c>
      <c r="T907" t="s">
        <v>49</v>
      </c>
      <c r="U907">
        <v>1</v>
      </c>
      <c r="V907" t="s">
        <v>59</v>
      </c>
      <c r="W907" t="s">
        <v>50</v>
      </c>
      <c r="X907" t="s">
        <v>37</v>
      </c>
      <c r="Y907" t="s">
        <v>47</v>
      </c>
      <c r="Z907" t="s">
        <v>37</v>
      </c>
      <c r="AA907">
        <v>2.31</v>
      </c>
      <c r="AB907" t="s">
        <v>37</v>
      </c>
      <c r="AC907">
        <v>3.45</v>
      </c>
      <c r="AD907">
        <v>109</v>
      </c>
      <c r="AE907">
        <v>30000</v>
      </c>
      <c r="AF907" t="str">
        <f>IF(Table1[[#This Row],[What is your current CGPA?]]&gt;=3.5,"High",IF(Table1[[#This Row],[What is your current CGPA?]]&gt;=2.5,"Medium","Low"))</f>
        <v>Medium</v>
      </c>
      <c r="AG907" t="str">
        <f>IF(AND(Table1[[#This Row],[Average attendance on class]]&lt;75,Table1[[#This Row],[How many hour do you study daily?]]&lt;1),"At Risk","Normal")</f>
        <v>Normal</v>
      </c>
      <c r="AH907">
        <f>(Table1[[#This Row],[Average attendance on class]]*0.4)+(Table1[[#This Row],[How many hour do you study daily?]]*10*0.3)+(Table1[[#This Row],[How many hour do you spent daily on your skill development?]]*10*0.3)</f>
        <v>55</v>
      </c>
    </row>
    <row r="908" spans="1:34" x14ac:dyDescent="0.25">
      <c r="A908">
        <v>2018</v>
      </c>
      <c r="B908" t="s">
        <v>34</v>
      </c>
      <c r="C908">
        <v>25</v>
      </c>
      <c r="D908">
        <v>2018</v>
      </c>
      <c r="E908" t="s">
        <v>35</v>
      </c>
      <c r="F908">
        <v>11</v>
      </c>
      <c r="G908" t="s">
        <v>37</v>
      </c>
      <c r="H908" t="s">
        <v>37</v>
      </c>
      <c r="I908">
        <v>3</v>
      </c>
      <c r="J908">
        <v>1</v>
      </c>
      <c r="K908" t="s">
        <v>38</v>
      </c>
      <c r="L908" t="s">
        <v>36</v>
      </c>
      <c r="M908" t="s">
        <v>36</v>
      </c>
      <c r="N908">
        <v>3</v>
      </c>
      <c r="O908" t="s">
        <v>45</v>
      </c>
      <c r="P908">
        <v>100</v>
      </c>
      <c r="Q908" t="s">
        <v>37</v>
      </c>
      <c r="R908" t="s">
        <v>36</v>
      </c>
      <c r="S908" t="s">
        <v>36</v>
      </c>
      <c r="T908" t="s">
        <v>61</v>
      </c>
      <c r="U908">
        <v>2</v>
      </c>
      <c r="V908" t="s">
        <v>41</v>
      </c>
      <c r="W908" t="s">
        <v>56</v>
      </c>
      <c r="X908" t="s">
        <v>37</v>
      </c>
      <c r="Y908" t="s">
        <v>47</v>
      </c>
      <c r="Z908" t="s">
        <v>37</v>
      </c>
      <c r="AA908">
        <v>2.4500000000000002</v>
      </c>
      <c r="AB908" t="s">
        <v>37</v>
      </c>
      <c r="AC908">
        <v>3.56</v>
      </c>
      <c r="AD908">
        <v>143</v>
      </c>
      <c r="AE908">
        <v>32000</v>
      </c>
      <c r="AF908" t="str">
        <f>IF(Table1[[#This Row],[What is your current CGPA?]]&gt;=3.5,"High",IF(Table1[[#This Row],[What is your current CGPA?]]&gt;=2.5,"Medium","Low"))</f>
        <v>High</v>
      </c>
      <c r="AG908" t="str">
        <f>IF(AND(Table1[[#This Row],[Average attendance on class]]&lt;75,Table1[[#This Row],[How many hour do you study daily?]]&lt;1),"At Risk","Normal")</f>
        <v>Normal</v>
      </c>
      <c r="AH908">
        <f>(Table1[[#This Row],[Average attendance on class]]*0.4)+(Table1[[#This Row],[How many hour do you study daily?]]*10*0.3)+(Table1[[#This Row],[How many hour do you spent daily on your skill development?]]*10*0.3)</f>
        <v>55</v>
      </c>
    </row>
    <row r="909" spans="1:34" x14ac:dyDescent="0.25">
      <c r="A909">
        <v>2022</v>
      </c>
      <c r="B909" t="s">
        <v>48</v>
      </c>
      <c r="C909">
        <v>19</v>
      </c>
      <c r="D909">
        <v>2021</v>
      </c>
      <c r="E909" t="s">
        <v>35</v>
      </c>
      <c r="F909">
        <v>7</v>
      </c>
      <c r="G909" t="s">
        <v>37</v>
      </c>
      <c r="H909" t="s">
        <v>37</v>
      </c>
      <c r="I909">
        <v>4</v>
      </c>
      <c r="J909">
        <v>2</v>
      </c>
      <c r="K909" t="s">
        <v>44</v>
      </c>
      <c r="L909" t="s">
        <v>36</v>
      </c>
      <c r="M909" t="s">
        <v>36</v>
      </c>
      <c r="N909">
        <v>5</v>
      </c>
      <c r="O909" t="s">
        <v>39</v>
      </c>
      <c r="P909">
        <v>90</v>
      </c>
      <c r="Q909" t="s">
        <v>37</v>
      </c>
      <c r="R909" t="s">
        <v>37</v>
      </c>
      <c r="S909" t="s">
        <v>36</v>
      </c>
      <c r="T909" t="s">
        <v>49</v>
      </c>
      <c r="U909">
        <v>2</v>
      </c>
      <c r="V909" t="s">
        <v>59</v>
      </c>
      <c r="W909" t="s">
        <v>50</v>
      </c>
      <c r="X909" t="s">
        <v>36</v>
      </c>
      <c r="Y909" t="s">
        <v>47</v>
      </c>
      <c r="Z909" t="s">
        <v>36</v>
      </c>
      <c r="AA909">
        <v>2.09</v>
      </c>
      <c r="AB909" t="s">
        <v>37</v>
      </c>
      <c r="AC909">
        <v>3.34</v>
      </c>
      <c r="AD909">
        <v>100</v>
      </c>
      <c r="AE909">
        <v>34000</v>
      </c>
      <c r="AF909" t="str">
        <f>IF(Table1[[#This Row],[What is your current CGPA?]]&gt;=3.5,"High",IF(Table1[[#This Row],[What is your current CGPA?]]&gt;=2.5,"Medium","Low"))</f>
        <v>Medium</v>
      </c>
      <c r="AG909" t="str">
        <f>IF(AND(Table1[[#This Row],[Average attendance on class]]&lt;75,Table1[[#This Row],[How many hour do you study daily?]]&lt;1),"At Risk","Normal")</f>
        <v>Normal</v>
      </c>
      <c r="AH909">
        <f>(Table1[[#This Row],[Average attendance on class]]*0.4)+(Table1[[#This Row],[How many hour do you study daily?]]*10*0.3)+(Table1[[#This Row],[How many hour do you spent daily on your skill development?]]*10*0.3)</f>
        <v>54</v>
      </c>
    </row>
    <row r="910" spans="1:34" x14ac:dyDescent="0.25">
      <c r="A910">
        <v>2019</v>
      </c>
      <c r="B910" t="s">
        <v>34</v>
      </c>
      <c r="C910">
        <v>24</v>
      </c>
      <c r="D910">
        <v>2018</v>
      </c>
      <c r="E910" t="s">
        <v>35</v>
      </c>
      <c r="F910">
        <v>11</v>
      </c>
      <c r="G910" t="s">
        <v>37</v>
      </c>
      <c r="H910" t="s">
        <v>37</v>
      </c>
      <c r="I910">
        <v>3</v>
      </c>
      <c r="J910">
        <v>2</v>
      </c>
      <c r="K910" t="s">
        <v>38</v>
      </c>
      <c r="L910" t="s">
        <v>36</v>
      </c>
      <c r="M910" t="s">
        <v>36</v>
      </c>
      <c r="N910">
        <v>3</v>
      </c>
      <c r="O910" t="s">
        <v>39</v>
      </c>
      <c r="P910">
        <v>65</v>
      </c>
      <c r="Q910" t="s">
        <v>36</v>
      </c>
      <c r="R910" t="s">
        <v>37</v>
      </c>
      <c r="S910" t="s">
        <v>37</v>
      </c>
      <c r="T910" t="s">
        <v>61</v>
      </c>
      <c r="U910">
        <v>2</v>
      </c>
      <c r="V910" t="s">
        <v>41</v>
      </c>
      <c r="W910" t="s">
        <v>42</v>
      </c>
      <c r="X910" t="s">
        <v>36</v>
      </c>
      <c r="Y910" t="s">
        <v>47</v>
      </c>
      <c r="Z910" t="s">
        <v>36</v>
      </c>
      <c r="AA910">
        <v>2.4500000000000002</v>
      </c>
      <c r="AB910" t="s">
        <v>37</v>
      </c>
      <c r="AC910">
        <v>3.55</v>
      </c>
      <c r="AD910">
        <v>144</v>
      </c>
      <c r="AE910">
        <v>37000</v>
      </c>
      <c r="AF910" t="str">
        <f>IF(Table1[[#This Row],[What is your current CGPA?]]&gt;=3.5,"High",IF(Table1[[#This Row],[What is your current CGPA?]]&gt;=2.5,"Medium","Low"))</f>
        <v>High</v>
      </c>
      <c r="AG910" t="str">
        <f>IF(AND(Table1[[#This Row],[Average attendance on class]]&lt;75,Table1[[#This Row],[How many hour do you study daily?]]&lt;1),"At Risk","Normal")</f>
        <v>Normal</v>
      </c>
      <c r="AH910">
        <f>(Table1[[#This Row],[Average attendance on class]]*0.4)+(Table1[[#This Row],[How many hour do you study daily?]]*10*0.3)+(Table1[[#This Row],[How many hour do you spent daily on your skill development?]]*10*0.3)</f>
        <v>41</v>
      </c>
    </row>
    <row r="911" spans="1:34" x14ac:dyDescent="0.25">
      <c r="A911">
        <v>2020</v>
      </c>
      <c r="B911" t="s">
        <v>48</v>
      </c>
      <c r="C911">
        <v>20</v>
      </c>
      <c r="D911">
        <v>2020</v>
      </c>
      <c r="E911" t="s">
        <v>35</v>
      </c>
      <c r="F911">
        <v>11</v>
      </c>
      <c r="G911" t="s">
        <v>37</v>
      </c>
      <c r="H911" t="s">
        <v>37</v>
      </c>
      <c r="I911">
        <v>2</v>
      </c>
      <c r="J911">
        <v>2</v>
      </c>
      <c r="K911" t="s">
        <v>44</v>
      </c>
      <c r="L911" t="s">
        <v>36</v>
      </c>
      <c r="M911" t="s">
        <v>36</v>
      </c>
      <c r="N911">
        <v>3</v>
      </c>
      <c r="O911" t="s">
        <v>39</v>
      </c>
      <c r="P911">
        <v>72</v>
      </c>
      <c r="Q911" t="s">
        <v>37</v>
      </c>
      <c r="R911" t="s">
        <v>37</v>
      </c>
      <c r="S911" t="s">
        <v>37</v>
      </c>
      <c r="T911" t="s">
        <v>61</v>
      </c>
      <c r="U911">
        <v>4</v>
      </c>
      <c r="V911" t="s">
        <v>41</v>
      </c>
      <c r="W911" t="s">
        <v>56</v>
      </c>
      <c r="X911" t="s">
        <v>37</v>
      </c>
      <c r="Y911" t="s">
        <v>47</v>
      </c>
      <c r="Z911" t="s">
        <v>37</v>
      </c>
      <c r="AA911">
        <v>2.67</v>
      </c>
      <c r="AB911" t="s">
        <v>37</v>
      </c>
      <c r="AC911">
        <v>3.77</v>
      </c>
      <c r="AD911">
        <v>143</v>
      </c>
      <c r="AE911">
        <v>37000</v>
      </c>
      <c r="AF911" t="str">
        <f>IF(Table1[[#This Row],[What is your current CGPA?]]&gt;=3.5,"High",IF(Table1[[#This Row],[What is your current CGPA?]]&gt;=2.5,"Medium","Low"))</f>
        <v>High</v>
      </c>
      <c r="AG911" t="str">
        <f>IF(AND(Table1[[#This Row],[Average attendance on class]]&lt;75,Table1[[#This Row],[How many hour do you study daily?]]&lt;1),"At Risk","Normal")</f>
        <v>Normal</v>
      </c>
      <c r="AH911">
        <f>(Table1[[#This Row],[Average attendance on class]]*0.4)+(Table1[[#This Row],[How many hour do you study daily?]]*10*0.3)+(Table1[[#This Row],[How many hour do you spent daily on your skill development?]]*10*0.3)</f>
        <v>46.8</v>
      </c>
    </row>
    <row r="912" spans="1:34" x14ac:dyDescent="0.25">
      <c r="A912">
        <v>2022</v>
      </c>
      <c r="B912" t="s">
        <v>34</v>
      </c>
      <c r="C912">
        <v>21</v>
      </c>
      <c r="D912">
        <v>2021</v>
      </c>
      <c r="E912" t="s">
        <v>35</v>
      </c>
      <c r="F912">
        <v>6</v>
      </c>
      <c r="G912" t="s">
        <v>37</v>
      </c>
      <c r="H912" t="s">
        <v>37</v>
      </c>
      <c r="I912">
        <v>2</v>
      </c>
      <c r="J912">
        <v>2</v>
      </c>
      <c r="K912" t="s">
        <v>38</v>
      </c>
      <c r="L912" t="s">
        <v>36</v>
      </c>
      <c r="M912" t="s">
        <v>36</v>
      </c>
      <c r="N912">
        <v>3</v>
      </c>
      <c r="O912" t="s">
        <v>53</v>
      </c>
      <c r="P912">
        <v>42</v>
      </c>
      <c r="Q912" t="s">
        <v>37</v>
      </c>
      <c r="R912" t="s">
        <v>37</v>
      </c>
      <c r="S912" t="s">
        <v>36</v>
      </c>
      <c r="T912" t="s">
        <v>61</v>
      </c>
      <c r="U912">
        <v>3</v>
      </c>
      <c r="V912" t="s">
        <v>41</v>
      </c>
      <c r="W912" t="s">
        <v>42</v>
      </c>
      <c r="X912" t="s">
        <v>37</v>
      </c>
      <c r="Y912" t="s">
        <v>43</v>
      </c>
      <c r="Z912" t="s">
        <v>36</v>
      </c>
      <c r="AA912">
        <v>1.89</v>
      </c>
      <c r="AB912" t="s">
        <v>37</v>
      </c>
      <c r="AC912">
        <v>2.97</v>
      </c>
      <c r="AD912">
        <v>97</v>
      </c>
      <c r="AE912">
        <v>37000</v>
      </c>
      <c r="AF912" t="str">
        <f>IF(Table1[[#This Row],[What is your current CGPA?]]&gt;=3.5,"High",IF(Table1[[#This Row],[What is your current CGPA?]]&gt;=2.5,"Medium","Low"))</f>
        <v>Medium</v>
      </c>
      <c r="AG912" t="str">
        <f>IF(AND(Table1[[#This Row],[Average attendance on class]]&lt;75,Table1[[#This Row],[How many hour do you study daily?]]&lt;1),"At Risk","Normal")</f>
        <v>Normal</v>
      </c>
      <c r="AH912">
        <f>(Table1[[#This Row],[Average attendance on class]]*0.4)+(Table1[[#This Row],[How many hour do you study daily?]]*10*0.3)+(Table1[[#This Row],[How many hour do you spent daily on your skill development?]]*10*0.3)</f>
        <v>31.8</v>
      </c>
    </row>
    <row r="913" spans="1:34" x14ac:dyDescent="0.25">
      <c r="A913">
        <v>2021</v>
      </c>
      <c r="B913" t="s">
        <v>48</v>
      </c>
      <c r="C913">
        <v>20</v>
      </c>
      <c r="D913">
        <v>2020</v>
      </c>
      <c r="E913" t="s">
        <v>35</v>
      </c>
      <c r="F913">
        <v>8</v>
      </c>
      <c r="G913" t="s">
        <v>37</v>
      </c>
      <c r="H913" t="s">
        <v>37</v>
      </c>
      <c r="I913">
        <v>2</v>
      </c>
      <c r="J913">
        <v>2</v>
      </c>
      <c r="K913" t="s">
        <v>44</v>
      </c>
      <c r="L913" t="s">
        <v>36</v>
      </c>
      <c r="M913" t="s">
        <v>37</v>
      </c>
      <c r="N913">
        <v>3</v>
      </c>
      <c r="O913" t="s">
        <v>45</v>
      </c>
      <c r="P913">
        <v>68</v>
      </c>
      <c r="Q913" t="s">
        <v>37</v>
      </c>
      <c r="R913" t="s">
        <v>37</v>
      </c>
      <c r="S913" t="s">
        <v>37</v>
      </c>
      <c r="T913" t="s">
        <v>40</v>
      </c>
      <c r="U913">
        <v>4</v>
      </c>
      <c r="V913" t="s">
        <v>40</v>
      </c>
      <c r="W913" t="s">
        <v>56</v>
      </c>
      <c r="X913" t="s">
        <v>36</v>
      </c>
      <c r="Y913" t="s">
        <v>47</v>
      </c>
      <c r="Z913" t="s">
        <v>37</v>
      </c>
      <c r="AA913">
        <v>2.67</v>
      </c>
      <c r="AB913" t="s">
        <v>37</v>
      </c>
      <c r="AC913">
        <v>3.74</v>
      </c>
      <c r="AD913">
        <v>90</v>
      </c>
      <c r="AE913">
        <v>38000</v>
      </c>
      <c r="AF913" t="str">
        <f>IF(Table1[[#This Row],[What is your current CGPA?]]&gt;=3.5,"High",IF(Table1[[#This Row],[What is your current CGPA?]]&gt;=2.5,"Medium","Low"))</f>
        <v>High</v>
      </c>
      <c r="AG913" t="str">
        <f>IF(AND(Table1[[#This Row],[Average attendance on class]]&lt;75,Table1[[#This Row],[How many hour do you study daily?]]&lt;1),"At Risk","Normal")</f>
        <v>Normal</v>
      </c>
      <c r="AH913">
        <f>(Table1[[#This Row],[Average attendance on class]]*0.4)+(Table1[[#This Row],[How many hour do you study daily?]]*10*0.3)+(Table1[[#This Row],[How many hour do you spent daily on your skill development?]]*10*0.3)</f>
        <v>45.2</v>
      </c>
    </row>
    <row r="914" spans="1:34" x14ac:dyDescent="0.25">
      <c r="A914">
        <v>2022</v>
      </c>
      <c r="B914" t="s">
        <v>48</v>
      </c>
      <c r="C914">
        <v>22</v>
      </c>
      <c r="D914">
        <v>2021</v>
      </c>
      <c r="E914" t="s">
        <v>35</v>
      </c>
      <c r="F914">
        <v>5</v>
      </c>
      <c r="G914" t="s">
        <v>36</v>
      </c>
      <c r="H914" t="s">
        <v>37</v>
      </c>
      <c r="I914">
        <v>2</v>
      </c>
      <c r="J914">
        <v>2</v>
      </c>
      <c r="K914" t="s">
        <v>38</v>
      </c>
      <c r="L914" t="s">
        <v>36</v>
      </c>
      <c r="M914" t="s">
        <v>36</v>
      </c>
      <c r="N914">
        <v>2</v>
      </c>
      <c r="O914" t="s">
        <v>39</v>
      </c>
      <c r="P914">
        <v>47</v>
      </c>
      <c r="Q914" t="s">
        <v>36</v>
      </c>
      <c r="R914" t="s">
        <v>37</v>
      </c>
      <c r="S914" t="s">
        <v>37</v>
      </c>
      <c r="T914" t="s">
        <v>61</v>
      </c>
      <c r="U914">
        <v>2</v>
      </c>
      <c r="V914" t="s">
        <v>41</v>
      </c>
      <c r="W914" t="s">
        <v>42</v>
      </c>
      <c r="X914" t="s">
        <v>37</v>
      </c>
      <c r="Y914" t="s">
        <v>43</v>
      </c>
      <c r="Z914" t="s">
        <v>37</v>
      </c>
      <c r="AA914">
        <v>2.74</v>
      </c>
      <c r="AB914" t="s">
        <v>37</v>
      </c>
      <c r="AC914">
        <v>3.8</v>
      </c>
      <c r="AD914">
        <v>68</v>
      </c>
      <c r="AE914">
        <v>39000</v>
      </c>
      <c r="AF914" t="str">
        <f>IF(Table1[[#This Row],[What is your current CGPA?]]&gt;=3.5,"High",IF(Table1[[#This Row],[What is your current CGPA?]]&gt;=2.5,"Medium","Low"))</f>
        <v>High</v>
      </c>
      <c r="AG914" t="str">
        <f>IF(AND(Table1[[#This Row],[Average attendance on class]]&lt;75,Table1[[#This Row],[How many hour do you study daily?]]&lt;1),"At Risk","Normal")</f>
        <v>Normal</v>
      </c>
      <c r="AH914">
        <f>(Table1[[#This Row],[Average attendance on class]]*0.4)+(Table1[[#This Row],[How many hour do you study daily?]]*10*0.3)+(Table1[[#This Row],[How many hour do you spent daily on your skill development?]]*10*0.3)</f>
        <v>30.8</v>
      </c>
    </row>
    <row r="915" spans="1:34" x14ac:dyDescent="0.25">
      <c r="A915">
        <v>2018</v>
      </c>
      <c r="B915" t="s">
        <v>48</v>
      </c>
      <c r="C915">
        <v>22</v>
      </c>
      <c r="D915">
        <v>2017</v>
      </c>
      <c r="E915" t="s">
        <v>35</v>
      </c>
      <c r="F915">
        <v>10</v>
      </c>
      <c r="G915" t="s">
        <v>37</v>
      </c>
      <c r="H915" t="s">
        <v>37</v>
      </c>
      <c r="I915">
        <v>3</v>
      </c>
      <c r="J915">
        <v>2</v>
      </c>
      <c r="K915" t="s">
        <v>44</v>
      </c>
      <c r="L915" t="s">
        <v>36</v>
      </c>
      <c r="M915" t="s">
        <v>36</v>
      </c>
      <c r="N915">
        <v>8</v>
      </c>
      <c r="O915" t="s">
        <v>53</v>
      </c>
      <c r="P915">
        <v>90</v>
      </c>
      <c r="Q915" t="s">
        <v>36</v>
      </c>
      <c r="R915" t="s">
        <v>37</v>
      </c>
      <c r="S915" t="s">
        <v>36</v>
      </c>
      <c r="T915" t="s">
        <v>40</v>
      </c>
      <c r="U915">
        <v>2</v>
      </c>
      <c r="V915" t="s">
        <v>62</v>
      </c>
      <c r="W915" t="s">
        <v>42</v>
      </c>
      <c r="X915" t="s">
        <v>37</v>
      </c>
      <c r="Y915" t="s">
        <v>47</v>
      </c>
      <c r="Z915" t="s">
        <v>37</v>
      </c>
      <c r="AA915">
        <v>1.61</v>
      </c>
      <c r="AB915" t="s">
        <v>37</v>
      </c>
      <c r="AC915">
        <v>2.88</v>
      </c>
      <c r="AD915">
        <v>123</v>
      </c>
      <c r="AE915">
        <v>40000</v>
      </c>
      <c r="AF915" t="str">
        <f>IF(Table1[[#This Row],[What is your current CGPA?]]&gt;=3.5,"High",IF(Table1[[#This Row],[What is your current CGPA?]]&gt;=2.5,"Medium","Low"))</f>
        <v>Medium</v>
      </c>
      <c r="AG915" t="str">
        <f>IF(AND(Table1[[#This Row],[Average attendance on class]]&lt;75,Table1[[#This Row],[How many hour do you study daily?]]&lt;1),"At Risk","Normal")</f>
        <v>Normal</v>
      </c>
      <c r="AH915">
        <f>(Table1[[#This Row],[Average attendance on class]]*0.4)+(Table1[[#This Row],[How many hour do you study daily?]]*10*0.3)+(Table1[[#This Row],[How many hour do you spent daily on your skill development?]]*10*0.3)</f>
        <v>51</v>
      </c>
    </row>
    <row r="916" spans="1:34" x14ac:dyDescent="0.25">
      <c r="A916">
        <v>2018</v>
      </c>
      <c r="B916" t="s">
        <v>48</v>
      </c>
      <c r="C916">
        <v>24</v>
      </c>
      <c r="D916">
        <v>2018</v>
      </c>
      <c r="E916" t="s">
        <v>35</v>
      </c>
      <c r="F916">
        <v>11</v>
      </c>
      <c r="G916" t="s">
        <v>37</v>
      </c>
      <c r="H916" t="s">
        <v>37</v>
      </c>
      <c r="I916">
        <v>4</v>
      </c>
      <c r="J916">
        <v>2</v>
      </c>
      <c r="K916" t="s">
        <v>38</v>
      </c>
      <c r="L916" t="s">
        <v>36</v>
      </c>
      <c r="M916" t="s">
        <v>36</v>
      </c>
      <c r="N916">
        <v>2</v>
      </c>
      <c r="O916" t="s">
        <v>39</v>
      </c>
      <c r="P916">
        <v>86</v>
      </c>
      <c r="Q916" t="s">
        <v>36</v>
      </c>
      <c r="R916" t="s">
        <v>36</v>
      </c>
      <c r="S916" t="s">
        <v>37</v>
      </c>
      <c r="T916" t="s">
        <v>61</v>
      </c>
      <c r="U916">
        <v>4</v>
      </c>
      <c r="V916" t="s">
        <v>41</v>
      </c>
      <c r="W916" t="s">
        <v>50</v>
      </c>
      <c r="X916" t="s">
        <v>37</v>
      </c>
      <c r="Y916" t="s">
        <v>43</v>
      </c>
      <c r="Z916" t="s">
        <v>37</v>
      </c>
      <c r="AA916">
        <v>2.54</v>
      </c>
      <c r="AB916" t="s">
        <v>37</v>
      </c>
      <c r="AC916">
        <v>3.63</v>
      </c>
      <c r="AD916">
        <v>144</v>
      </c>
      <c r="AE916">
        <v>40000</v>
      </c>
      <c r="AF916" t="str">
        <f>IF(Table1[[#This Row],[What is your current CGPA?]]&gt;=3.5,"High",IF(Table1[[#This Row],[What is your current CGPA?]]&gt;=2.5,"Medium","Low"))</f>
        <v>High</v>
      </c>
      <c r="AG916" t="str">
        <f>IF(AND(Table1[[#This Row],[Average attendance on class]]&lt;75,Table1[[#This Row],[How many hour do you study daily?]]&lt;1),"At Risk","Normal")</f>
        <v>Normal</v>
      </c>
      <c r="AH916">
        <f>(Table1[[#This Row],[Average attendance on class]]*0.4)+(Table1[[#This Row],[How many hour do you study daily?]]*10*0.3)+(Table1[[#This Row],[How many hour do you spent daily on your skill development?]]*10*0.3)</f>
        <v>58.4</v>
      </c>
    </row>
    <row r="917" spans="1:34" x14ac:dyDescent="0.25">
      <c r="A917">
        <v>2020</v>
      </c>
      <c r="B917" t="s">
        <v>34</v>
      </c>
      <c r="C917">
        <v>21</v>
      </c>
      <c r="D917">
        <v>2020</v>
      </c>
      <c r="E917" t="s">
        <v>35</v>
      </c>
      <c r="F917">
        <v>10</v>
      </c>
      <c r="G917" t="s">
        <v>37</v>
      </c>
      <c r="H917" t="s">
        <v>37</v>
      </c>
      <c r="I917">
        <v>2</v>
      </c>
      <c r="J917">
        <v>3</v>
      </c>
      <c r="K917" t="s">
        <v>38</v>
      </c>
      <c r="L917" t="s">
        <v>36</v>
      </c>
      <c r="M917" t="s">
        <v>36</v>
      </c>
      <c r="N917">
        <v>3</v>
      </c>
      <c r="O917" t="s">
        <v>39</v>
      </c>
      <c r="P917">
        <v>79</v>
      </c>
      <c r="Q917" t="s">
        <v>36</v>
      </c>
      <c r="R917" t="s">
        <v>37</v>
      </c>
      <c r="S917" t="s">
        <v>36</v>
      </c>
      <c r="T917" t="s">
        <v>61</v>
      </c>
      <c r="U917">
        <v>2</v>
      </c>
      <c r="V917" t="s">
        <v>41</v>
      </c>
      <c r="W917" t="s">
        <v>50</v>
      </c>
      <c r="X917" t="s">
        <v>37</v>
      </c>
      <c r="Y917" t="s">
        <v>43</v>
      </c>
      <c r="Z917" t="s">
        <v>37</v>
      </c>
      <c r="AA917">
        <v>1.46</v>
      </c>
      <c r="AB917" t="s">
        <v>37</v>
      </c>
      <c r="AC917">
        <v>2.5499999999999998</v>
      </c>
      <c r="AD917">
        <v>139</v>
      </c>
      <c r="AE917">
        <v>40000</v>
      </c>
      <c r="AF917" t="str">
        <f>IF(Table1[[#This Row],[What is your current CGPA?]]&gt;=3.5,"High",IF(Table1[[#This Row],[What is your current CGPA?]]&gt;=2.5,"Medium","Low"))</f>
        <v>Medium</v>
      </c>
      <c r="AG917" t="str">
        <f>IF(AND(Table1[[#This Row],[Average attendance on class]]&lt;75,Table1[[#This Row],[How many hour do you study daily?]]&lt;1),"At Risk","Normal")</f>
        <v>Normal</v>
      </c>
      <c r="AH917">
        <f>(Table1[[#This Row],[Average attendance on class]]*0.4)+(Table1[[#This Row],[How many hour do you study daily?]]*10*0.3)+(Table1[[#This Row],[How many hour do you spent daily on your skill development?]]*10*0.3)</f>
        <v>43.6</v>
      </c>
    </row>
    <row r="918" spans="1:34" x14ac:dyDescent="0.25">
      <c r="A918">
        <v>2020</v>
      </c>
      <c r="B918" t="s">
        <v>34</v>
      </c>
      <c r="C918">
        <v>20</v>
      </c>
      <c r="D918">
        <v>2020</v>
      </c>
      <c r="E918" t="s">
        <v>35</v>
      </c>
      <c r="F918">
        <v>10</v>
      </c>
      <c r="G918" t="s">
        <v>36</v>
      </c>
      <c r="H918" t="s">
        <v>37</v>
      </c>
      <c r="I918">
        <v>2</v>
      </c>
      <c r="J918">
        <v>2</v>
      </c>
      <c r="K918" t="s">
        <v>38</v>
      </c>
      <c r="L918" t="s">
        <v>36</v>
      </c>
      <c r="M918" t="s">
        <v>36</v>
      </c>
      <c r="N918">
        <v>2</v>
      </c>
      <c r="O918" t="s">
        <v>39</v>
      </c>
      <c r="P918">
        <v>100</v>
      </c>
      <c r="Q918" t="s">
        <v>37</v>
      </c>
      <c r="R918" t="s">
        <v>37</v>
      </c>
      <c r="S918" t="s">
        <v>37</v>
      </c>
      <c r="T918" t="s">
        <v>51</v>
      </c>
      <c r="U918">
        <v>4</v>
      </c>
      <c r="V918" t="s">
        <v>59</v>
      </c>
      <c r="W918" t="s">
        <v>50</v>
      </c>
      <c r="X918" t="s">
        <v>37</v>
      </c>
      <c r="Y918" t="s">
        <v>43</v>
      </c>
      <c r="Z918" t="s">
        <v>37</v>
      </c>
      <c r="AA918">
        <v>2.65</v>
      </c>
      <c r="AB918" t="s">
        <v>37</v>
      </c>
      <c r="AC918">
        <v>3.79</v>
      </c>
      <c r="AD918">
        <v>138</v>
      </c>
      <c r="AE918">
        <v>40000</v>
      </c>
      <c r="AF918" t="str">
        <f>IF(Table1[[#This Row],[What is your current CGPA?]]&gt;=3.5,"High",IF(Table1[[#This Row],[What is your current CGPA?]]&gt;=2.5,"Medium","Low"))</f>
        <v>High</v>
      </c>
      <c r="AG918" t="str">
        <f>IF(AND(Table1[[#This Row],[Average attendance on class]]&lt;75,Table1[[#This Row],[How many hour do you study daily?]]&lt;1),"At Risk","Normal")</f>
        <v>Normal</v>
      </c>
      <c r="AH918">
        <f>(Table1[[#This Row],[Average attendance on class]]*0.4)+(Table1[[#This Row],[How many hour do you study daily?]]*10*0.3)+(Table1[[#This Row],[How many hour do you spent daily on your skill development?]]*10*0.3)</f>
        <v>58</v>
      </c>
    </row>
    <row r="919" spans="1:34" x14ac:dyDescent="0.25">
      <c r="A919">
        <v>2021</v>
      </c>
      <c r="B919" t="s">
        <v>48</v>
      </c>
      <c r="C919">
        <v>21</v>
      </c>
      <c r="D919">
        <v>2020</v>
      </c>
      <c r="E919" t="s">
        <v>35</v>
      </c>
      <c r="F919">
        <v>9</v>
      </c>
      <c r="G919" t="s">
        <v>37</v>
      </c>
      <c r="H919" t="s">
        <v>37</v>
      </c>
      <c r="I919">
        <v>3</v>
      </c>
      <c r="J919">
        <v>2</v>
      </c>
      <c r="K919" t="s">
        <v>44</v>
      </c>
      <c r="L919" t="s">
        <v>36</v>
      </c>
      <c r="M919" t="s">
        <v>36</v>
      </c>
      <c r="N919">
        <v>3</v>
      </c>
      <c r="O919" t="s">
        <v>53</v>
      </c>
      <c r="P919">
        <v>46</v>
      </c>
      <c r="Q919" t="s">
        <v>37</v>
      </c>
      <c r="R919" t="s">
        <v>37</v>
      </c>
      <c r="S919" t="s">
        <v>37</v>
      </c>
      <c r="T919" t="s">
        <v>49</v>
      </c>
      <c r="U919">
        <v>2</v>
      </c>
      <c r="V919" t="s">
        <v>41</v>
      </c>
      <c r="W919" t="s">
        <v>42</v>
      </c>
      <c r="X919" t="s">
        <v>36</v>
      </c>
      <c r="Y919" t="s">
        <v>43</v>
      </c>
      <c r="Z919" t="s">
        <v>37</v>
      </c>
      <c r="AA919">
        <v>1.88</v>
      </c>
      <c r="AB919" t="s">
        <v>37</v>
      </c>
      <c r="AC919">
        <v>2.92</v>
      </c>
      <c r="AD919">
        <v>124</v>
      </c>
      <c r="AE919">
        <v>42000</v>
      </c>
      <c r="AF919" t="str">
        <f>IF(Table1[[#This Row],[What is your current CGPA?]]&gt;=3.5,"High",IF(Table1[[#This Row],[What is your current CGPA?]]&gt;=2.5,"Medium","Low"))</f>
        <v>Medium</v>
      </c>
      <c r="AG919" t="str">
        <f>IF(AND(Table1[[#This Row],[Average attendance on class]]&lt;75,Table1[[#This Row],[How many hour do you study daily?]]&lt;1),"At Risk","Normal")</f>
        <v>Normal</v>
      </c>
      <c r="AH919">
        <f>(Table1[[#This Row],[Average attendance on class]]*0.4)+(Table1[[#This Row],[How many hour do you study daily?]]*10*0.3)+(Table1[[#This Row],[How many hour do you spent daily on your skill development?]]*10*0.3)</f>
        <v>33.400000000000006</v>
      </c>
    </row>
    <row r="920" spans="1:34" x14ac:dyDescent="0.25">
      <c r="A920">
        <v>2022</v>
      </c>
      <c r="B920" t="s">
        <v>48</v>
      </c>
      <c r="C920">
        <v>21</v>
      </c>
      <c r="D920">
        <v>2021</v>
      </c>
      <c r="E920" t="s">
        <v>35</v>
      </c>
      <c r="F920">
        <v>6</v>
      </c>
      <c r="G920" t="s">
        <v>36</v>
      </c>
      <c r="H920" t="s">
        <v>37</v>
      </c>
      <c r="I920">
        <v>2</v>
      </c>
      <c r="J920">
        <v>1</v>
      </c>
      <c r="K920" t="s">
        <v>38</v>
      </c>
      <c r="L920" t="s">
        <v>36</v>
      </c>
      <c r="M920" t="s">
        <v>36</v>
      </c>
      <c r="N920">
        <v>3</v>
      </c>
      <c r="O920" t="s">
        <v>53</v>
      </c>
      <c r="P920">
        <v>78</v>
      </c>
      <c r="Q920" t="s">
        <v>36</v>
      </c>
      <c r="R920" t="s">
        <v>37</v>
      </c>
      <c r="S920" t="s">
        <v>36</v>
      </c>
      <c r="T920" t="s">
        <v>40</v>
      </c>
      <c r="U920">
        <v>1</v>
      </c>
      <c r="V920" t="s">
        <v>62</v>
      </c>
      <c r="W920" t="s">
        <v>56</v>
      </c>
      <c r="X920" t="s">
        <v>36</v>
      </c>
      <c r="Y920" t="s">
        <v>47</v>
      </c>
      <c r="Z920" t="s">
        <v>112</v>
      </c>
      <c r="AA920">
        <v>2.77</v>
      </c>
      <c r="AB920" t="s">
        <v>37</v>
      </c>
      <c r="AC920">
        <v>3.8</v>
      </c>
      <c r="AD920">
        <v>77</v>
      </c>
      <c r="AE920">
        <v>42000</v>
      </c>
      <c r="AF920" t="str">
        <f>IF(Table1[[#This Row],[What is your current CGPA?]]&gt;=3.5,"High",IF(Table1[[#This Row],[What is your current CGPA?]]&gt;=2.5,"Medium","Low"))</f>
        <v>High</v>
      </c>
      <c r="AG920" t="str">
        <f>IF(AND(Table1[[#This Row],[Average attendance on class]]&lt;75,Table1[[#This Row],[How many hour do you study daily?]]&lt;1),"At Risk","Normal")</f>
        <v>Normal</v>
      </c>
      <c r="AH920">
        <f>(Table1[[#This Row],[Average attendance on class]]*0.4)+(Table1[[#This Row],[How many hour do you study daily?]]*10*0.3)+(Table1[[#This Row],[How many hour do you spent daily on your skill development?]]*10*0.3)</f>
        <v>40.200000000000003</v>
      </c>
    </row>
    <row r="921" spans="1:34" x14ac:dyDescent="0.25">
      <c r="A921">
        <v>2020</v>
      </c>
      <c r="B921" t="s">
        <v>34</v>
      </c>
      <c r="C921">
        <v>20</v>
      </c>
      <c r="D921">
        <v>2020</v>
      </c>
      <c r="E921" t="s">
        <v>35</v>
      </c>
      <c r="F921">
        <v>5</v>
      </c>
      <c r="G921" t="s">
        <v>37</v>
      </c>
      <c r="H921" t="s">
        <v>37</v>
      </c>
      <c r="I921">
        <v>4</v>
      </c>
      <c r="J921">
        <v>2</v>
      </c>
      <c r="K921" t="s">
        <v>44</v>
      </c>
      <c r="L921" t="s">
        <v>36</v>
      </c>
      <c r="M921" t="s">
        <v>36</v>
      </c>
      <c r="N921">
        <v>6</v>
      </c>
      <c r="O921" t="s">
        <v>39</v>
      </c>
      <c r="P921">
        <v>90</v>
      </c>
      <c r="Q921" t="s">
        <v>37</v>
      </c>
      <c r="R921" t="s">
        <v>37</v>
      </c>
      <c r="S921" t="s">
        <v>37</v>
      </c>
      <c r="T921" t="s">
        <v>52</v>
      </c>
      <c r="U921">
        <v>2</v>
      </c>
      <c r="V921" t="s">
        <v>40</v>
      </c>
      <c r="W921" t="s">
        <v>42</v>
      </c>
      <c r="X921" t="s">
        <v>37</v>
      </c>
      <c r="Y921" t="s">
        <v>43</v>
      </c>
      <c r="Z921" t="s">
        <v>37</v>
      </c>
      <c r="AA921">
        <v>1.98</v>
      </c>
      <c r="AB921" t="s">
        <v>37</v>
      </c>
      <c r="AC921">
        <v>2.97</v>
      </c>
      <c r="AD921">
        <v>66</v>
      </c>
      <c r="AE921">
        <v>45000</v>
      </c>
      <c r="AF921" t="str">
        <f>IF(Table1[[#This Row],[What is your current CGPA?]]&gt;=3.5,"High",IF(Table1[[#This Row],[What is your current CGPA?]]&gt;=2.5,"Medium","Low"))</f>
        <v>Medium</v>
      </c>
      <c r="AG921" t="str">
        <f>IF(AND(Table1[[#This Row],[Average attendance on class]]&lt;75,Table1[[#This Row],[How many hour do you study daily?]]&lt;1),"At Risk","Normal")</f>
        <v>Normal</v>
      </c>
      <c r="AH921">
        <f>(Table1[[#This Row],[Average attendance on class]]*0.4)+(Table1[[#This Row],[How many hour do you study daily?]]*10*0.3)+(Table1[[#This Row],[How many hour do you spent daily on your skill development?]]*10*0.3)</f>
        <v>54</v>
      </c>
    </row>
    <row r="922" spans="1:34" x14ac:dyDescent="0.25">
      <c r="A922">
        <v>2022</v>
      </c>
      <c r="B922" t="s">
        <v>34</v>
      </c>
      <c r="C922">
        <v>22</v>
      </c>
      <c r="D922">
        <v>2021</v>
      </c>
      <c r="E922" t="s">
        <v>35</v>
      </c>
      <c r="F922">
        <v>5</v>
      </c>
      <c r="G922" t="s">
        <v>37</v>
      </c>
      <c r="H922" t="s">
        <v>37</v>
      </c>
      <c r="I922">
        <v>2</v>
      </c>
      <c r="J922">
        <v>1</v>
      </c>
      <c r="K922" t="s">
        <v>44</v>
      </c>
      <c r="L922" t="s">
        <v>36</v>
      </c>
      <c r="M922" t="s">
        <v>36</v>
      </c>
      <c r="N922">
        <v>3</v>
      </c>
      <c r="O922" t="s">
        <v>45</v>
      </c>
      <c r="P922">
        <v>23</v>
      </c>
      <c r="Q922" t="s">
        <v>37</v>
      </c>
      <c r="R922" t="s">
        <v>37</v>
      </c>
      <c r="S922" t="s">
        <v>36</v>
      </c>
      <c r="T922" t="s">
        <v>51</v>
      </c>
      <c r="U922">
        <v>4</v>
      </c>
      <c r="V922" t="s">
        <v>59</v>
      </c>
      <c r="W922" t="s">
        <v>50</v>
      </c>
      <c r="X922" t="s">
        <v>37</v>
      </c>
      <c r="Y922" t="s">
        <v>43</v>
      </c>
      <c r="Z922" t="s">
        <v>37</v>
      </c>
      <c r="AA922">
        <v>1.81</v>
      </c>
      <c r="AB922" t="s">
        <v>37</v>
      </c>
      <c r="AC922">
        <v>2.88</v>
      </c>
      <c r="AD922">
        <v>72</v>
      </c>
      <c r="AE922">
        <v>45000</v>
      </c>
      <c r="AF922" t="str">
        <f>IF(Table1[[#This Row],[What is your current CGPA?]]&gt;=3.5,"High",IF(Table1[[#This Row],[What is your current CGPA?]]&gt;=2.5,"Medium","Low"))</f>
        <v>Medium</v>
      </c>
      <c r="AG922" t="str">
        <f>IF(AND(Table1[[#This Row],[Average attendance on class]]&lt;75,Table1[[#This Row],[How many hour do you study daily?]]&lt;1),"At Risk","Normal")</f>
        <v>Normal</v>
      </c>
      <c r="AH922">
        <f>(Table1[[#This Row],[Average attendance on class]]*0.4)+(Table1[[#This Row],[How many hour do you study daily?]]*10*0.3)+(Table1[[#This Row],[How many hour do you spent daily on your skill development?]]*10*0.3)</f>
        <v>27.200000000000003</v>
      </c>
    </row>
    <row r="923" spans="1:34" x14ac:dyDescent="0.25">
      <c r="A923">
        <v>2021</v>
      </c>
      <c r="B923" t="s">
        <v>48</v>
      </c>
      <c r="C923">
        <v>20</v>
      </c>
      <c r="D923">
        <v>2020</v>
      </c>
      <c r="E923" t="s">
        <v>35</v>
      </c>
      <c r="F923">
        <v>9</v>
      </c>
      <c r="G923" t="s">
        <v>37</v>
      </c>
      <c r="H923" t="s">
        <v>37</v>
      </c>
      <c r="I923">
        <v>2</v>
      </c>
      <c r="J923">
        <v>3</v>
      </c>
      <c r="K923" t="s">
        <v>38</v>
      </c>
      <c r="L923" t="s">
        <v>36</v>
      </c>
      <c r="M923" t="s">
        <v>36</v>
      </c>
      <c r="N923">
        <v>3</v>
      </c>
      <c r="O923" t="s">
        <v>53</v>
      </c>
      <c r="P923">
        <v>55</v>
      </c>
      <c r="Q923" t="s">
        <v>37</v>
      </c>
      <c r="R923" t="s">
        <v>37</v>
      </c>
      <c r="S923" t="s">
        <v>36</v>
      </c>
      <c r="T923" t="s">
        <v>51</v>
      </c>
      <c r="U923">
        <v>1</v>
      </c>
      <c r="V923" t="s">
        <v>59</v>
      </c>
      <c r="W923" t="s">
        <v>50</v>
      </c>
      <c r="X923" t="s">
        <v>37</v>
      </c>
      <c r="Y923" t="s">
        <v>43</v>
      </c>
      <c r="Z923" t="s">
        <v>37</v>
      </c>
      <c r="AA923">
        <v>2.87</v>
      </c>
      <c r="AB923" t="s">
        <v>37</v>
      </c>
      <c r="AC923">
        <v>3.9</v>
      </c>
      <c r="AD923">
        <v>125</v>
      </c>
      <c r="AE923">
        <v>46000</v>
      </c>
      <c r="AF923" t="str">
        <f>IF(Table1[[#This Row],[What is your current CGPA?]]&gt;=3.5,"High",IF(Table1[[#This Row],[What is your current CGPA?]]&gt;=2.5,"Medium","Low"))</f>
        <v>High</v>
      </c>
      <c r="AG923" t="str">
        <f>IF(AND(Table1[[#This Row],[Average attendance on class]]&lt;75,Table1[[#This Row],[How many hour do you study daily?]]&lt;1),"At Risk","Normal")</f>
        <v>Normal</v>
      </c>
      <c r="AH923">
        <f>(Table1[[#This Row],[Average attendance on class]]*0.4)+(Table1[[#This Row],[How many hour do you study daily?]]*10*0.3)+(Table1[[#This Row],[How many hour do you spent daily on your skill development?]]*10*0.3)</f>
        <v>31</v>
      </c>
    </row>
    <row r="924" spans="1:34" x14ac:dyDescent="0.25">
      <c r="A924">
        <v>2022</v>
      </c>
      <c r="B924" t="s">
        <v>34</v>
      </c>
      <c r="C924">
        <v>20</v>
      </c>
      <c r="D924">
        <v>2021</v>
      </c>
      <c r="E924" t="s">
        <v>35</v>
      </c>
      <c r="F924">
        <v>4</v>
      </c>
      <c r="G924" t="s">
        <v>37</v>
      </c>
      <c r="H924" t="s">
        <v>37</v>
      </c>
      <c r="I924">
        <v>2</v>
      </c>
      <c r="J924">
        <v>2</v>
      </c>
      <c r="K924" t="s">
        <v>38</v>
      </c>
      <c r="L924" t="s">
        <v>36</v>
      </c>
      <c r="M924" t="s">
        <v>36</v>
      </c>
      <c r="N924">
        <v>4</v>
      </c>
      <c r="O924" t="s">
        <v>39</v>
      </c>
      <c r="P924">
        <v>100</v>
      </c>
      <c r="Q924" t="s">
        <v>37</v>
      </c>
      <c r="R924" t="s">
        <v>37</v>
      </c>
      <c r="S924" t="s">
        <v>36</v>
      </c>
      <c r="T924" t="s">
        <v>51</v>
      </c>
      <c r="U924">
        <v>8</v>
      </c>
      <c r="V924" t="s">
        <v>40</v>
      </c>
      <c r="W924" t="s">
        <v>42</v>
      </c>
      <c r="X924" t="s">
        <v>37</v>
      </c>
      <c r="Y924" t="s">
        <v>47</v>
      </c>
      <c r="Z924" t="s">
        <v>37</v>
      </c>
      <c r="AA924">
        <v>1.76</v>
      </c>
      <c r="AB924" t="s">
        <v>37</v>
      </c>
      <c r="AC924">
        <v>2.67</v>
      </c>
      <c r="AD924">
        <v>27</v>
      </c>
      <c r="AE924">
        <v>46000</v>
      </c>
      <c r="AF924" t="str">
        <f>IF(Table1[[#This Row],[What is your current CGPA?]]&gt;=3.5,"High",IF(Table1[[#This Row],[What is your current CGPA?]]&gt;=2.5,"Medium","Low"))</f>
        <v>Medium</v>
      </c>
      <c r="AG924" t="str">
        <f>IF(AND(Table1[[#This Row],[Average attendance on class]]&lt;75,Table1[[#This Row],[How many hour do you study daily?]]&lt;1),"At Risk","Normal")</f>
        <v>Normal</v>
      </c>
      <c r="AH924">
        <f>(Table1[[#This Row],[Average attendance on class]]*0.4)+(Table1[[#This Row],[How many hour do you study daily?]]*10*0.3)+(Table1[[#This Row],[How many hour do you spent daily on your skill development?]]*10*0.3)</f>
        <v>70</v>
      </c>
    </row>
    <row r="925" spans="1:34" x14ac:dyDescent="0.25">
      <c r="A925">
        <v>2022</v>
      </c>
      <c r="B925" t="s">
        <v>48</v>
      </c>
      <c r="C925">
        <v>21</v>
      </c>
      <c r="D925">
        <v>2021</v>
      </c>
      <c r="E925" t="s">
        <v>35</v>
      </c>
      <c r="F925">
        <v>7</v>
      </c>
      <c r="G925" t="s">
        <v>37</v>
      </c>
      <c r="H925" t="s">
        <v>37</v>
      </c>
      <c r="I925">
        <v>3</v>
      </c>
      <c r="J925">
        <v>2</v>
      </c>
      <c r="K925" t="s">
        <v>38</v>
      </c>
      <c r="L925" t="s">
        <v>36</v>
      </c>
      <c r="M925" t="s">
        <v>36</v>
      </c>
      <c r="N925">
        <v>2</v>
      </c>
      <c r="O925" t="s">
        <v>39</v>
      </c>
      <c r="P925">
        <v>32</v>
      </c>
      <c r="Q925" t="s">
        <v>37</v>
      </c>
      <c r="R925" t="s">
        <v>37</v>
      </c>
      <c r="S925" t="s">
        <v>37</v>
      </c>
      <c r="T925" t="s">
        <v>49</v>
      </c>
      <c r="U925">
        <v>2</v>
      </c>
      <c r="V925" t="s">
        <v>41</v>
      </c>
      <c r="W925" t="s">
        <v>42</v>
      </c>
      <c r="X925" t="s">
        <v>36</v>
      </c>
      <c r="Y925" t="s">
        <v>43</v>
      </c>
      <c r="Z925" t="s">
        <v>37</v>
      </c>
      <c r="AA925">
        <v>2.34</v>
      </c>
      <c r="AB925" t="s">
        <v>37</v>
      </c>
      <c r="AC925">
        <v>3.4</v>
      </c>
      <c r="AD925">
        <v>109</v>
      </c>
      <c r="AE925">
        <v>47000</v>
      </c>
      <c r="AF925" t="str">
        <f>IF(Table1[[#This Row],[What is your current CGPA?]]&gt;=3.5,"High",IF(Table1[[#This Row],[What is your current CGPA?]]&gt;=2.5,"Medium","Low"))</f>
        <v>Medium</v>
      </c>
      <c r="AG925" t="str">
        <f>IF(AND(Table1[[#This Row],[Average attendance on class]]&lt;75,Table1[[#This Row],[How many hour do you study daily?]]&lt;1),"At Risk","Normal")</f>
        <v>Normal</v>
      </c>
      <c r="AH925">
        <f>(Table1[[#This Row],[Average attendance on class]]*0.4)+(Table1[[#This Row],[How many hour do you study daily?]]*10*0.3)+(Table1[[#This Row],[How many hour do you spent daily on your skill development?]]*10*0.3)</f>
        <v>27.8</v>
      </c>
    </row>
    <row r="926" spans="1:34" x14ac:dyDescent="0.25">
      <c r="A926">
        <v>2021</v>
      </c>
      <c r="B926" t="s">
        <v>48</v>
      </c>
      <c r="C926">
        <v>20</v>
      </c>
      <c r="D926">
        <v>2019</v>
      </c>
      <c r="E926" t="s">
        <v>35</v>
      </c>
      <c r="F926">
        <v>9</v>
      </c>
      <c r="G926" t="s">
        <v>37</v>
      </c>
      <c r="H926" t="s">
        <v>37</v>
      </c>
      <c r="I926">
        <v>5</v>
      </c>
      <c r="J926">
        <v>2</v>
      </c>
      <c r="K926" t="s">
        <v>38</v>
      </c>
      <c r="L926" t="s">
        <v>36</v>
      </c>
      <c r="M926" t="s">
        <v>36</v>
      </c>
      <c r="N926">
        <v>5</v>
      </c>
      <c r="O926" t="s">
        <v>39</v>
      </c>
      <c r="P926">
        <v>100</v>
      </c>
      <c r="Q926" t="s">
        <v>37</v>
      </c>
      <c r="R926" t="s">
        <v>37</v>
      </c>
      <c r="S926" t="s">
        <v>36</v>
      </c>
      <c r="T926" t="s">
        <v>49</v>
      </c>
      <c r="U926">
        <v>1</v>
      </c>
      <c r="V926" t="s">
        <v>59</v>
      </c>
      <c r="W926" t="s">
        <v>42</v>
      </c>
      <c r="X926" t="s">
        <v>37</v>
      </c>
      <c r="Y926" t="s">
        <v>43</v>
      </c>
      <c r="Z926" t="s">
        <v>37</v>
      </c>
      <c r="AA926">
        <v>2.0699999999999998</v>
      </c>
      <c r="AB926" t="s">
        <v>37</v>
      </c>
      <c r="AC926">
        <v>3.28</v>
      </c>
      <c r="AD926">
        <v>132</v>
      </c>
      <c r="AE926">
        <v>48000</v>
      </c>
      <c r="AF926" t="str">
        <f>IF(Table1[[#This Row],[What is your current CGPA?]]&gt;=3.5,"High",IF(Table1[[#This Row],[What is your current CGPA?]]&gt;=2.5,"Medium","Low"))</f>
        <v>Medium</v>
      </c>
      <c r="AG926" t="str">
        <f>IF(AND(Table1[[#This Row],[Average attendance on class]]&lt;75,Table1[[#This Row],[How many hour do you study daily?]]&lt;1),"At Risk","Normal")</f>
        <v>Normal</v>
      </c>
      <c r="AH926">
        <f>(Table1[[#This Row],[Average attendance on class]]*0.4)+(Table1[[#This Row],[How many hour do you study daily?]]*10*0.3)+(Table1[[#This Row],[How many hour do you spent daily on your skill development?]]*10*0.3)</f>
        <v>58</v>
      </c>
    </row>
    <row r="927" spans="1:34" x14ac:dyDescent="0.25">
      <c r="A927">
        <v>2020</v>
      </c>
      <c r="B927" t="s">
        <v>34</v>
      </c>
      <c r="C927">
        <v>23</v>
      </c>
      <c r="D927">
        <v>2019</v>
      </c>
      <c r="E927" t="s">
        <v>35</v>
      </c>
      <c r="F927">
        <v>10</v>
      </c>
      <c r="G927" t="s">
        <v>37</v>
      </c>
      <c r="H927" t="s">
        <v>37</v>
      </c>
      <c r="I927">
        <v>2</v>
      </c>
      <c r="J927">
        <v>3</v>
      </c>
      <c r="K927" t="s">
        <v>44</v>
      </c>
      <c r="L927" t="s">
        <v>36</v>
      </c>
      <c r="M927" t="s">
        <v>36</v>
      </c>
      <c r="N927">
        <v>2</v>
      </c>
      <c r="O927" t="s">
        <v>39</v>
      </c>
      <c r="P927">
        <v>89</v>
      </c>
      <c r="Q927" t="s">
        <v>37</v>
      </c>
      <c r="R927" t="s">
        <v>37</v>
      </c>
      <c r="S927" t="s">
        <v>37</v>
      </c>
      <c r="T927" t="s">
        <v>51</v>
      </c>
      <c r="U927">
        <v>4</v>
      </c>
      <c r="V927" t="s">
        <v>59</v>
      </c>
      <c r="W927" t="s">
        <v>50</v>
      </c>
      <c r="X927" t="s">
        <v>37</v>
      </c>
      <c r="Y927" t="s">
        <v>47</v>
      </c>
      <c r="Z927" t="s">
        <v>36</v>
      </c>
      <c r="AA927">
        <v>2.4500000000000002</v>
      </c>
      <c r="AB927" t="s">
        <v>37</v>
      </c>
      <c r="AC927">
        <v>3.51</v>
      </c>
      <c r="AD927">
        <v>132</v>
      </c>
      <c r="AE927">
        <v>48000</v>
      </c>
      <c r="AF927" t="str">
        <f>IF(Table1[[#This Row],[What is your current CGPA?]]&gt;=3.5,"High",IF(Table1[[#This Row],[What is your current CGPA?]]&gt;=2.5,"Medium","Low"))</f>
        <v>High</v>
      </c>
      <c r="AG927" t="str">
        <f>IF(AND(Table1[[#This Row],[Average attendance on class]]&lt;75,Table1[[#This Row],[How many hour do you study daily?]]&lt;1),"At Risk","Normal")</f>
        <v>Normal</v>
      </c>
      <c r="AH927">
        <f>(Table1[[#This Row],[Average attendance on class]]*0.4)+(Table1[[#This Row],[How many hour do you study daily?]]*10*0.3)+(Table1[[#This Row],[How many hour do you spent daily on your skill development?]]*10*0.3)</f>
        <v>53.6</v>
      </c>
    </row>
    <row r="928" spans="1:34" x14ac:dyDescent="0.25">
      <c r="A928">
        <v>2020</v>
      </c>
      <c r="B928" t="s">
        <v>34</v>
      </c>
      <c r="C928">
        <v>20</v>
      </c>
      <c r="D928">
        <v>2020</v>
      </c>
      <c r="E928" t="s">
        <v>35</v>
      </c>
      <c r="F928">
        <v>11</v>
      </c>
      <c r="G928" t="s">
        <v>37</v>
      </c>
      <c r="H928" t="s">
        <v>36</v>
      </c>
      <c r="I928">
        <v>5</v>
      </c>
      <c r="J928">
        <v>1</v>
      </c>
      <c r="K928" t="s">
        <v>38</v>
      </c>
      <c r="L928" t="s">
        <v>36</v>
      </c>
      <c r="M928" t="s">
        <v>36</v>
      </c>
      <c r="N928">
        <v>3</v>
      </c>
      <c r="O928" t="s">
        <v>39</v>
      </c>
      <c r="P928">
        <v>68</v>
      </c>
      <c r="Q928" t="s">
        <v>36</v>
      </c>
      <c r="R928" t="s">
        <v>37</v>
      </c>
      <c r="S928" t="s">
        <v>36</v>
      </c>
      <c r="T928" t="s">
        <v>51</v>
      </c>
      <c r="U928">
        <v>2</v>
      </c>
      <c r="V928" t="s">
        <v>59</v>
      </c>
      <c r="W928" t="s">
        <v>42</v>
      </c>
      <c r="X928" t="s">
        <v>37</v>
      </c>
      <c r="Y928" t="s">
        <v>43</v>
      </c>
      <c r="Z928" t="s">
        <v>37</v>
      </c>
      <c r="AA928">
        <v>2.66</v>
      </c>
      <c r="AB928" t="s">
        <v>37</v>
      </c>
      <c r="AC928">
        <v>3.79</v>
      </c>
      <c r="AD928">
        <v>135</v>
      </c>
      <c r="AE928">
        <v>48000</v>
      </c>
      <c r="AF928" t="str">
        <f>IF(Table1[[#This Row],[What is your current CGPA?]]&gt;=3.5,"High",IF(Table1[[#This Row],[What is your current CGPA?]]&gt;=2.5,"Medium","Low"))</f>
        <v>High</v>
      </c>
      <c r="AG928" t="str">
        <f>IF(AND(Table1[[#This Row],[Average attendance on class]]&lt;75,Table1[[#This Row],[How many hour do you study daily?]]&lt;1),"At Risk","Normal")</f>
        <v>Normal</v>
      </c>
      <c r="AH928">
        <f>(Table1[[#This Row],[Average attendance on class]]*0.4)+(Table1[[#This Row],[How many hour do you study daily?]]*10*0.3)+(Table1[[#This Row],[How many hour do you spent daily on your skill development?]]*10*0.3)</f>
        <v>48.2</v>
      </c>
    </row>
    <row r="929" spans="1:34" x14ac:dyDescent="0.25">
      <c r="A929">
        <v>2020</v>
      </c>
      <c r="B929" t="s">
        <v>48</v>
      </c>
      <c r="C929">
        <v>23</v>
      </c>
      <c r="D929">
        <v>2019</v>
      </c>
      <c r="E929" t="s">
        <v>35</v>
      </c>
      <c r="F929">
        <v>11</v>
      </c>
      <c r="G929" t="s">
        <v>36</v>
      </c>
      <c r="H929" t="s">
        <v>37</v>
      </c>
      <c r="I929">
        <v>6</v>
      </c>
      <c r="J929">
        <v>3</v>
      </c>
      <c r="K929" t="s">
        <v>38</v>
      </c>
      <c r="L929" t="s">
        <v>36</v>
      </c>
      <c r="M929" t="s">
        <v>36</v>
      </c>
      <c r="N929">
        <v>2</v>
      </c>
      <c r="O929" t="s">
        <v>39</v>
      </c>
      <c r="P929">
        <v>100</v>
      </c>
      <c r="Q929" t="s">
        <v>37</v>
      </c>
      <c r="R929" t="s">
        <v>37</v>
      </c>
      <c r="S929" t="s">
        <v>37</v>
      </c>
      <c r="T929" t="s">
        <v>61</v>
      </c>
      <c r="U929">
        <v>4</v>
      </c>
      <c r="V929" t="s">
        <v>41</v>
      </c>
      <c r="W929" t="s">
        <v>50</v>
      </c>
      <c r="X929" t="s">
        <v>37</v>
      </c>
      <c r="Y929" t="s">
        <v>47</v>
      </c>
      <c r="Z929" t="s">
        <v>37</v>
      </c>
      <c r="AA929">
        <v>2.77</v>
      </c>
      <c r="AB929" t="s">
        <v>37</v>
      </c>
      <c r="AC929">
        <v>3.85</v>
      </c>
      <c r="AD929">
        <v>144</v>
      </c>
      <c r="AE929">
        <v>49000</v>
      </c>
      <c r="AF929" t="str">
        <f>IF(Table1[[#This Row],[What is your current CGPA?]]&gt;=3.5,"High",IF(Table1[[#This Row],[What is your current CGPA?]]&gt;=2.5,"Medium","Low"))</f>
        <v>High</v>
      </c>
      <c r="AG929" t="str">
        <f>IF(AND(Table1[[#This Row],[Average attendance on class]]&lt;75,Table1[[#This Row],[How many hour do you study daily?]]&lt;1),"At Risk","Normal")</f>
        <v>Normal</v>
      </c>
      <c r="AH929">
        <f>(Table1[[#This Row],[Average attendance on class]]*0.4)+(Table1[[#This Row],[How many hour do you study daily?]]*10*0.3)+(Table1[[#This Row],[How many hour do you spent daily on your skill development?]]*10*0.3)</f>
        <v>70</v>
      </c>
    </row>
    <row r="930" spans="1:34" x14ac:dyDescent="0.25">
      <c r="A930">
        <v>2022</v>
      </c>
      <c r="B930" t="s">
        <v>48</v>
      </c>
      <c r="C930">
        <v>21</v>
      </c>
      <c r="D930">
        <v>2021</v>
      </c>
      <c r="E930" t="s">
        <v>35</v>
      </c>
      <c r="F930">
        <v>6</v>
      </c>
      <c r="G930" t="s">
        <v>37</v>
      </c>
      <c r="H930" t="s">
        <v>37</v>
      </c>
      <c r="I930">
        <v>5</v>
      </c>
      <c r="J930">
        <v>3</v>
      </c>
      <c r="K930" t="s">
        <v>44</v>
      </c>
      <c r="L930" t="s">
        <v>36</v>
      </c>
      <c r="M930" t="s">
        <v>36</v>
      </c>
      <c r="N930">
        <v>3</v>
      </c>
      <c r="O930" t="s">
        <v>45</v>
      </c>
      <c r="P930">
        <v>100</v>
      </c>
      <c r="Q930" t="s">
        <v>36</v>
      </c>
      <c r="R930" t="s">
        <v>37</v>
      </c>
      <c r="S930" t="s">
        <v>37</v>
      </c>
      <c r="T930" t="s">
        <v>51</v>
      </c>
      <c r="U930">
        <v>2</v>
      </c>
      <c r="V930" t="s">
        <v>59</v>
      </c>
      <c r="W930" t="s">
        <v>42</v>
      </c>
      <c r="X930" t="s">
        <v>37</v>
      </c>
      <c r="Y930" t="s">
        <v>47</v>
      </c>
      <c r="Z930" t="s">
        <v>37</v>
      </c>
      <c r="AA930">
        <v>2.63</v>
      </c>
      <c r="AB930" t="s">
        <v>37</v>
      </c>
      <c r="AC930">
        <v>3.7</v>
      </c>
      <c r="AD930">
        <v>75</v>
      </c>
      <c r="AE930">
        <v>49000</v>
      </c>
      <c r="AF930" t="str">
        <f>IF(Table1[[#This Row],[What is your current CGPA?]]&gt;=3.5,"High",IF(Table1[[#This Row],[What is your current CGPA?]]&gt;=2.5,"Medium","Low"))</f>
        <v>High</v>
      </c>
      <c r="AG930" t="str">
        <f>IF(AND(Table1[[#This Row],[Average attendance on class]]&lt;75,Table1[[#This Row],[How many hour do you study daily?]]&lt;1),"At Risk","Normal")</f>
        <v>Normal</v>
      </c>
      <c r="AH930">
        <f>(Table1[[#This Row],[Average attendance on class]]*0.4)+(Table1[[#This Row],[How many hour do you study daily?]]*10*0.3)+(Table1[[#This Row],[How many hour do you spent daily on your skill development?]]*10*0.3)</f>
        <v>61</v>
      </c>
    </row>
    <row r="931" spans="1:34" x14ac:dyDescent="0.25">
      <c r="A931">
        <v>2020</v>
      </c>
      <c r="B931" t="s">
        <v>34</v>
      </c>
      <c r="C931">
        <v>23</v>
      </c>
      <c r="D931">
        <v>2018</v>
      </c>
      <c r="E931" t="s">
        <v>35</v>
      </c>
      <c r="F931">
        <v>8</v>
      </c>
      <c r="G931" t="s">
        <v>36</v>
      </c>
      <c r="H931" t="s">
        <v>37</v>
      </c>
      <c r="I931">
        <v>3</v>
      </c>
      <c r="J931">
        <v>3</v>
      </c>
      <c r="K931" t="s">
        <v>44</v>
      </c>
      <c r="L931" t="s">
        <v>36</v>
      </c>
      <c r="M931" t="s">
        <v>36</v>
      </c>
      <c r="N931">
        <v>2</v>
      </c>
      <c r="O931" t="s">
        <v>53</v>
      </c>
      <c r="P931">
        <v>80</v>
      </c>
      <c r="Q931" t="s">
        <v>37</v>
      </c>
      <c r="R931" t="s">
        <v>37</v>
      </c>
      <c r="S931" t="s">
        <v>37</v>
      </c>
      <c r="T931" t="s">
        <v>61</v>
      </c>
      <c r="U931">
        <v>2</v>
      </c>
      <c r="V931" t="s">
        <v>62</v>
      </c>
      <c r="W931" t="s">
        <v>50</v>
      </c>
      <c r="X931" t="s">
        <v>36</v>
      </c>
      <c r="Y931" t="s">
        <v>47</v>
      </c>
      <c r="Z931" t="s">
        <v>37</v>
      </c>
      <c r="AA931">
        <v>2.81</v>
      </c>
      <c r="AB931" t="s">
        <v>37</v>
      </c>
      <c r="AC931">
        <v>3.79</v>
      </c>
      <c r="AD931">
        <v>135</v>
      </c>
      <c r="AE931">
        <v>50000</v>
      </c>
      <c r="AF931" t="str">
        <f>IF(Table1[[#This Row],[What is your current CGPA?]]&gt;=3.5,"High",IF(Table1[[#This Row],[What is your current CGPA?]]&gt;=2.5,"Medium","Low"))</f>
        <v>High</v>
      </c>
      <c r="AG931" t="str">
        <f>IF(AND(Table1[[#This Row],[Average attendance on class]]&lt;75,Table1[[#This Row],[How many hour do you study daily?]]&lt;1),"At Risk","Normal")</f>
        <v>Normal</v>
      </c>
      <c r="AH931">
        <f>(Table1[[#This Row],[Average attendance on class]]*0.4)+(Table1[[#This Row],[How many hour do you study daily?]]*10*0.3)+(Table1[[#This Row],[How many hour do you spent daily on your skill development?]]*10*0.3)</f>
        <v>47</v>
      </c>
    </row>
    <row r="932" spans="1:34" x14ac:dyDescent="0.25">
      <c r="A932">
        <v>2021</v>
      </c>
      <c r="B932" t="s">
        <v>48</v>
      </c>
      <c r="C932">
        <v>21</v>
      </c>
      <c r="D932">
        <v>2019</v>
      </c>
      <c r="E932" t="s">
        <v>35</v>
      </c>
      <c r="F932">
        <v>6</v>
      </c>
      <c r="G932" t="s">
        <v>37</v>
      </c>
      <c r="H932" t="s">
        <v>37</v>
      </c>
      <c r="I932">
        <v>2</v>
      </c>
      <c r="J932">
        <v>1</v>
      </c>
      <c r="K932" t="s">
        <v>38</v>
      </c>
      <c r="L932" t="s">
        <v>36</v>
      </c>
      <c r="M932" t="s">
        <v>36</v>
      </c>
      <c r="N932">
        <v>3</v>
      </c>
      <c r="O932" t="s">
        <v>39</v>
      </c>
      <c r="P932">
        <v>100</v>
      </c>
      <c r="Q932" t="s">
        <v>37</v>
      </c>
      <c r="R932" t="s">
        <v>37</v>
      </c>
      <c r="S932" t="s">
        <v>36</v>
      </c>
      <c r="T932" t="s">
        <v>40</v>
      </c>
      <c r="U932">
        <v>1</v>
      </c>
      <c r="V932" t="s">
        <v>41</v>
      </c>
      <c r="W932" t="s">
        <v>42</v>
      </c>
      <c r="X932" t="s">
        <v>37</v>
      </c>
      <c r="Y932" t="s">
        <v>47</v>
      </c>
      <c r="Z932" t="s">
        <v>37</v>
      </c>
      <c r="AA932">
        <v>2.44</v>
      </c>
      <c r="AB932" t="s">
        <v>37</v>
      </c>
      <c r="AC932">
        <v>3.44</v>
      </c>
      <c r="AD932">
        <v>56</v>
      </c>
      <c r="AE932">
        <v>50000</v>
      </c>
      <c r="AF932" t="str">
        <f>IF(Table1[[#This Row],[What is your current CGPA?]]&gt;=3.5,"High",IF(Table1[[#This Row],[What is your current CGPA?]]&gt;=2.5,"Medium","Low"))</f>
        <v>Medium</v>
      </c>
      <c r="AG932" t="str">
        <f>IF(AND(Table1[[#This Row],[Average attendance on class]]&lt;75,Table1[[#This Row],[How many hour do you study daily?]]&lt;1),"At Risk","Normal")</f>
        <v>Normal</v>
      </c>
      <c r="AH932">
        <f>(Table1[[#This Row],[Average attendance on class]]*0.4)+(Table1[[#This Row],[How many hour do you study daily?]]*10*0.3)+(Table1[[#This Row],[How many hour do you spent daily on your skill development?]]*10*0.3)</f>
        <v>49</v>
      </c>
    </row>
    <row r="933" spans="1:34" x14ac:dyDescent="0.25">
      <c r="A933">
        <v>2021</v>
      </c>
      <c r="B933" t="s">
        <v>34</v>
      </c>
      <c r="C933">
        <v>23</v>
      </c>
      <c r="D933">
        <v>2019</v>
      </c>
      <c r="E933" t="s">
        <v>35</v>
      </c>
      <c r="F933">
        <v>7</v>
      </c>
      <c r="G933" t="s">
        <v>37</v>
      </c>
      <c r="H933" t="s">
        <v>37</v>
      </c>
      <c r="I933">
        <v>1</v>
      </c>
      <c r="J933">
        <v>1</v>
      </c>
      <c r="K933" t="s">
        <v>44</v>
      </c>
      <c r="L933" t="s">
        <v>36</v>
      </c>
      <c r="M933" t="s">
        <v>36</v>
      </c>
      <c r="N933">
        <v>5</v>
      </c>
      <c r="O933" t="s">
        <v>53</v>
      </c>
      <c r="P933">
        <v>70</v>
      </c>
      <c r="Q933" t="s">
        <v>37</v>
      </c>
      <c r="R933" t="s">
        <v>37</v>
      </c>
      <c r="S933" t="s">
        <v>36</v>
      </c>
      <c r="T933" t="s">
        <v>61</v>
      </c>
      <c r="U933">
        <v>5</v>
      </c>
      <c r="V933" t="s">
        <v>59</v>
      </c>
      <c r="W933" t="s">
        <v>42</v>
      </c>
      <c r="X933" t="s">
        <v>36</v>
      </c>
      <c r="Y933" t="s">
        <v>47</v>
      </c>
      <c r="Z933" t="s">
        <v>37</v>
      </c>
      <c r="AA933">
        <v>2.5</v>
      </c>
      <c r="AB933" t="s">
        <v>37</v>
      </c>
      <c r="AC933">
        <v>3.22</v>
      </c>
      <c r="AD933">
        <v>66</v>
      </c>
      <c r="AE933">
        <v>50000</v>
      </c>
      <c r="AF933" t="str">
        <f>IF(Table1[[#This Row],[What is your current CGPA?]]&gt;=3.5,"High",IF(Table1[[#This Row],[What is your current CGPA?]]&gt;=2.5,"Medium","Low"))</f>
        <v>Medium</v>
      </c>
      <c r="AG933" t="str">
        <f>IF(AND(Table1[[#This Row],[Average attendance on class]]&lt;75,Table1[[#This Row],[How many hour do you study daily?]]&lt;1),"At Risk","Normal")</f>
        <v>Normal</v>
      </c>
      <c r="AH933">
        <f>(Table1[[#This Row],[Average attendance on class]]*0.4)+(Table1[[#This Row],[How many hour do you study daily?]]*10*0.3)+(Table1[[#This Row],[How many hour do you spent daily on your skill development?]]*10*0.3)</f>
        <v>46</v>
      </c>
    </row>
    <row r="934" spans="1:34" x14ac:dyDescent="0.25">
      <c r="A934">
        <v>2021</v>
      </c>
      <c r="B934" t="s">
        <v>48</v>
      </c>
      <c r="C934">
        <v>21</v>
      </c>
      <c r="D934">
        <v>2020</v>
      </c>
      <c r="E934" t="s">
        <v>35</v>
      </c>
      <c r="F934">
        <v>7</v>
      </c>
      <c r="G934" t="s">
        <v>37</v>
      </c>
      <c r="H934" t="s">
        <v>37</v>
      </c>
      <c r="I934">
        <v>2</v>
      </c>
      <c r="J934">
        <v>3</v>
      </c>
      <c r="K934" t="s">
        <v>38</v>
      </c>
      <c r="L934" t="s">
        <v>36</v>
      </c>
      <c r="M934" t="s">
        <v>36</v>
      </c>
      <c r="N934">
        <v>6</v>
      </c>
      <c r="O934" t="s">
        <v>53</v>
      </c>
      <c r="P934">
        <v>100</v>
      </c>
      <c r="Q934" t="s">
        <v>37</v>
      </c>
      <c r="R934" t="s">
        <v>37</v>
      </c>
      <c r="S934" t="s">
        <v>36</v>
      </c>
      <c r="T934" t="s">
        <v>40</v>
      </c>
      <c r="U934">
        <v>1</v>
      </c>
      <c r="V934" t="s">
        <v>62</v>
      </c>
      <c r="W934" t="s">
        <v>50</v>
      </c>
      <c r="X934" t="s">
        <v>36</v>
      </c>
      <c r="Y934" t="s">
        <v>47</v>
      </c>
      <c r="Z934" t="s">
        <v>37</v>
      </c>
      <c r="AA934">
        <v>2.5499999999999998</v>
      </c>
      <c r="AB934" t="s">
        <v>37</v>
      </c>
      <c r="AC934">
        <v>3.8</v>
      </c>
      <c r="AD934">
        <v>112</v>
      </c>
      <c r="AE934">
        <v>50000</v>
      </c>
      <c r="AF934" t="str">
        <f>IF(Table1[[#This Row],[What is your current CGPA?]]&gt;=3.5,"High",IF(Table1[[#This Row],[What is your current CGPA?]]&gt;=2.5,"Medium","Low"))</f>
        <v>High</v>
      </c>
      <c r="AG934" t="str">
        <f>IF(AND(Table1[[#This Row],[Average attendance on class]]&lt;75,Table1[[#This Row],[How many hour do you study daily?]]&lt;1),"At Risk","Normal")</f>
        <v>Normal</v>
      </c>
      <c r="AH934">
        <f>(Table1[[#This Row],[Average attendance on class]]*0.4)+(Table1[[#This Row],[How many hour do you study daily?]]*10*0.3)+(Table1[[#This Row],[How many hour do you spent daily on your skill development?]]*10*0.3)</f>
        <v>49</v>
      </c>
    </row>
    <row r="935" spans="1:34" x14ac:dyDescent="0.25">
      <c r="A935">
        <v>2022</v>
      </c>
      <c r="B935" t="s">
        <v>48</v>
      </c>
      <c r="C935">
        <v>20</v>
      </c>
      <c r="D935">
        <v>2021</v>
      </c>
      <c r="E935" t="s">
        <v>35</v>
      </c>
      <c r="F935">
        <v>5</v>
      </c>
      <c r="G935" t="s">
        <v>37</v>
      </c>
      <c r="H935" t="s">
        <v>37</v>
      </c>
      <c r="I935">
        <v>3</v>
      </c>
      <c r="J935">
        <v>2</v>
      </c>
      <c r="K935" t="s">
        <v>38</v>
      </c>
      <c r="L935" t="s">
        <v>36</v>
      </c>
      <c r="M935" t="s">
        <v>36</v>
      </c>
      <c r="N935">
        <v>5</v>
      </c>
      <c r="O935" t="s">
        <v>45</v>
      </c>
      <c r="P935">
        <v>100</v>
      </c>
      <c r="Q935" t="s">
        <v>37</v>
      </c>
      <c r="R935" t="s">
        <v>37</v>
      </c>
      <c r="S935" t="s">
        <v>36</v>
      </c>
      <c r="T935" t="s">
        <v>40</v>
      </c>
      <c r="U935">
        <v>2</v>
      </c>
      <c r="V935" t="s">
        <v>62</v>
      </c>
      <c r="W935" t="s">
        <v>42</v>
      </c>
      <c r="X935" t="s">
        <v>37</v>
      </c>
      <c r="Y935" t="s">
        <v>47</v>
      </c>
      <c r="Z935" t="s">
        <v>37</v>
      </c>
      <c r="AA935">
        <v>2.2200000000000002</v>
      </c>
      <c r="AB935" t="s">
        <v>37</v>
      </c>
      <c r="AC935">
        <v>3.35</v>
      </c>
      <c r="AD935">
        <v>79</v>
      </c>
      <c r="AE935">
        <v>50000</v>
      </c>
      <c r="AF935" t="str">
        <f>IF(Table1[[#This Row],[What is your current CGPA?]]&gt;=3.5,"High",IF(Table1[[#This Row],[What is your current CGPA?]]&gt;=2.5,"Medium","Low"))</f>
        <v>Medium</v>
      </c>
      <c r="AG935" t="str">
        <f>IF(AND(Table1[[#This Row],[Average attendance on class]]&lt;75,Table1[[#This Row],[How many hour do you study daily?]]&lt;1),"At Risk","Normal")</f>
        <v>Normal</v>
      </c>
      <c r="AH935">
        <f>(Table1[[#This Row],[Average attendance on class]]*0.4)+(Table1[[#This Row],[How many hour do you study daily?]]*10*0.3)+(Table1[[#This Row],[How many hour do you spent daily on your skill development?]]*10*0.3)</f>
        <v>55</v>
      </c>
    </row>
    <row r="936" spans="1:34" x14ac:dyDescent="0.25">
      <c r="A936">
        <v>2021</v>
      </c>
      <c r="B936" t="s">
        <v>48</v>
      </c>
      <c r="C936">
        <v>20</v>
      </c>
      <c r="D936">
        <v>2020</v>
      </c>
      <c r="E936" t="s">
        <v>35</v>
      </c>
      <c r="F936">
        <v>9</v>
      </c>
      <c r="G936" t="s">
        <v>37</v>
      </c>
      <c r="H936" t="s">
        <v>37</v>
      </c>
      <c r="I936">
        <v>3</v>
      </c>
      <c r="J936">
        <v>3</v>
      </c>
      <c r="K936" t="s">
        <v>38</v>
      </c>
      <c r="L936" t="s">
        <v>36</v>
      </c>
      <c r="M936" t="s">
        <v>36</v>
      </c>
      <c r="N936">
        <v>3</v>
      </c>
      <c r="O936" t="s">
        <v>45</v>
      </c>
      <c r="P936">
        <v>100</v>
      </c>
      <c r="Q936" t="s">
        <v>37</v>
      </c>
      <c r="R936" t="s">
        <v>37</v>
      </c>
      <c r="S936" t="s">
        <v>36</v>
      </c>
      <c r="T936" t="s">
        <v>40</v>
      </c>
      <c r="U936">
        <v>2</v>
      </c>
      <c r="V936" t="s">
        <v>40</v>
      </c>
      <c r="W936" t="s">
        <v>42</v>
      </c>
      <c r="X936" t="s">
        <v>36</v>
      </c>
      <c r="Y936" t="s">
        <v>47</v>
      </c>
      <c r="Z936" t="s">
        <v>37</v>
      </c>
      <c r="AA936">
        <v>2.56</v>
      </c>
      <c r="AB936" t="s">
        <v>37</v>
      </c>
      <c r="AC936">
        <v>3.64</v>
      </c>
      <c r="AD936">
        <v>108</v>
      </c>
      <c r="AE936">
        <v>53000</v>
      </c>
      <c r="AF936" t="str">
        <f>IF(Table1[[#This Row],[What is your current CGPA?]]&gt;=3.5,"High",IF(Table1[[#This Row],[What is your current CGPA?]]&gt;=2.5,"Medium","Low"))</f>
        <v>High</v>
      </c>
      <c r="AG936" t="str">
        <f>IF(AND(Table1[[#This Row],[Average attendance on class]]&lt;75,Table1[[#This Row],[How many hour do you study daily?]]&lt;1),"At Risk","Normal")</f>
        <v>Normal</v>
      </c>
      <c r="AH936">
        <f>(Table1[[#This Row],[Average attendance on class]]*0.4)+(Table1[[#This Row],[How many hour do you study daily?]]*10*0.3)+(Table1[[#This Row],[How many hour do you spent daily on your skill development?]]*10*0.3)</f>
        <v>55</v>
      </c>
    </row>
    <row r="937" spans="1:34" x14ac:dyDescent="0.25">
      <c r="A937">
        <v>2020</v>
      </c>
      <c r="B937" t="s">
        <v>48</v>
      </c>
      <c r="C937">
        <v>23</v>
      </c>
      <c r="D937">
        <v>2019</v>
      </c>
      <c r="E937" t="s">
        <v>35</v>
      </c>
      <c r="F937">
        <v>8</v>
      </c>
      <c r="G937" t="s">
        <v>37</v>
      </c>
      <c r="H937" t="s">
        <v>37</v>
      </c>
      <c r="I937">
        <v>3</v>
      </c>
      <c r="J937">
        <v>2</v>
      </c>
      <c r="K937" t="s">
        <v>38</v>
      </c>
      <c r="L937" t="s">
        <v>36</v>
      </c>
      <c r="M937" t="s">
        <v>36</v>
      </c>
      <c r="N937">
        <v>7</v>
      </c>
      <c r="O937" t="s">
        <v>39</v>
      </c>
      <c r="P937">
        <v>100</v>
      </c>
      <c r="Q937" t="s">
        <v>37</v>
      </c>
      <c r="R937" t="s">
        <v>37</v>
      </c>
      <c r="S937" t="s">
        <v>37</v>
      </c>
      <c r="T937" t="s">
        <v>40</v>
      </c>
      <c r="U937">
        <v>2</v>
      </c>
      <c r="V937" t="s">
        <v>40</v>
      </c>
      <c r="W937" t="s">
        <v>42</v>
      </c>
      <c r="X937" t="s">
        <v>37</v>
      </c>
      <c r="Y937" t="s">
        <v>47</v>
      </c>
      <c r="Z937" t="s">
        <v>37</v>
      </c>
      <c r="AA937">
        <v>1.99</v>
      </c>
      <c r="AB937" t="s">
        <v>37</v>
      </c>
      <c r="AC937">
        <v>3</v>
      </c>
      <c r="AD937">
        <v>121</v>
      </c>
      <c r="AE937">
        <v>55000</v>
      </c>
      <c r="AF937" t="str">
        <f>IF(Table1[[#This Row],[What is your current CGPA?]]&gt;=3.5,"High",IF(Table1[[#This Row],[What is your current CGPA?]]&gt;=2.5,"Medium","Low"))</f>
        <v>Medium</v>
      </c>
      <c r="AG937" t="str">
        <f>IF(AND(Table1[[#This Row],[Average attendance on class]]&lt;75,Table1[[#This Row],[How many hour do you study daily?]]&lt;1),"At Risk","Normal")</f>
        <v>Normal</v>
      </c>
      <c r="AH937">
        <f>(Table1[[#This Row],[Average attendance on class]]*0.4)+(Table1[[#This Row],[How many hour do you study daily?]]*10*0.3)+(Table1[[#This Row],[How many hour do you spent daily on your skill development?]]*10*0.3)</f>
        <v>55</v>
      </c>
    </row>
    <row r="938" spans="1:34" x14ac:dyDescent="0.25">
      <c r="A938">
        <v>2020</v>
      </c>
      <c r="B938" t="s">
        <v>48</v>
      </c>
      <c r="C938">
        <v>24</v>
      </c>
      <c r="D938">
        <v>2019</v>
      </c>
      <c r="E938" t="s">
        <v>35</v>
      </c>
      <c r="F938">
        <v>11</v>
      </c>
      <c r="G938" t="s">
        <v>37</v>
      </c>
      <c r="H938" t="s">
        <v>37</v>
      </c>
      <c r="I938">
        <v>3</v>
      </c>
      <c r="J938">
        <v>2</v>
      </c>
      <c r="K938" t="s">
        <v>38</v>
      </c>
      <c r="L938" t="s">
        <v>36</v>
      </c>
      <c r="M938" t="s">
        <v>36</v>
      </c>
      <c r="N938">
        <v>2</v>
      </c>
      <c r="O938" t="s">
        <v>39</v>
      </c>
      <c r="P938">
        <v>34</v>
      </c>
      <c r="Q938" t="s">
        <v>37</v>
      </c>
      <c r="R938" t="s">
        <v>37</v>
      </c>
      <c r="S938" t="s">
        <v>36</v>
      </c>
      <c r="T938" t="s">
        <v>51</v>
      </c>
      <c r="U938">
        <v>1</v>
      </c>
      <c r="V938" t="s">
        <v>59</v>
      </c>
      <c r="W938" t="s">
        <v>56</v>
      </c>
      <c r="X938" t="s">
        <v>37</v>
      </c>
      <c r="Y938" t="s">
        <v>47</v>
      </c>
      <c r="Z938" t="s">
        <v>37</v>
      </c>
      <c r="AA938">
        <v>1.56</v>
      </c>
      <c r="AB938" t="s">
        <v>37</v>
      </c>
      <c r="AC938">
        <v>2.62</v>
      </c>
      <c r="AD938">
        <v>143</v>
      </c>
      <c r="AE938">
        <v>55000</v>
      </c>
      <c r="AF938" t="str">
        <f>IF(Table1[[#This Row],[What is your current CGPA?]]&gt;=3.5,"High",IF(Table1[[#This Row],[What is your current CGPA?]]&gt;=2.5,"Medium","Low"))</f>
        <v>Medium</v>
      </c>
      <c r="AG938" t="str">
        <f>IF(AND(Table1[[#This Row],[Average attendance on class]]&lt;75,Table1[[#This Row],[How many hour do you study daily?]]&lt;1),"At Risk","Normal")</f>
        <v>Normal</v>
      </c>
      <c r="AH938">
        <f>(Table1[[#This Row],[Average attendance on class]]*0.4)+(Table1[[#This Row],[How many hour do you study daily?]]*10*0.3)+(Table1[[#This Row],[How many hour do you spent daily on your skill development?]]*10*0.3)</f>
        <v>25.6</v>
      </c>
    </row>
    <row r="939" spans="1:34" x14ac:dyDescent="0.25">
      <c r="A939">
        <v>2020</v>
      </c>
      <c r="B939" t="s">
        <v>48</v>
      </c>
      <c r="C939">
        <v>21</v>
      </c>
      <c r="D939">
        <v>2019</v>
      </c>
      <c r="E939" t="s">
        <v>35</v>
      </c>
      <c r="F939">
        <v>11</v>
      </c>
      <c r="G939" t="s">
        <v>37</v>
      </c>
      <c r="H939" t="s">
        <v>37</v>
      </c>
      <c r="I939">
        <v>4</v>
      </c>
      <c r="J939">
        <v>3</v>
      </c>
      <c r="K939" t="s">
        <v>38</v>
      </c>
      <c r="L939" t="s">
        <v>36</v>
      </c>
      <c r="M939" t="s">
        <v>36</v>
      </c>
      <c r="N939">
        <v>2</v>
      </c>
      <c r="O939" t="s">
        <v>53</v>
      </c>
      <c r="P939">
        <v>79</v>
      </c>
      <c r="Q939" t="s">
        <v>37</v>
      </c>
      <c r="R939" t="s">
        <v>37</v>
      </c>
      <c r="S939" t="s">
        <v>36</v>
      </c>
      <c r="T939" t="s">
        <v>49</v>
      </c>
      <c r="U939">
        <v>2</v>
      </c>
      <c r="V939" t="s">
        <v>41</v>
      </c>
      <c r="W939" t="s">
        <v>50</v>
      </c>
      <c r="X939" t="s">
        <v>37</v>
      </c>
      <c r="Y939" t="s">
        <v>43</v>
      </c>
      <c r="Z939" t="s">
        <v>37</v>
      </c>
      <c r="AA939">
        <v>2.67</v>
      </c>
      <c r="AB939" t="s">
        <v>37</v>
      </c>
      <c r="AC939">
        <v>3.77</v>
      </c>
      <c r="AD939">
        <v>143</v>
      </c>
      <c r="AE939">
        <v>55000</v>
      </c>
      <c r="AF939" t="str">
        <f>IF(Table1[[#This Row],[What is your current CGPA?]]&gt;=3.5,"High",IF(Table1[[#This Row],[What is your current CGPA?]]&gt;=2.5,"Medium","Low"))</f>
        <v>High</v>
      </c>
      <c r="AG939" t="str">
        <f>IF(AND(Table1[[#This Row],[Average attendance on class]]&lt;75,Table1[[#This Row],[How many hour do you study daily?]]&lt;1),"At Risk","Normal")</f>
        <v>Normal</v>
      </c>
      <c r="AH939">
        <f>(Table1[[#This Row],[Average attendance on class]]*0.4)+(Table1[[#This Row],[How many hour do you study daily?]]*10*0.3)+(Table1[[#This Row],[How many hour do you spent daily on your skill development?]]*10*0.3)</f>
        <v>49.6</v>
      </c>
    </row>
    <row r="940" spans="1:34" x14ac:dyDescent="0.25">
      <c r="A940">
        <v>2020</v>
      </c>
      <c r="B940" t="s">
        <v>48</v>
      </c>
      <c r="C940">
        <v>20</v>
      </c>
      <c r="D940">
        <v>2020</v>
      </c>
      <c r="E940" t="s">
        <v>35</v>
      </c>
      <c r="F940">
        <v>9</v>
      </c>
      <c r="G940" t="s">
        <v>37</v>
      </c>
      <c r="H940" t="s">
        <v>37</v>
      </c>
      <c r="I940">
        <v>4</v>
      </c>
      <c r="J940">
        <v>2</v>
      </c>
      <c r="K940" t="s">
        <v>38</v>
      </c>
      <c r="L940" t="s">
        <v>36</v>
      </c>
      <c r="M940" t="s">
        <v>37</v>
      </c>
      <c r="N940">
        <v>6</v>
      </c>
      <c r="O940" t="s">
        <v>53</v>
      </c>
      <c r="P940">
        <v>100</v>
      </c>
      <c r="Q940" t="s">
        <v>37</v>
      </c>
      <c r="R940" t="s">
        <v>37</v>
      </c>
      <c r="S940" t="s">
        <v>37</v>
      </c>
      <c r="T940" t="s">
        <v>49</v>
      </c>
      <c r="U940">
        <v>2</v>
      </c>
      <c r="V940" t="s">
        <v>40</v>
      </c>
      <c r="W940" t="s">
        <v>42</v>
      </c>
      <c r="X940" t="s">
        <v>36</v>
      </c>
      <c r="Y940" t="s">
        <v>47</v>
      </c>
      <c r="Z940" t="s">
        <v>37</v>
      </c>
      <c r="AA940">
        <v>2.31</v>
      </c>
      <c r="AB940" t="s">
        <v>37</v>
      </c>
      <c r="AC940">
        <v>3.44</v>
      </c>
      <c r="AD940">
        <v>138</v>
      </c>
      <c r="AE940">
        <v>55000</v>
      </c>
      <c r="AF940" t="str">
        <f>IF(Table1[[#This Row],[What is your current CGPA?]]&gt;=3.5,"High",IF(Table1[[#This Row],[What is your current CGPA?]]&gt;=2.5,"Medium","Low"))</f>
        <v>Medium</v>
      </c>
      <c r="AG940" t="str">
        <f>IF(AND(Table1[[#This Row],[Average attendance on class]]&lt;75,Table1[[#This Row],[How many hour do you study daily?]]&lt;1),"At Risk","Normal")</f>
        <v>Normal</v>
      </c>
      <c r="AH940">
        <f>(Table1[[#This Row],[Average attendance on class]]*0.4)+(Table1[[#This Row],[How many hour do you study daily?]]*10*0.3)+(Table1[[#This Row],[How many hour do you spent daily on your skill development?]]*10*0.3)</f>
        <v>58</v>
      </c>
    </row>
    <row r="941" spans="1:34" x14ac:dyDescent="0.25">
      <c r="A941">
        <v>2020</v>
      </c>
      <c r="B941" t="s">
        <v>34</v>
      </c>
      <c r="C941">
        <v>24</v>
      </c>
      <c r="D941">
        <v>2019</v>
      </c>
      <c r="E941" t="s">
        <v>35</v>
      </c>
      <c r="F941">
        <v>11</v>
      </c>
      <c r="G941" t="s">
        <v>37</v>
      </c>
      <c r="H941" t="s">
        <v>37</v>
      </c>
      <c r="I941">
        <v>2</v>
      </c>
      <c r="J941">
        <v>2</v>
      </c>
      <c r="K941" t="s">
        <v>38</v>
      </c>
      <c r="L941" t="s">
        <v>36</v>
      </c>
      <c r="M941" t="s">
        <v>36</v>
      </c>
      <c r="N941">
        <v>3</v>
      </c>
      <c r="O941" t="s">
        <v>39</v>
      </c>
      <c r="P941">
        <v>76</v>
      </c>
      <c r="Q941" t="s">
        <v>36</v>
      </c>
      <c r="R941" t="s">
        <v>37</v>
      </c>
      <c r="S941" t="s">
        <v>36</v>
      </c>
      <c r="T941" t="s">
        <v>51</v>
      </c>
      <c r="U941">
        <v>4</v>
      </c>
      <c r="V941" t="s">
        <v>59</v>
      </c>
      <c r="W941" t="s">
        <v>56</v>
      </c>
      <c r="X941" t="s">
        <v>36</v>
      </c>
      <c r="Y941" t="s">
        <v>47</v>
      </c>
      <c r="Z941" t="s">
        <v>37</v>
      </c>
      <c r="AA941">
        <v>1.26</v>
      </c>
      <c r="AB941" t="s">
        <v>37</v>
      </c>
      <c r="AC941">
        <v>2.37</v>
      </c>
      <c r="AD941">
        <v>143</v>
      </c>
      <c r="AE941">
        <v>56000</v>
      </c>
      <c r="AF941" t="str">
        <f>IF(Table1[[#This Row],[What is your current CGPA?]]&gt;=3.5,"High",IF(Table1[[#This Row],[What is your current CGPA?]]&gt;=2.5,"Medium","Low"))</f>
        <v>Low</v>
      </c>
      <c r="AG941" t="str">
        <f>IF(AND(Table1[[#This Row],[Average attendance on class]]&lt;75,Table1[[#This Row],[How many hour do you study daily?]]&lt;1),"At Risk","Normal")</f>
        <v>Normal</v>
      </c>
      <c r="AH941">
        <f>(Table1[[#This Row],[Average attendance on class]]*0.4)+(Table1[[#This Row],[How many hour do you study daily?]]*10*0.3)+(Table1[[#This Row],[How many hour do you spent daily on your skill development?]]*10*0.3)</f>
        <v>48.400000000000006</v>
      </c>
    </row>
    <row r="942" spans="1:34" x14ac:dyDescent="0.25">
      <c r="A942">
        <v>2019</v>
      </c>
      <c r="B942" t="s">
        <v>48</v>
      </c>
      <c r="C942">
        <v>25</v>
      </c>
      <c r="D942">
        <v>2018</v>
      </c>
      <c r="E942" t="s">
        <v>35</v>
      </c>
      <c r="F942">
        <v>11</v>
      </c>
      <c r="G942" t="s">
        <v>37</v>
      </c>
      <c r="H942" t="s">
        <v>37</v>
      </c>
      <c r="I942">
        <v>1</v>
      </c>
      <c r="J942">
        <v>2</v>
      </c>
      <c r="K942" t="s">
        <v>44</v>
      </c>
      <c r="L942" t="s">
        <v>36</v>
      </c>
      <c r="M942" t="s">
        <v>36</v>
      </c>
      <c r="N942">
        <v>4</v>
      </c>
      <c r="O942" t="s">
        <v>45</v>
      </c>
      <c r="P942">
        <v>66</v>
      </c>
      <c r="Q942" t="s">
        <v>37</v>
      </c>
      <c r="R942" t="s">
        <v>37</v>
      </c>
      <c r="S942" t="s">
        <v>36</v>
      </c>
      <c r="T942" t="s">
        <v>51</v>
      </c>
      <c r="U942">
        <v>4</v>
      </c>
      <c r="V942" t="s">
        <v>59</v>
      </c>
      <c r="W942" t="s">
        <v>42</v>
      </c>
      <c r="X942" t="s">
        <v>36</v>
      </c>
      <c r="Y942" t="s">
        <v>47</v>
      </c>
      <c r="Z942" t="s">
        <v>37</v>
      </c>
      <c r="AA942">
        <v>1.55</v>
      </c>
      <c r="AB942" t="s">
        <v>37</v>
      </c>
      <c r="AC942">
        <v>2.78</v>
      </c>
      <c r="AD942">
        <v>143</v>
      </c>
      <c r="AE942">
        <v>57000</v>
      </c>
      <c r="AF942" t="str">
        <f>IF(Table1[[#This Row],[What is your current CGPA?]]&gt;=3.5,"High",IF(Table1[[#This Row],[What is your current CGPA?]]&gt;=2.5,"Medium","Low"))</f>
        <v>Medium</v>
      </c>
      <c r="AG942" t="str">
        <f>IF(AND(Table1[[#This Row],[Average attendance on class]]&lt;75,Table1[[#This Row],[How many hour do you study daily?]]&lt;1),"At Risk","Normal")</f>
        <v>Normal</v>
      </c>
      <c r="AH942">
        <f>(Table1[[#This Row],[Average attendance on class]]*0.4)+(Table1[[#This Row],[How many hour do you study daily?]]*10*0.3)+(Table1[[#This Row],[How many hour do you spent daily on your skill development?]]*10*0.3)</f>
        <v>41.400000000000006</v>
      </c>
    </row>
    <row r="943" spans="1:34" x14ac:dyDescent="0.25">
      <c r="A943">
        <v>2021</v>
      </c>
      <c r="B943" t="s">
        <v>48</v>
      </c>
      <c r="C943">
        <v>20</v>
      </c>
      <c r="D943">
        <v>2020</v>
      </c>
      <c r="E943" t="s">
        <v>35</v>
      </c>
      <c r="F943">
        <v>9</v>
      </c>
      <c r="G943" t="s">
        <v>37</v>
      </c>
      <c r="H943" t="s">
        <v>37</v>
      </c>
      <c r="I943">
        <v>2</v>
      </c>
      <c r="J943">
        <v>3</v>
      </c>
      <c r="K943" t="s">
        <v>38</v>
      </c>
      <c r="L943" t="s">
        <v>36</v>
      </c>
      <c r="M943" t="s">
        <v>36</v>
      </c>
      <c r="N943">
        <v>2</v>
      </c>
      <c r="O943" t="s">
        <v>53</v>
      </c>
      <c r="P943">
        <v>100</v>
      </c>
      <c r="Q943" t="s">
        <v>36</v>
      </c>
      <c r="R943" t="s">
        <v>37</v>
      </c>
      <c r="S943" t="s">
        <v>37</v>
      </c>
      <c r="T943" t="s">
        <v>40</v>
      </c>
      <c r="U943">
        <v>4</v>
      </c>
      <c r="V943" t="s">
        <v>62</v>
      </c>
      <c r="W943" t="s">
        <v>50</v>
      </c>
      <c r="X943" t="s">
        <v>36</v>
      </c>
      <c r="Y943" t="s">
        <v>43</v>
      </c>
      <c r="Z943" t="s">
        <v>37</v>
      </c>
      <c r="AA943">
        <v>2.64</v>
      </c>
      <c r="AB943" t="s">
        <v>37</v>
      </c>
      <c r="AC943">
        <v>3.71</v>
      </c>
      <c r="AD943">
        <v>129</v>
      </c>
      <c r="AE943">
        <v>59000</v>
      </c>
      <c r="AF943" t="str">
        <f>IF(Table1[[#This Row],[What is your current CGPA?]]&gt;=3.5,"High",IF(Table1[[#This Row],[What is your current CGPA?]]&gt;=2.5,"Medium","Low"))</f>
        <v>High</v>
      </c>
      <c r="AG943" t="str">
        <f>IF(AND(Table1[[#This Row],[Average attendance on class]]&lt;75,Table1[[#This Row],[How many hour do you study daily?]]&lt;1),"At Risk","Normal")</f>
        <v>Normal</v>
      </c>
      <c r="AH943">
        <f>(Table1[[#This Row],[Average attendance on class]]*0.4)+(Table1[[#This Row],[How many hour do you study daily?]]*10*0.3)+(Table1[[#This Row],[How many hour do you spent daily on your skill development?]]*10*0.3)</f>
        <v>58</v>
      </c>
    </row>
    <row r="944" spans="1:34" x14ac:dyDescent="0.25">
      <c r="A944">
        <v>2021</v>
      </c>
      <c r="B944" t="s">
        <v>34</v>
      </c>
      <c r="C944">
        <v>20</v>
      </c>
      <c r="D944">
        <v>2020</v>
      </c>
      <c r="E944" t="s">
        <v>35</v>
      </c>
      <c r="F944">
        <v>10</v>
      </c>
      <c r="G944" t="s">
        <v>37</v>
      </c>
      <c r="H944" t="s">
        <v>37</v>
      </c>
      <c r="I944">
        <v>1</v>
      </c>
      <c r="J944">
        <v>2</v>
      </c>
      <c r="K944" t="s">
        <v>38</v>
      </c>
      <c r="L944" t="s">
        <v>36</v>
      </c>
      <c r="M944" t="s">
        <v>36</v>
      </c>
      <c r="N944">
        <v>2</v>
      </c>
      <c r="O944" t="s">
        <v>53</v>
      </c>
      <c r="P944">
        <v>100</v>
      </c>
      <c r="Q944" t="s">
        <v>36</v>
      </c>
      <c r="R944" t="s">
        <v>37</v>
      </c>
      <c r="S944" t="s">
        <v>37</v>
      </c>
      <c r="T944" t="s">
        <v>40</v>
      </c>
      <c r="U944">
        <v>2</v>
      </c>
      <c r="V944" t="s">
        <v>62</v>
      </c>
      <c r="W944" t="s">
        <v>50</v>
      </c>
      <c r="X944" t="s">
        <v>36</v>
      </c>
      <c r="Y944" t="s">
        <v>43</v>
      </c>
      <c r="Z944" t="s">
        <v>37</v>
      </c>
      <c r="AA944">
        <v>2.76</v>
      </c>
      <c r="AB944" t="s">
        <v>37</v>
      </c>
      <c r="AC944">
        <v>3.81</v>
      </c>
      <c r="AD944">
        <v>134</v>
      </c>
      <c r="AE944">
        <v>59000</v>
      </c>
      <c r="AF944" t="str">
        <f>IF(Table1[[#This Row],[What is your current CGPA?]]&gt;=3.5,"High",IF(Table1[[#This Row],[What is your current CGPA?]]&gt;=2.5,"Medium","Low"))</f>
        <v>High</v>
      </c>
      <c r="AG944" t="str">
        <f>IF(AND(Table1[[#This Row],[Average attendance on class]]&lt;75,Table1[[#This Row],[How many hour do you study daily?]]&lt;1),"At Risk","Normal")</f>
        <v>Normal</v>
      </c>
      <c r="AH944">
        <f>(Table1[[#This Row],[Average attendance on class]]*0.4)+(Table1[[#This Row],[How many hour do you study daily?]]*10*0.3)+(Table1[[#This Row],[How many hour do you spent daily on your skill development?]]*10*0.3)</f>
        <v>49</v>
      </c>
    </row>
    <row r="945" spans="1:34" x14ac:dyDescent="0.25">
      <c r="A945">
        <v>2020</v>
      </c>
      <c r="B945" t="s">
        <v>34</v>
      </c>
      <c r="C945">
        <v>25</v>
      </c>
      <c r="D945">
        <v>2018</v>
      </c>
      <c r="E945" t="s">
        <v>35</v>
      </c>
      <c r="F945">
        <v>8</v>
      </c>
      <c r="G945" t="s">
        <v>37</v>
      </c>
      <c r="H945" t="s">
        <v>37</v>
      </c>
      <c r="I945">
        <v>4</v>
      </c>
      <c r="J945">
        <v>2</v>
      </c>
      <c r="K945" t="s">
        <v>38</v>
      </c>
      <c r="L945" t="s">
        <v>36</v>
      </c>
      <c r="M945" t="s">
        <v>36</v>
      </c>
      <c r="N945">
        <v>7</v>
      </c>
      <c r="O945" t="s">
        <v>45</v>
      </c>
      <c r="P945">
        <v>88</v>
      </c>
      <c r="Q945" t="s">
        <v>37</v>
      </c>
      <c r="R945" t="s">
        <v>37</v>
      </c>
      <c r="S945" t="s">
        <v>37</v>
      </c>
      <c r="T945" t="s">
        <v>61</v>
      </c>
      <c r="U945">
        <v>1</v>
      </c>
      <c r="V945" t="s">
        <v>41</v>
      </c>
      <c r="W945" t="s">
        <v>42</v>
      </c>
      <c r="X945" t="s">
        <v>36</v>
      </c>
      <c r="Y945" t="s">
        <v>43</v>
      </c>
      <c r="Z945" t="s">
        <v>37</v>
      </c>
      <c r="AA945">
        <v>1.62</v>
      </c>
      <c r="AB945" t="s">
        <v>37</v>
      </c>
      <c r="AC945">
        <v>2.4500000000000002</v>
      </c>
      <c r="AD945">
        <v>99</v>
      </c>
      <c r="AE945">
        <v>60000</v>
      </c>
      <c r="AF945" t="str">
        <f>IF(Table1[[#This Row],[What is your current CGPA?]]&gt;=3.5,"High",IF(Table1[[#This Row],[What is your current CGPA?]]&gt;=2.5,"Medium","Low"))</f>
        <v>Low</v>
      </c>
      <c r="AG945" t="str">
        <f>IF(AND(Table1[[#This Row],[Average attendance on class]]&lt;75,Table1[[#This Row],[How many hour do you study daily?]]&lt;1),"At Risk","Normal")</f>
        <v>Normal</v>
      </c>
      <c r="AH945">
        <f>(Table1[[#This Row],[Average attendance on class]]*0.4)+(Table1[[#This Row],[How many hour do you study daily?]]*10*0.3)+(Table1[[#This Row],[How many hour do you spent daily on your skill development?]]*10*0.3)</f>
        <v>50.2</v>
      </c>
    </row>
    <row r="946" spans="1:34" x14ac:dyDescent="0.25">
      <c r="A946">
        <v>2020</v>
      </c>
      <c r="B946" t="s">
        <v>48</v>
      </c>
      <c r="C946">
        <v>23</v>
      </c>
      <c r="D946">
        <v>2019</v>
      </c>
      <c r="E946" t="s">
        <v>35</v>
      </c>
      <c r="F946">
        <v>11</v>
      </c>
      <c r="G946" t="s">
        <v>36</v>
      </c>
      <c r="H946" t="s">
        <v>37</v>
      </c>
      <c r="I946">
        <v>2</v>
      </c>
      <c r="J946">
        <v>2</v>
      </c>
      <c r="K946" t="s">
        <v>44</v>
      </c>
      <c r="L946" t="s">
        <v>36</v>
      </c>
      <c r="M946" t="s">
        <v>36</v>
      </c>
      <c r="N946">
        <v>4</v>
      </c>
      <c r="O946" t="s">
        <v>45</v>
      </c>
      <c r="P946">
        <v>80</v>
      </c>
      <c r="Q946" t="s">
        <v>37</v>
      </c>
      <c r="R946" t="s">
        <v>37</v>
      </c>
      <c r="S946" t="s">
        <v>37</v>
      </c>
      <c r="T946" t="s">
        <v>51</v>
      </c>
      <c r="U946">
        <v>2</v>
      </c>
      <c r="V946" t="s">
        <v>40</v>
      </c>
      <c r="W946" t="s">
        <v>42</v>
      </c>
      <c r="X946" t="s">
        <v>36</v>
      </c>
      <c r="Y946" t="s">
        <v>47</v>
      </c>
      <c r="Z946" t="s">
        <v>37</v>
      </c>
      <c r="AA946">
        <v>2.88</v>
      </c>
      <c r="AB946" t="s">
        <v>37</v>
      </c>
      <c r="AC946">
        <v>3.6</v>
      </c>
      <c r="AD946">
        <v>109</v>
      </c>
      <c r="AE946">
        <v>60000</v>
      </c>
      <c r="AF946" t="str">
        <f>IF(Table1[[#This Row],[What is your current CGPA?]]&gt;=3.5,"High",IF(Table1[[#This Row],[What is your current CGPA?]]&gt;=2.5,"Medium","Low"))</f>
        <v>High</v>
      </c>
      <c r="AG946" t="str">
        <f>IF(AND(Table1[[#This Row],[Average attendance on class]]&lt;75,Table1[[#This Row],[How many hour do you study daily?]]&lt;1),"At Risk","Normal")</f>
        <v>Normal</v>
      </c>
      <c r="AH946">
        <f>(Table1[[#This Row],[Average attendance on class]]*0.4)+(Table1[[#This Row],[How many hour do you study daily?]]*10*0.3)+(Table1[[#This Row],[How many hour do you spent daily on your skill development?]]*10*0.3)</f>
        <v>44</v>
      </c>
    </row>
    <row r="947" spans="1:34" x14ac:dyDescent="0.25">
      <c r="A947">
        <v>2021</v>
      </c>
      <c r="B947" t="s">
        <v>48</v>
      </c>
      <c r="C947">
        <v>23</v>
      </c>
      <c r="D947">
        <v>2019</v>
      </c>
      <c r="E947" t="s">
        <v>35</v>
      </c>
      <c r="F947">
        <v>5</v>
      </c>
      <c r="G947" t="s">
        <v>37</v>
      </c>
      <c r="H947" t="s">
        <v>37</v>
      </c>
      <c r="I947">
        <v>3</v>
      </c>
      <c r="J947">
        <v>2</v>
      </c>
      <c r="K947" t="s">
        <v>38</v>
      </c>
      <c r="L947" t="s">
        <v>36</v>
      </c>
      <c r="M947" t="s">
        <v>36</v>
      </c>
      <c r="N947">
        <v>6</v>
      </c>
      <c r="O947" t="s">
        <v>39</v>
      </c>
      <c r="P947">
        <v>90</v>
      </c>
      <c r="Q947" t="s">
        <v>36</v>
      </c>
      <c r="R947" t="s">
        <v>37</v>
      </c>
      <c r="S947" t="s">
        <v>36</v>
      </c>
      <c r="T947" t="s">
        <v>40</v>
      </c>
      <c r="U947">
        <v>4</v>
      </c>
      <c r="V947" t="s">
        <v>40</v>
      </c>
      <c r="W947" t="s">
        <v>50</v>
      </c>
      <c r="X947" t="s">
        <v>36</v>
      </c>
      <c r="Y947" t="s">
        <v>47</v>
      </c>
      <c r="Z947" t="s">
        <v>37</v>
      </c>
      <c r="AA947">
        <v>2.61</v>
      </c>
      <c r="AB947" t="s">
        <v>37</v>
      </c>
      <c r="AC947">
        <v>3.57</v>
      </c>
      <c r="AD947">
        <v>130</v>
      </c>
      <c r="AE947">
        <v>60000</v>
      </c>
      <c r="AF947" t="str">
        <f>IF(Table1[[#This Row],[What is your current CGPA?]]&gt;=3.5,"High",IF(Table1[[#This Row],[What is your current CGPA?]]&gt;=2.5,"Medium","Low"))</f>
        <v>High</v>
      </c>
      <c r="AG947" t="str">
        <f>IF(AND(Table1[[#This Row],[Average attendance on class]]&lt;75,Table1[[#This Row],[How many hour do you study daily?]]&lt;1),"At Risk","Normal")</f>
        <v>Normal</v>
      </c>
      <c r="AH947">
        <f>(Table1[[#This Row],[Average attendance on class]]*0.4)+(Table1[[#This Row],[How many hour do you study daily?]]*10*0.3)+(Table1[[#This Row],[How many hour do you spent daily on your skill development?]]*10*0.3)</f>
        <v>57</v>
      </c>
    </row>
    <row r="948" spans="1:34" x14ac:dyDescent="0.25">
      <c r="A948">
        <v>2021</v>
      </c>
      <c r="B948" t="s">
        <v>48</v>
      </c>
      <c r="C948">
        <v>23</v>
      </c>
      <c r="D948">
        <v>2019</v>
      </c>
      <c r="E948" t="s">
        <v>35</v>
      </c>
      <c r="F948">
        <v>7</v>
      </c>
      <c r="G948" t="s">
        <v>36</v>
      </c>
      <c r="H948" t="s">
        <v>37</v>
      </c>
      <c r="I948">
        <v>1</v>
      </c>
      <c r="J948">
        <v>2</v>
      </c>
      <c r="K948" t="s">
        <v>38</v>
      </c>
      <c r="L948" t="s">
        <v>36</v>
      </c>
      <c r="M948" t="s">
        <v>36</v>
      </c>
      <c r="N948">
        <v>2</v>
      </c>
      <c r="O948" t="s">
        <v>39</v>
      </c>
      <c r="P948">
        <v>100</v>
      </c>
      <c r="Q948" t="s">
        <v>37</v>
      </c>
      <c r="R948" t="s">
        <v>37</v>
      </c>
      <c r="S948" t="s">
        <v>36</v>
      </c>
      <c r="T948" t="s">
        <v>51</v>
      </c>
      <c r="U948">
        <v>2</v>
      </c>
      <c r="V948" t="s">
        <v>49</v>
      </c>
      <c r="W948" t="s">
        <v>42</v>
      </c>
      <c r="X948" t="s">
        <v>36</v>
      </c>
      <c r="Y948" t="s">
        <v>47</v>
      </c>
      <c r="Z948" t="s">
        <v>37</v>
      </c>
      <c r="AA948">
        <v>2.85</v>
      </c>
      <c r="AB948" t="s">
        <v>37</v>
      </c>
      <c r="AC948">
        <v>3.79</v>
      </c>
      <c r="AD948">
        <v>66</v>
      </c>
      <c r="AE948">
        <v>60000</v>
      </c>
      <c r="AF948" t="str">
        <f>IF(Table1[[#This Row],[What is your current CGPA?]]&gt;=3.5,"High",IF(Table1[[#This Row],[What is your current CGPA?]]&gt;=2.5,"Medium","Low"))</f>
        <v>High</v>
      </c>
      <c r="AG948" t="str">
        <f>IF(AND(Table1[[#This Row],[Average attendance on class]]&lt;75,Table1[[#This Row],[How many hour do you study daily?]]&lt;1),"At Risk","Normal")</f>
        <v>Normal</v>
      </c>
      <c r="AH948">
        <f>(Table1[[#This Row],[Average attendance on class]]*0.4)+(Table1[[#This Row],[How many hour do you study daily?]]*10*0.3)+(Table1[[#This Row],[How many hour do you spent daily on your skill development?]]*10*0.3)</f>
        <v>49</v>
      </c>
    </row>
    <row r="949" spans="1:34" x14ac:dyDescent="0.25">
      <c r="A949">
        <v>2019</v>
      </c>
      <c r="B949" t="s">
        <v>34</v>
      </c>
      <c r="C949">
        <v>23</v>
      </c>
      <c r="D949">
        <v>2019</v>
      </c>
      <c r="E949" t="s">
        <v>35</v>
      </c>
      <c r="F949">
        <v>12</v>
      </c>
      <c r="G949" t="s">
        <v>37</v>
      </c>
      <c r="H949" t="s">
        <v>37</v>
      </c>
      <c r="I949">
        <v>5</v>
      </c>
      <c r="J949">
        <v>2</v>
      </c>
      <c r="K949" t="s">
        <v>38</v>
      </c>
      <c r="L949" t="s">
        <v>36</v>
      </c>
      <c r="M949" t="s">
        <v>37</v>
      </c>
      <c r="N949">
        <v>10</v>
      </c>
      <c r="O949" t="s">
        <v>53</v>
      </c>
      <c r="P949">
        <v>100</v>
      </c>
      <c r="Q949" t="s">
        <v>37</v>
      </c>
      <c r="R949" t="s">
        <v>37</v>
      </c>
      <c r="S949" t="s">
        <v>37</v>
      </c>
      <c r="T949" t="s">
        <v>51</v>
      </c>
      <c r="U949">
        <v>1</v>
      </c>
      <c r="V949" t="s">
        <v>51</v>
      </c>
      <c r="W949" t="s">
        <v>42</v>
      </c>
      <c r="X949" t="s">
        <v>37</v>
      </c>
      <c r="Y949" t="s">
        <v>47</v>
      </c>
      <c r="Z949" t="s">
        <v>37</v>
      </c>
      <c r="AA949">
        <v>2.19</v>
      </c>
      <c r="AB949" t="s">
        <v>37</v>
      </c>
      <c r="AC949">
        <v>3.7</v>
      </c>
      <c r="AD949">
        <v>111</v>
      </c>
      <c r="AE949">
        <v>60000</v>
      </c>
      <c r="AF949" t="str">
        <f>IF(Table1[[#This Row],[What is your current CGPA?]]&gt;=3.5,"High",IF(Table1[[#This Row],[What is your current CGPA?]]&gt;=2.5,"Medium","Low"))</f>
        <v>High</v>
      </c>
      <c r="AG949" t="str">
        <f>IF(AND(Table1[[#This Row],[Average attendance on class]]&lt;75,Table1[[#This Row],[How many hour do you study daily?]]&lt;1),"At Risk","Normal")</f>
        <v>Normal</v>
      </c>
      <c r="AH949">
        <f>(Table1[[#This Row],[Average attendance on class]]*0.4)+(Table1[[#This Row],[How many hour do you study daily?]]*10*0.3)+(Table1[[#This Row],[How many hour do you spent daily on your skill development?]]*10*0.3)</f>
        <v>58</v>
      </c>
    </row>
    <row r="950" spans="1:34" x14ac:dyDescent="0.25">
      <c r="A950">
        <v>2021</v>
      </c>
      <c r="B950" t="s">
        <v>48</v>
      </c>
      <c r="C950">
        <v>22</v>
      </c>
      <c r="D950">
        <v>2019</v>
      </c>
      <c r="E950" t="s">
        <v>35</v>
      </c>
      <c r="F950">
        <v>7</v>
      </c>
      <c r="G950" t="s">
        <v>37</v>
      </c>
      <c r="H950" t="s">
        <v>37</v>
      </c>
      <c r="I950">
        <v>2</v>
      </c>
      <c r="J950">
        <v>2</v>
      </c>
      <c r="K950" t="s">
        <v>38</v>
      </c>
      <c r="L950" t="s">
        <v>36</v>
      </c>
      <c r="M950" t="s">
        <v>36</v>
      </c>
      <c r="N950">
        <v>4</v>
      </c>
      <c r="O950" t="s">
        <v>39</v>
      </c>
      <c r="P950">
        <v>60</v>
      </c>
      <c r="Q950" t="s">
        <v>36</v>
      </c>
      <c r="R950" t="s">
        <v>37</v>
      </c>
      <c r="S950" t="s">
        <v>36</v>
      </c>
      <c r="T950" t="s">
        <v>51</v>
      </c>
      <c r="U950">
        <v>2</v>
      </c>
      <c r="V950" t="s">
        <v>40</v>
      </c>
      <c r="W950" t="s">
        <v>42</v>
      </c>
      <c r="X950" t="s">
        <v>36</v>
      </c>
      <c r="Y950" t="s">
        <v>43</v>
      </c>
      <c r="Z950" t="s">
        <v>37</v>
      </c>
      <c r="AA950">
        <v>1.9</v>
      </c>
      <c r="AB950" t="s">
        <v>37</v>
      </c>
      <c r="AC950">
        <v>2.81</v>
      </c>
      <c r="AD950">
        <v>97</v>
      </c>
      <c r="AE950">
        <v>60000</v>
      </c>
      <c r="AF950" t="str">
        <f>IF(Table1[[#This Row],[What is your current CGPA?]]&gt;=3.5,"High",IF(Table1[[#This Row],[What is your current CGPA?]]&gt;=2.5,"Medium","Low"))</f>
        <v>Medium</v>
      </c>
      <c r="AG950" t="str">
        <f>IF(AND(Table1[[#This Row],[Average attendance on class]]&lt;75,Table1[[#This Row],[How many hour do you study daily?]]&lt;1),"At Risk","Normal")</f>
        <v>Normal</v>
      </c>
      <c r="AH950">
        <f>(Table1[[#This Row],[Average attendance on class]]*0.4)+(Table1[[#This Row],[How many hour do you study daily?]]*10*0.3)+(Table1[[#This Row],[How many hour do you spent daily on your skill development?]]*10*0.3)</f>
        <v>36</v>
      </c>
    </row>
    <row r="951" spans="1:34" x14ac:dyDescent="0.25">
      <c r="A951">
        <v>2020</v>
      </c>
      <c r="B951" t="s">
        <v>48</v>
      </c>
      <c r="C951">
        <v>21</v>
      </c>
      <c r="D951">
        <v>2019</v>
      </c>
      <c r="E951" t="s">
        <v>35</v>
      </c>
      <c r="F951">
        <v>8</v>
      </c>
      <c r="G951" t="s">
        <v>37</v>
      </c>
      <c r="H951" t="s">
        <v>37</v>
      </c>
      <c r="I951">
        <v>5</v>
      </c>
      <c r="J951">
        <v>2</v>
      </c>
      <c r="K951" t="s">
        <v>44</v>
      </c>
      <c r="L951" t="s">
        <v>36</v>
      </c>
      <c r="M951" t="s">
        <v>36</v>
      </c>
      <c r="N951">
        <v>7</v>
      </c>
      <c r="O951" t="s">
        <v>53</v>
      </c>
      <c r="P951">
        <v>75</v>
      </c>
      <c r="Q951" t="s">
        <v>37</v>
      </c>
      <c r="R951" t="s">
        <v>37</v>
      </c>
      <c r="S951" t="s">
        <v>37</v>
      </c>
      <c r="T951" t="s">
        <v>51</v>
      </c>
      <c r="U951">
        <v>3</v>
      </c>
      <c r="V951" t="s">
        <v>59</v>
      </c>
      <c r="W951" t="s">
        <v>42</v>
      </c>
      <c r="X951" t="s">
        <v>36</v>
      </c>
      <c r="Y951" t="s">
        <v>43</v>
      </c>
      <c r="Z951" t="s">
        <v>36</v>
      </c>
      <c r="AA951">
        <v>1.89</v>
      </c>
      <c r="AB951" t="s">
        <v>37</v>
      </c>
      <c r="AC951">
        <v>3.08</v>
      </c>
      <c r="AD951">
        <v>117</v>
      </c>
      <c r="AE951">
        <v>60000</v>
      </c>
      <c r="AF951" t="str">
        <f>IF(Table1[[#This Row],[What is your current CGPA?]]&gt;=3.5,"High",IF(Table1[[#This Row],[What is your current CGPA?]]&gt;=2.5,"Medium","Low"))</f>
        <v>Medium</v>
      </c>
      <c r="AG951" t="str">
        <f>IF(AND(Table1[[#This Row],[Average attendance on class]]&lt;75,Table1[[#This Row],[How many hour do you study daily?]]&lt;1),"At Risk","Normal")</f>
        <v>Normal</v>
      </c>
      <c r="AH951">
        <f>(Table1[[#This Row],[Average attendance on class]]*0.4)+(Table1[[#This Row],[How many hour do you study daily?]]*10*0.3)+(Table1[[#This Row],[How many hour do you spent daily on your skill development?]]*10*0.3)</f>
        <v>54</v>
      </c>
    </row>
    <row r="952" spans="1:34" x14ac:dyDescent="0.25">
      <c r="A952">
        <v>2021</v>
      </c>
      <c r="B952" t="s">
        <v>48</v>
      </c>
      <c r="C952">
        <v>21</v>
      </c>
      <c r="D952">
        <v>2019</v>
      </c>
      <c r="E952" t="s">
        <v>35</v>
      </c>
      <c r="F952">
        <v>10</v>
      </c>
      <c r="G952" t="s">
        <v>37</v>
      </c>
      <c r="H952" t="s">
        <v>37</v>
      </c>
      <c r="I952">
        <v>1</v>
      </c>
      <c r="J952">
        <v>3</v>
      </c>
      <c r="K952" t="s">
        <v>38</v>
      </c>
      <c r="L952" t="s">
        <v>36</v>
      </c>
      <c r="M952" t="s">
        <v>36</v>
      </c>
      <c r="N952">
        <v>10</v>
      </c>
      <c r="O952" t="s">
        <v>53</v>
      </c>
      <c r="P952">
        <v>100</v>
      </c>
      <c r="Q952" t="s">
        <v>37</v>
      </c>
      <c r="R952" t="s">
        <v>37</v>
      </c>
      <c r="S952" t="s">
        <v>36</v>
      </c>
      <c r="T952" t="s">
        <v>40</v>
      </c>
      <c r="U952">
        <v>1</v>
      </c>
      <c r="V952" t="s">
        <v>40</v>
      </c>
      <c r="W952" t="s">
        <v>50</v>
      </c>
      <c r="X952" t="s">
        <v>37</v>
      </c>
      <c r="Y952" t="s">
        <v>43</v>
      </c>
      <c r="Z952" t="s">
        <v>37</v>
      </c>
      <c r="AA952">
        <v>2.77</v>
      </c>
      <c r="AB952" t="s">
        <v>37</v>
      </c>
      <c r="AC952">
        <v>3.81</v>
      </c>
      <c r="AD952">
        <v>136</v>
      </c>
      <c r="AE952">
        <v>60000</v>
      </c>
      <c r="AF952" t="str">
        <f>IF(Table1[[#This Row],[What is your current CGPA?]]&gt;=3.5,"High",IF(Table1[[#This Row],[What is your current CGPA?]]&gt;=2.5,"Medium","Low"))</f>
        <v>High</v>
      </c>
      <c r="AG952" t="str">
        <f>IF(AND(Table1[[#This Row],[Average attendance on class]]&lt;75,Table1[[#This Row],[How many hour do you study daily?]]&lt;1),"At Risk","Normal")</f>
        <v>Normal</v>
      </c>
      <c r="AH952">
        <f>(Table1[[#This Row],[Average attendance on class]]*0.4)+(Table1[[#This Row],[How many hour do you study daily?]]*10*0.3)+(Table1[[#This Row],[How many hour do you spent daily on your skill development?]]*10*0.3)</f>
        <v>46</v>
      </c>
    </row>
    <row r="953" spans="1:34" x14ac:dyDescent="0.25">
      <c r="A953">
        <v>2021</v>
      </c>
      <c r="B953" t="s">
        <v>34</v>
      </c>
      <c r="C953">
        <v>22</v>
      </c>
      <c r="D953">
        <v>2020</v>
      </c>
      <c r="E953" t="s">
        <v>35</v>
      </c>
      <c r="F953">
        <v>6</v>
      </c>
      <c r="G953" t="s">
        <v>37</v>
      </c>
      <c r="H953" t="s">
        <v>37</v>
      </c>
      <c r="I953">
        <v>2</v>
      </c>
      <c r="J953">
        <v>1</v>
      </c>
      <c r="K953" t="s">
        <v>38</v>
      </c>
      <c r="L953" t="s">
        <v>36</v>
      </c>
      <c r="M953" t="s">
        <v>36</v>
      </c>
      <c r="N953">
        <v>8</v>
      </c>
      <c r="O953" t="s">
        <v>39</v>
      </c>
      <c r="P953">
        <v>95</v>
      </c>
      <c r="Q953" t="s">
        <v>37</v>
      </c>
      <c r="R953" t="s">
        <v>37</v>
      </c>
      <c r="S953" t="s">
        <v>37</v>
      </c>
      <c r="T953" t="s">
        <v>40</v>
      </c>
      <c r="U953">
        <v>1</v>
      </c>
      <c r="V953" t="s">
        <v>41</v>
      </c>
      <c r="W953" t="s">
        <v>42</v>
      </c>
      <c r="X953" t="s">
        <v>36</v>
      </c>
      <c r="Y953" t="s">
        <v>47</v>
      </c>
      <c r="Z953" t="s">
        <v>36</v>
      </c>
      <c r="AA953">
        <v>1.4</v>
      </c>
      <c r="AB953" t="s">
        <v>37</v>
      </c>
      <c r="AC953">
        <v>2.95</v>
      </c>
      <c r="AD953">
        <v>61</v>
      </c>
      <c r="AE953">
        <v>60000</v>
      </c>
      <c r="AF953" t="str">
        <f>IF(Table1[[#This Row],[What is your current CGPA?]]&gt;=3.5,"High",IF(Table1[[#This Row],[What is your current CGPA?]]&gt;=2.5,"Medium","Low"))</f>
        <v>Medium</v>
      </c>
      <c r="AG953" t="str">
        <f>IF(AND(Table1[[#This Row],[Average attendance on class]]&lt;75,Table1[[#This Row],[How many hour do you study daily?]]&lt;1),"At Risk","Normal")</f>
        <v>Normal</v>
      </c>
      <c r="AH953">
        <f>(Table1[[#This Row],[Average attendance on class]]*0.4)+(Table1[[#This Row],[How many hour do you study daily?]]*10*0.3)+(Table1[[#This Row],[How many hour do you spent daily on your skill development?]]*10*0.3)</f>
        <v>47</v>
      </c>
    </row>
    <row r="954" spans="1:34" x14ac:dyDescent="0.25">
      <c r="A954">
        <v>2021</v>
      </c>
      <c r="B954" t="s">
        <v>48</v>
      </c>
      <c r="C954">
        <v>20</v>
      </c>
      <c r="D954">
        <v>2020</v>
      </c>
      <c r="E954" t="s">
        <v>35</v>
      </c>
      <c r="F954">
        <v>6</v>
      </c>
      <c r="G954" t="s">
        <v>36</v>
      </c>
      <c r="H954" t="s">
        <v>37</v>
      </c>
      <c r="I954">
        <v>5</v>
      </c>
      <c r="J954">
        <v>3</v>
      </c>
      <c r="K954" t="s">
        <v>38</v>
      </c>
      <c r="L954" t="s">
        <v>36</v>
      </c>
      <c r="M954" t="s">
        <v>36</v>
      </c>
      <c r="N954">
        <v>4</v>
      </c>
      <c r="O954" t="s">
        <v>53</v>
      </c>
      <c r="P954">
        <v>50</v>
      </c>
      <c r="Q954" t="s">
        <v>37</v>
      </c>
      <c r="R954" t="s">
        <v>37</v>
      </c>
      <c r="S954" t="s">
        <v>37</v>
      </c>
      <c r="T954" t="s">
        <v>52</v>
      </c>
      <c r="U954">
        <v>1</v>
      </c>
      <c r="V954" t="s">
        <v>62</v>
      </c>
      <c r="W954" t="s">
        <v>42</v>
      </c>
      <c r="X954" t="s">
        <v>37</v>
      </c>
      <c r="Y954" t="s">
        <v>43</v>
      </c>
      <c r="Z954" t="s">
        <v>37</v>
      </c>
      <c r="AA954">
        <v>1.76</v>
      </c>
      <c r="AB954" t="s">
        <v>37</v>
      </c>
      <c r="AC954">
        <v>2.87</v>
      </c>
      <c r="AD954">
        <v>68</v>
      </c>
      <c r="AE954">
        <v>60000</v>
      </c>
      <c r="AF954" t="str">
        <f>IF(Table1[[#This Row],[What is your current CGPA?]]&gt;=3.5,"High",IF(Table1[[#This Row],[What is your current CGPA?]]&gt;=2.5,"Medium","Low"))</f>
        <v>Medium</v>
      </c>
      <c r="AG954" t="str">
        <f>IF(AND(Table1[[#This Row],[Average attendance on class]]&lt;75,Table1[[#This Row],[How many hour do you study daily?]]&lt;1),"At Risk","Normal")</f>
        <v>Normal</v>
      </c>
      <c r="AH954">
        <f>(Table1[[#This Row],[Average attendance on class]]*0.4)+(Table1[[#This Row],[How many hour do you study daily?]]*10*0.3)+(Table1[[#This Row],[How many hour do you spent daily on your skill development?]]*10*0.3)</f>
        <v>38</v>
      </c>
    </row>
    <row r="955" spans="1:34" x14ac:dyDescent="0.25">
      <c r="A955">
        <v>2021</v>
      </c>
      <c r="B955" t="s">
        <v>48</v>
      </c>
      <c r="C955">
        <v>20</v>
      </c>
      <c r="D955">
        <v>2021</v>
      </c>
      <c r="E955" t="s">
        <v>35</v>
      </c>
      <c r="F955">
        <v>7</v>
      </c>
      <c r="G955" t="s">
        <v>36</v>
      </c>
      <c r="H955" t="s">
        <v>37</v>
      </c>
      <c r="I955">
        <v>5</v>
      </c>
      <c r="J955">
        <v>3</v>
      </c>
      <c r="K955" t="s">
        <v>38</v>
      </c>
      <c r="L955" t="s">
        <v>36</v>
      </c>
      <c r="M955" t="s">
        <v>36</v>
      </c>
      <c r="N955">
        <v>2</v>
      </c>
      <c r="O955" t="s">
        <v>53</v>
      </c>
      <c r="P955">
        <v>100</v>
      </c>
      <c r="Q955" t="s">
        <v>37</v>
      </c>
      <c r="R955" t="s">
        <v>37</v>
      </c>
      <c r="S955" t="s">
        <v>36</v>
      </c>
      <c r="T955" t="s">
        <v>51</v>
      </c>
      <c r="U955">
        <v>1</v>
      </c>
      <c r="V955" t="s">
        <v>59</v>
      </c>
      <c r="W955" t="s">
        <v>56</v>
      </c>
      <c r="X955" t="s">
        <v>37</v>
      </c>
      <c r="Y955" t="s">
        <v>47</v>
      </c>
      <c r="Z955" t="s">
        <v>37</v>
      </c>
      <c r="AA955">
        <v>2.66</v>
      </c>
      <c r="AB955" t="s">
        <v>37</v>
      </c>
      <c r="AC955">
        <v>3.83</v>
      </c>
      <c r="AD955">
        <v>102</v>
      </c>
      <c r="AE955">
        <v>60000</v>
      </c>
      <c r="AF955" t="str">
        <f>IF(Table1[[#This Row],[What is your current CGPA?]]&gt;=3.5,"High",IF(Table1[[#This Row],[What is your current CGPA?]]&gt;=2.5,"Medium","Low"))</f>
        <v>High</v>
      </c>
      <c r="AG955" t="str">
        <f>IF(AND(Table1[[#This Row],[Average attendance on class]]&lt;75,Table1[[#This Row],[How many hour do you study daily?]]&lt;1),"At Risk","Normal")</f>
        <v>Normal</v>
      </c>
      <c r="AH955">
        <f>(Table1[[#This Row],[Average attendance on class]]*0.4)+(Table1[[#This Row],[How many hour do you study daily?]]*10*0.3)+(Table1[[#This Row],[How many hour do you spent daily on your skill development?]]*10*0.3)</f>
        <v>58</v>
      </c>
    </row>
    <row r="956" spans="1:34" x14ac:dyDescent="0.25">
      <c r="A956">
        <v>2021</v>
      </c>
      <c r="B956" t="s">
        <v>34</v>
      </c>
      <c r="C956">
        <v>20</v>
      </c>
      <c r="D956">
        <v>2020</v>
      </c>
      <c r="E956" t="s">
        <v>35</v>
      </c>
      <c r="F956">
        <v>9</v>
      </c>
      <c r="G956" t="s">
        <v>37</v>
      </c>
      <c r="H956" t="s">
        <v>37</v>
      </c>
      <c r="I956">
        <v>2</v>
      </c>
      <c r="J956">
        <v>2</v>
      </c>
      <c r="K956" t="s">
        <v>38</v>
      </c>
      <c r="L956" t="s">
        <v>36</v>
      </c>
      <c r="M956" t="s">
        <v>36</v>
      </c>
      <c r="N956">
        <v>2</v>
      </c>
      <c r="O956" t="s">
        <v>39</v>
      </c>
      <c r="P956">
        <v>35</v>
      </c>
      <c r="Q956" t="s">
        <v>36</v>
      </c>
      <c r="R956" t="s">
        <v>37</v>
      </c>
      <c r="S956" t="s">
        <v>36</v>
      </c>
      <c r="T956" t="s">
        <v>40</v>
      </c>
      <c r="U956">
        <v>1</v>
      </c>
      <c r="V956" t="s">
        <v>62</v>
      </c>
      <c r="W956" t="s">
        <v>42</v>
      </c>
      <c r="X956" t="s">
        <v>37</v>
      </c>
      <c r="Y956" t="s">
        <v>47</v>
      </c>
      <c r="Z956" t="s">
        <v>37</v>
      </c>
      <c r="AA956">
        <v>1.56</v>
      </c>
      <c r="AB956" t="s">
        <v>37</v>
      </c>
      <c r="AC956">
        <v>2.62</v>
      </c>
      <c r="AD956">
        <v>107</v>
      </c>
      <c r="AE956">
        <v>62000</v>
      </c>
      <c r="AF956" t="str">
        <f>IF(Table1[[#This Row],[What is your current CGPA?]]&gt;=3.5,"High",IF(Table1[[#This Row],[What is your current CGPA?]]&gt;=2.5,"Medium","Low"))</f>
        <v>Medium</v>
      </c>
      <c r="AG956" t="str">
        <f>IF(AND(Table1[[#This Row],[Average attendance on class]]&lt;75,Table1[[#This Row],[How many hour do you study daily?]]&lt;1),"At Risk","Normal")</f>
        <v>Normal</v>
      </c>
      <c r="AH956">
        <f>(Table1[[#This Row],[Average attendance on class]]*0.4)+(Table1[[#This Row],[How many hour do you study daily?]]*10*0.3)+(Table1[[#This Row],[How many hour do you spent daily on your skill development?]]*10*0.3)</f>
        <v>23</v>
      </c>
    </row>
    <row r="957" spans="1:34" x14ac:dyDescent="0.25">
      <c r="A957">
        <v>2022</v>
      </c>
      <c r="B957" t="s">
        <v>48</v>
      </c>
      <c r="C957">
        <v>20</v>
      </c>
      <c r="D957">
        <v>2021</v>
      </c>
      <c r="E957" t="s">
        <v>35</v>
      </c>
      <c r="F957">
        <v>5</v>
      </c>
      <c r="G957" t="s">
        <v>37</v>
      </c>
      <c r="H957" t="s">
        <v>37</v>
      </c>
      <c r="I957">
        <v>3</v>
      </c>
      <c r="J957">
        <v>2</v>
      </c>
      <c r="K957" t="s">
        <v>38</v>
      </c>
      <c r="L957" t="s">
        <v>36</v>
      </c>
      <c r="M957" t="s">
        <v>36</v>
      </c>
      <c r="N957">
        <v>3</v>
      </c>
      <c r="O957" t="s">
        <v>39</v>
      </c>
      <c r="P957">
        <v>100</v>
      </c>
      <c r="Q957" t="s">
        <v>37</v>
      </c>
      <c r="R957" t="s">
        <v>37</v>
      </c>
      <c r="S957" t="s">
        <v>36</v>
      </c>
      <c r="T957" t="s">
        <v>51</v>
      </c>
      <c r="U957">
        <v>4</v>
      </c>
      <c r="V957" t="s">
        <v>59</v>
      </c>
      <c r="W957" t="s">
        <v>56</v>
      </c>
      <c r="X957" t="s">
        <v>37</v>
      </c>
      <c r="Y957" t="s">
        <v>47</v>
      </c>
      <c r="Z957" t="s">
        <v>37</v>
      </c>
      <c r="AA957">
        <v>2.87</v>
      </c>
      <c r="AB957" t="s">
        <v>37</v>
      </c>
      <c r="AC957">
        <v>3.91</v>
      </c>
      <c r="AD957">
        <v>61</v>
      </c>
      <c r="AE957">
        <v>62000</v>
      </c>
      <c r="AF957" t="str">
        <f>IF(Table1[[#This Row],[What is your current CGPA?]]&gt;=3.5,"High",IF(Table1[[#This Row],[What is your current CGPA?]]&gt;=2.5,"Medium","Low"))</f>
        <v>High</v>
      </c>
      <c r="AG957" t="str">
        <f>IF(AND(Table1[[#This Row],[Average attendance on class]]&lt;75,Table1[[#This Row],[How many hour do you study daily?]]&lt;1),"At Risk","Normal")</f>
        <v>Normal</v>
      </c>
      <c r="AH957">
        <f>(Table1[[#This Row],[Average attendance on class]]*0.4)+(Table1[[#This Row],[How many hour do you study daily?]]*10*0.3)+(Table1[[#This Row],[How many hour do you spent daily on your skill development?]]*10*0.3)</f>
        <v>61</v>
      </c>
    </row>
    <row r="958" spans="1:34" x14ac:dyDescent="0.25">
      <c r="A958">
        <v>2019</v>
      </c>
      <c r="B958" t="s">
        <v>34</v>
      </c>
      <c r="C958">
        <v>24</v>
      </c>
      <c r="D958">
        <v>2019</v>
      </c>
      <c r="E958" t="s">
        <v>35</v>
      </c>
      <c r="F958">
        <v>10</v>
      </c>
      <c r="G958" t="s">
        <v>36</v>
      </c>
      <c r="H958" t="s">
        <v>37</v>
      </c>
      <c r="I958">
        <v>4</v>
      </c>
      <c r="J958">
        <v>1</v>
      </c>
      <c r="K958" t="s">
        <v>38</v>
      </c>
      <c r="L958" t="s">
        <v>36</v>
      </c>
      <c r="M958" t="s">
        <v>36</v>
      </c>
      <c r="N958">
        <v>7</v>
      </c>
      <c r="O958" t="s">
        <v>39</v>
      </c>
      <c r="P958">
        <v>87</v>
      </c>
      <c r="Q958" t="s">
        <v>36</v>
      </c>
      <c r="R958" t="s">
        <v>37</v>
      </c>
      <c r="S958" t="s">
        <v>37</v>
      </c>
      <c r="T958" t="s">
        <v>61</v>
      </c>
      <c r="U958">
        <v>3</v>
      </c>
      <c r="V958" t="s">
        <v>41</v>
      </c>
      <c r="W958" t="s">
        <v>42</v>
      </c>
      <c r="X958" t="s">
        <v>37</v>
      </c>
      <c r="Y958" t="s">
        <v>43</v>
      </c>
      <c r="Z958" t="s">
        <v>37</v>
      </c>
      <c r="AA958">
        <v>2.09</v>
      </c>
      <c r="AB958" t="s">
        <v>37</v>
      </c>
      <c r="AC958">
        <v>3.23</v>
      </c>
      <c r="AD958">
        <v>129</v>
      </c>
      <c r="AE958">
        <v>64000</v>
      </c>
      <c r="AF958" t="str">
        <f>IF(Table1[[#This Row],[What is your current CGPA?]]&gt;=3.5,"High",IF(Table1[[#This Row],[What is your current CGPA?]]&gt;=2.5,"Medium","Low"))</f>
        <v>Medium</v>
      </c>
      <c r="AG958" t="str">
        <f>IF(AND(Table1[[#This Row],[Average attendance on class]]&lt;75,Table1[[#This Row],[How many hour do you study daily?]]&lt;1),"At Risk","Normal")</f>
        <v>Normal</v>
      </c>
      <c r="AH958">
        <f>(Table1[[#This Row],[Average attendance on class]]*0.4)+(Table1[[#This Row],[How many hour do you study daily?]]*10*0.3)+(Table1[[#This Row],[How many hour do you spent daily on your skill development?]]*10*0.3)</f>
        <v>55.800000000000004</v>
      </c>
    </row>
    <row r="959" spans="1:34" x14ac:dyDescent="0.25">
      <c r="A959">
        <v>2021</v>
      </c>
      <c r="B959" t="s">
        <v>48</v>
      </c>
      <c r="C959">
        <v>20</v>
      </c>
      <c r="D959">
        <v>2020</v>
      </c>
      <c r="E959" t="s">
        <v>35</v>
      </c>
      <c r="F959">
        <v>9</v>
      </c>
      <c r="G959" t="s">
        <v>37</v>
      </c>
      <c r="H959" t="s">
        <v>37</v>
      </c>
      <c r="I959">
        <v>5</v>
      </c>
      <c r="J959">
        <v>2</v>
      </c>
      <c r="K959" t="s">
        <v>44</v>
      </c>
      <c r="L959" t="s">
        <v>36</v>
      </c>
      <c r="M959" t="s">
        <v>36</v>
      </c>
      <c r="N959">
        <v>2</v>
      </c>
      <c r="O959" t="s">
        <v>53</v>
      </c>
      <c r="P959">
        <v>86</v>
      </c>
      <c r="Q959" t="s">
        <v>37</v>
      </c>
      <c r="R959" t="s">
        <v>37</v>
      </c>
      <c r="S959" t="s">
        <v>36</v>
      </c>
      <c r="T959" t="s">
        <v>49</v>
      </c>
      <c r="U959">
        <v>2</v>
      </c>
      <c r="V959" t="s">
        <v>41</v>
      </c>
      <c r="W959" t="s">
        <v>42</v>
      </c>
      <c r="X959" t="s">
        <v>36</v>
      </c>
      <c r="Y959" t="s">
        <v>43</v>
      </c>
      <c r="Z959" t="s">
        <v>37</v>
      </c>
      <c r="AA959">
        <v>1.56</v>
      </c>
      <c r="AB959" t="s">
        <v>37</v>
      </c>
      <c r="AC959">
        <v>2.66</v>
      </c>
      <c r="AD959">
        <v>120</v>
      </c>
      <c r="AE959">
        <v>64000</v>
      </c>
      <c r="AF959" t="str">
        <f>IF(Table1[[#This Row],[What is your current CGPA?]]&gt;=3.5,"High",IF(Table1[[#This Row],[What is your current CGPA?]]&gt;=2.5,"Medium","Low"))</f>
        <v>Medium</v>
      </c>
      <c r="AG959" t="str">
        <f>IF(AND(Table1[[#This Row],[Average attendance on class]]&lt;75,Table1[[#This Row],[How many hour do you study daily?]]&lt;1),"At Risk","Normal")</f>
        <v>Normal</v>
      </c>
      <c r="AH959">
        <f>(Table1[[#This Row],[Average attendance on class]]*0.4)+(Table1[[#This Row],[How many hour do you study daily?]]*10*0.3)+(Table1[[#This Row],[How many hour do you spent daily on your skill development?]]*10*0.3)</f>
        <v>55.4</v>
      </c>
    </row>
    <row r="960" spans="1:34" x14ac:dyDescent="0.25">
      <c r="A960">
        <v>2020</v>
      </c>
      <c r="B960" t="s">
        <v>48</v>
      </c>
      <c r="C960">
        <v>21</v>
      </c>
      <c r="D960">
        <v>2020</v>
      </c>
      <c r="E960" t="s">
        <v>35</v>
      </c>
      <c r="F960">
        <v>10</v>
      </c>
      <c r="G960" t="s">
        <v>36</v>
      </c>
      <c r="H960" t="s">
        <v>37</v>
      </c>
      <c r="I960">
        <v>7</v>
      </c>
      <c r="J960">
        <v>3</v>
      </c>
      <c r="K960" t="s">
        <v>38</v>
      </c>
      <c r="L960" t="s">
        <v>36</v>
      </c>
      <c r="M960" t="s">
        <v>36</v>
      </c>
      <c r="N960">
        <v>3</v>
      </c>
      <c r="O960" t="s">
        <v>39</v>
      </c>
      <c r="P960">
        <v>100</v>
      </c>
      <c r="Q960" t="s">
        <v>37</v>
      </c>
      <c r="R960" t="s">
        <v>37</v>
      </c>
      <c r="S960" t="s">
        <v>37</v>
      </c>
      <c r="T960" t="s">
        <v>51</v>
      </c>
      <c r="U960">
        <v>2</v>
      </c>
      <c r="V960" t="s">
        <v>59</v>
      </c>
      <c r="W960" t="s">
        <v>56</v>
      </c>
      <c r="X960" t="s">
        <v>37</v>
      </c>
      <c r="Y960" t="s">
        <v>47</v>
      </c>
      <c r="Z960" t="s">
        <v>36</v>
      </c>
      <c r="AA960">
        <v>2.78</v>
      </c>
      <c r="AB960" t="s">
        <v>37</v>
      </c>
      <c r="AC960">
        <v>3.89</v>
      </c>
      <c r="AD960">
        <v>138</v>
      </c>
      <c r="AE960">
        <v>65000</v>
      </c>
      <c r="AF960" t="str">
        <f>IF(Table1[[#This Row],[What is your current CGPA?]]&gt;=3.5,"High",IF(Table1[[#This Row],[What is your current CGPA?]]&gt;=2.5,"Medium","Low"))</f>
        <v>High</v>
      </c>
      <c r="AG960" t="str">
        <f>IF(AND(Table1[[#This Row],[Average attendance on class]]&lt;75,Table1[[#This Row],[How many hour do you study daily?]]&lt;1),"At Risk","Normal")</f>
        <v>Normal</v>
      </c>
      <c r="AH960">
        <f>(Table1[[#This Row],[Average attendance on class]]*0.4)+(Table1[[#This Row],[How many hour do you study daily?]]*10*0.3)+(Table1[[#This Row],[How many hour do you spent daily on your skill development?]]*10*0.3)</f>
        <v>67</v>
      </c>
    </row>
    <row r="961" spans="1:34" x14ac:dyDescent="0.25">
      <c r="A961">
        <v>2021</v>
      </c>
      <c r="B961" t="s">
        <v>34</v>
      </c>
      <c r="C961">
        <v>20</v>
      </c>
      <c r="D961">
        <v>2020</v>
      </c>
      <c r="E961" t="s">
        <v>35</v>
      </c>
      <c r="F961">
        <v>9</v>
      </c>
      <c r="G961" t="s">
        <v>37</v>
      </c>
      <c r="H961" t="s">
        <v>37</v>
      </c>
      <c r="I961">
        <v>1</v>
      </c>
      <c r="J961">
        <v>1</v>
      </c>
      <c r="K961" t="s">
        <v>38</v>
      </c>
      <c r="L961" t="s">
        <v>36</v>
      </c>
      <c r="M961" t="s">
        <v>36</v>
      </c>
      <c r="N961">
        <v>2</v>
      </c>
      <c r="O961" t="s">
        <v>39</v>
      </c>
      <c r="P961">
        <v>67</v>
      </c>
      <c r="Q961" t="s">
        <v>37</v>
      </c>
      <c r="R961" t="s">
        <v>37</v>
      </c>
      <c r="S961" t="s">
        <v>36</v>
      </c>
      <c r="T961" t="s">
        <v>61</v>
      </c>
      <c r="U961">
        <v>2</v>
      </c>
      <c r="V961" t="s">
        <v>41</v>
      </c>
      <c r="W961" t="s">
        <v>56</v>
      </c>
      <c r="X961" t="s">
        <v>36</v>
      </c>
      <c r="Y961" t="s">
        <v>47</v>
      </c>
      <c r="Z961" t="s">
        <v>37</v>
      </c>
      <c r="AA961">
        <v>2.4500000000000002</v>
      </c>
      <c r="AB961" t="s">
        <v>37</v>
      </c>
      <c r="AC961">
        <v>3.51</v>
      </c>
      <c r="AD961">
        <v>103</v>
      </c>
      <c r="AE961">
        <v>65000</v>
      </c>
      <c r="AF961" t="str">
        <f>IF(Table1[[#This Row],[What is your current CGPA?]]&gt;=3.5,"High",IF(Table1[[#This Row],[What is your current CGPA?]]&gt;=2.5,"Medium","Low"))</f>
        <v>High</v>
      </c>
      <c r="AG961" t="str">
        <f>IF(AND(Table1[[#This Row],[Average attendance on class]]&lt;75,Table1[[#This Row],[How many hour do you study daily?]]&lt;1),"At Risk","Normal")</f>
        <v>Normal</v>
      </c>
      <c r="AH961">
        <f>(Table1[[#This Row],[Average attendance on class]]*0.4)+(Table1[[#This Row],[How many hour do you study daily?]]*10*0.3)+(Table1[[#This Row],[How many hour do you spent daily on your skill development?]]*10*0.3)</f>
        <v>35.799999999999997</v>
      </c>
    </row>
    <row r="962" spans="1:34" x14ac:dyDescent="0.25">
      <c r="A962">
        <v>2022</v>
      </c>
      <c r="B962" t="s">
        <v>48</v>
      </c>
      <c r="C962">
        <v>19</v>
      </c>
      <c r="D962">
        <v>2022</v>
      </c>
      <c r="E962" t="s">
        <v>35</v>
      </c>
      <c r="F962">
        <v>3</v>
      </c>
      <c r="G962" t="s">
        <v>37</v>
      </c>
      <c r="H962" t="s">
        <v>37</v>
      </c>
      <c r="I962">
        <v>3</v>
      </c>
      <c r="J962">
        <v>1</v>
      </c>
      <c r="K962" t="s">
        <v>38</v>
      </c>
      <c r="L962" t="s">
        <v>36</v>
      </c>
      <c r="M962" t="s">
        <v>36</v>
      </c>
      <c r="N962">
        <v>3</v>
      </c>
      <c r="O962" t="s">
        <v>53</v>
      </c>
      <c r="P962">
        <v>95</v>
      </c>
      <c r="Q962" t="s">
        <v>37</v>
      </c>
      <c r="R962" t="s">
        <v>37</v>
      </c>
      <c r="S962" t="s">
        <v>37</v>
      </c>
      <c r="T962" t="s">
        <v>52</v>
      </c>
      <c r="U962">
        <v>1</v>
      </c>
      <c r="V962" t="s">
        <v>59</v>
      </c>
      <c r="W962" t="s">
        <v>42</v>
      </c>
      <c r="X962" t="s">
        <v>37</v>
      </c>
      <c r="Y962" t="s">
        <v>43</v>
      </c>
      <c r="Z962" t="s">
        <v>37</v>
      </c>
      <c r="AA962">
        <v>2.78</v>
      </c>
      <c r="AB962" t="s">
        <v>37</v>
      </c>
      <c r="AC962">
        <v>3.89</v>
      </c>
      <c r="AD962">
        <v>35</v>
      </c>
      <c r="AE962">
        <v>65000</v>
      </c>
      <c r="AF962" t="str">
        <f>IF(Table1[[#This Row],[What is your current CGPA?]]&gt;=3.5,"High",IF(Table1[[#This Row],[What is your current CGPA?]]&gt;=2.5,"Medium","Low"))</f>
        <v>High</v>
      </c>
      <c r="AG962" t="str">
        <f>IF(AND(Table1[[#This Row],[Average attendance on class]]&lt;75,Table1[[#This Row],[How many hour do you study daily?]]&lt;1),"At Risk","Normal")</f>
        <v>Normal</v>
      </c>
      <c r="AH962">
        <f>(Table1[[#This Row],[Average attendance on class]]*0.4)+(Table1[[#This Row],[How many hour do you study daily?]]*10*0.3)+(Table1[[#This Row],[How many hour do you spent daily on your skill development?]]*10*0.3)</f>
        <v>50</v>
      </c>
    </row>
    <row r="963" spans="1:34" x14ac:dyDescent="0.25">
      <c r="A963">
        <v>2019</v>
      </c>
      <c r="B963" t="s">
        <v>34</v>
      </c>
      <c r="C963">
        <v>24</v>
      </c>
      <c r="D963">
        <v>2018</v>
      </c>
      <c r="E963" t="s">
        <v>35</v>
      </c>
      <c r="F963">
        <v>11</v>
      </c>
      <c r="G963" t="s">
        <v>37</v>
      </c>
      <c r="H963" t="s">
        <v>37</v>
      </c>
      <c r="I963">
        <v>5</v>
      </c>
      <c r="J963">
        <v>2</v>
      </c>
      <c r="K963" t="s">
        <v>38</v>
      </c>
      <c r="L963" t="s">
        <v>36</v>
      </c>
      <c r="M963" t="s">
        <v>36</v>
      </c>
      <c r="N963">
        <v>3</v>
      </c>
      <c r="O963" t="s">
        <v>39</v>
      </c>
      <c r="P963">
        <v>100</v>
      </c>
      <c r="Q963" t="s">
        <v>37</v>
      </c>
      <c r="R963" t="s">
        <v>37</v>
      </c>
      <c r="S963" t="s">
        <v>36</v>
      </c>
      <c r="T963" t="s">
        <v>40</v>
      </c>
      <c r="U963">
        <v>2</v>
      </c>
      <c r="V963" t="s">
        <v>40</v>
      </c>
      <c r="W963" t="s">
        <v>50</v>
      </c>
      <c r="X963" t="s">
        <v>37</v>
      </c>
      <c r="Y963" t="s">
        <v>43</v>
      </c>
      <c r="Z963" t="s">
        <v>36</v>
      </c>
      <c r="AA963">
        <v>1.67</v>
      </c>
      <c r="AB963" t="s">
        <v>37</v>
      </c>
      <c r="AC963">
        <v>2.73</v>
      </c>
      <c r="AD963">
        <v>143</v>
      </c>
      <c r="AE963">
        <v>66000</v>
      </c>
      <c r="AF963" t="str">
        <f>IF(Table1[[#This Row],[What is your current CGPA?]]&gt;=3.5,"High",IF(Table1[[#This Row],[What is your current CGPA?]]&gt;=2.5,"Medium","Low"))</f>
        <v>Medium</v>
      </c>
      <c r="AG963" t="str">
        <f>IF(AND(Table1[[#This Row],[Average attendance on class]]&lt;75,Table1[[#This Row],[How many hour do you study daily?]]&lt;1),"At Risk","Normal")</f>
        <v>Normal</v>
      </c>
      <c r="AH963">
        <f>(Table1[[#This Row],[Average attendance on class]]*0.4)+(Table1[[#This Row],[How many hour do you study daily?]]*10*0.3)+(Table1[[#This Row],[How many hour do you spent daily on your skill development?]]*10*0.3)</f>
        <v>61</v>
      </c>
    </row>
    <row r="964" spans="1:34" x14ac:dyDescent="0.25">
      <c r="A964">
        <v>2020</v>
      </c>
      <c r="B964" t="s">
        <v>34</v>
      </c>
      <c r="C964">
        <v>22</v>
      </c>
      <c r="D964">
        <v>2019</v>
      </c>
      <c r="E964" t="s">
        <v>35</v>
      </c>
      <c r="F964">
        <v>10</v>
      </c>
      <c r="G964" t="s">
        <v>37</v>
      </c>
      <c r="H964" t="s">
        <v>37</v>
      </c>
      <c r="I964">
        <v>2</v>
      </c>
      <c r="J964">
        <v>2</v>
      </c>
      <c r="K964" t="s">
        <v>38</v>
      </c>
      <c r="L964" t="s">
        <v>36</v>
      </c>
      <c r="M964" t="s">
        <v>37</v>
      </c>
      <c r="N964">
        <v>9</v>
      </c>
      <c r="O964" t="s">
        <v>53</v>
      </c>
      <c r="P964">
        <v>100</v>
      </c>
      <c r="Q964" t="s">
        <v>37</v>
      </c>
      <c r="R964" t="s">
        <v>37</v>
      </c>
      <c r="S964" t="s">
        <v>37</v>
      </c>
      <c r="T964" t="s">
        <v>40</v>
      </c>
      <c r="U964">
        <v>4</v>
      </c>
      <c r="V964" t="s">
        <v>40</v>
      </c>
      <c r="W964" t="s">
        <v>50</v>
      </c>
      <c r="X964" t="s">
        <v>36</v>
      </c>
      <c r="Y964" t="s">
        <v>43</v>
      </c>
      <c r="Z964" t="s">
        <v>37</v>
      </c>
      <c r="AA964">
        <v>1.55</v>
      </c>
      <c r="AB964" t="s">
        <v>37</v>
      </c>
      <c r="AC964">
        <v>2.68</v>
      </c>
      <c r="AD964">
        <v>134</v>
      </c>
      <c r="AE964">
        <v>66000</v>
      </c>
      <c r="AF964" t="str">
        <f>IF(Table1[[#This Row],[What is your current CGPA?]]&gt;=3.5,"High",IF(Table1[[#This Row],[What is your current CGPA?]]&gt;=2.5,"Medium","Low"))</f>
        <v>Medium</v>
      </c>
      <c r="AG964" t="str">
        <f>IF(AND(Table1[[#This Row],[Average attendance on class]]&lt;75,Table1[[#This Row],[How many hour do you study daily?]]&lt;1),"At Risk","Normal")</f>
        <v>Normal</v>
      </c>
      <c r="AH964">
        <f>(Table1[[#This Row],[Average attendance on class]]*0.4)+(Table1[[#This Row],[How many hour do you study daily?]]*10*0.3)+(Table1[[#This Row],[How many hour do you spent daily on your skill development?]]*10*0.3)</f>
        <v>58</v>
      </c>
    </row>
    <row r="965" spans="1:34" x14ac:dyDescent="0.25">
      <c r="A965">
        <v>2023</v>
      </c>
      <c r="B965" t="s">
        <v>48</v>
      </c>
      <c r="C965">
        <v>19</v>
      </c>
      <c r="D965">
        <v>2021</v>
      </c>
      <c r="E965" t="s">
        <v>35</v>
      </c>
      <c r="F965">
        <v>2</v>
      </c>
      <c r="G965" t="s">
        <v>37</v>
      </c>
      <c r="H965" t="s">
        <v>37</v>
      </c>
      <c r="I965">
        <v>2</v>
      </c>
      <c r="J965">
        <v>2</v>
      </c>
      <c r="K965" t="s">
        <v>44</v>
      </c>
      <c r="L965" t="s">
        <v>36</v>
      </c>
      <c r="M965" t="s">
        <v>36</v>
      </c>
      <c r="N965">
        <v>10</v>
      </c>
      <c r="O965" t="s">
        <v>53</v>
      </c>
      <c r="P965">
        <v>77</v>
      </c>
      <c r="Q965" t="s">
        <v>37</v>
      </c>
      <c r="R965" t="s">
        <v>37</v>
      </c>
      <c r="S965" t="s">
        <v>37</v>
      </c>
      <c r="T965" t="s">
        <v>52</v>
      </c>
      <c r="U965">
        <v>2</v>
      </c>
      <c r="V965" t="s">
        <v>40</v>
      </c>
      <c r="W965" t="s">
        <v>50</v>
      </c>
      <c r="X965" t="s">
        <v>37</v>
      </c>
      <c r="Y965" t="s">
        <v>47</v>
      </c>
      <c r="Z965" t="s">
        <v>37</v>
      </c>
      <c r="AA965">
        <v>1.87</v>
      </c>
      <c r="AB965" t="s">
        <v>37</v>
      </c>
      <c r="AC965">
        <v>2.88</v>
      </c>
      <c r="AD965">
        <v>35</v>
      </c>
      <c r="AE965">
        <v>66000</v>
      </c>
      <c r="AF965" t="str">
        <f>IF(Table1[[#This Row],[What is your current CGPA?]]&gt;=3.5,"High",IF(Table1[[#This Row],[What is your current CGPA?]]&gt;=2.5,"Medium","Low"))</f>
        <v>Medium</v>
      </c>
      <c r="AG965" t="str">
        <f>IF(AND(Table1[[#This Row],[Average attendance on class]]&lt;75,Table1[[#This Row],[How many hour do you study daily?]]&lt;1),"At Risk","Normal")</f>
        <v>Normal</v>
      </c>
      <c r="AH965">
        <f>(Table1[[#This Row],[Average attendance on class]]*0.4)+(Table1[[#This Row],[How many hour do you study daily?]]*10*0.3)+(Table1[[#This Row],[How many hour do you spent daily on your skill development?]]*10*0.3)</f>
        <v>42.8</v>
      </c>
    </row>
    <row r="966" spans="1:34" x14ac:dyDescent="0.25">
      <c r="A966">
        <v>2022</v>
      </c>
      <c r="B966" t="s">
        <v>34</v>
      </c>
      <c r="C966">
        <v>21</v>
      </c>
      <c r="D966">
        <v>2021</v>
      </c>
      <c r="E966" t="s">
        <v>35</v>
      </c>
      <c r="F966">
        <v>5</v>
      </c>
      <c r="G966" t="s">
        <v>37</v>
      </c>
      <c r="H966" t="s">
        <v>37</v>
      </c>
      <c r="I966">
        <v>4</v>
      </c>
      <c r="J966">
        <v>2</v>
      </c>
      <c r="K966" t="s">
        <v>38</v>
      </c>
      <c r="L966" t="s">
        <v>36</v>
      </c>
      <c r="M966" t="s">
        <v>36</v>
      </c>
      <c r="N966">
        <v>2</v>
      </c>
      <c r="O966" t="s">
        <v>53</v>
      </c>
      <c r="P966">
        <v>85</v>
      </c>
      <c r="Q966" t="s">
        <v>37</v>
      </c>
      <c r="R966" t="s">
        <v>37</v>
      </c>
      <c r="S966" t="s">
        <v>37</v>
      </c>
      <c r="T966" t="s">
        <v>40</v>
      </c>
      <c r="U966">
        <v>4</v>
      </c>
      <c r="V966" t="s">
        <v>40</v>
      </c>
      <c r="W966" t="s">
        <v>50</v>
      </c>
      <c r="X966" t="s">
        <v>36</v>
      </c>
      <c r="Y966" t="s">
        <v>43</v>
      </c>
      <c r="Z966" t="s">
        <v>37</v>
      </c>
      <c r="AA966">
        <v>1.56</v>
      </c>
      <c r="AB966" t="s">
        <v>37</v>
      </c>
      <c r="AC966">
        <v>2.63</v>
      </c>
      <c r="AD966">
        <v>65</v>
      </c>
      <c r="AE966">
        <v>66000</v>
      </c>
      <c r="AF966" t="str">
        <f>IF(Table1[[#This Row],[What is your current CGPA?]]&gt;=3.5,"High",IF(Table1[[#This Row],[What is your current CGPA?]]&gt;=2.5,"Medium","Low"))</f>
        <v>Medium</v>
      </c>
      <c r="AG966" t="str">
        <f>IF(AND(Table1[[#This Row],[Average attendance on class]]&lt;75,Table1[[#This Row],[How many hour do you study daily?]]&lt;1),"At Risk","Normal")</f>
        <v>Normal</v>
      </c>
      <c r="AH966">
        <f>(Table1[[#This Row],[Average attendance on class]]*0.4)+(Table1[[#This Row],[How many hour do you study daily?]]*10*0.3)+(Table1[[#This Row],[How many hour do you spent daily on your skill development?]]*10*0.3)</f>
        <v>58</v>
      </c>
    </row>
    <row r="967" spans="1:34" x14ac:dyDescent="0.25">
      <c r="A967">
        <v>2021</v>
      </c>
      <c r="B967" t="s">
        <v>48</v>
      </c>
      <c r="C967">
        <v>23</v>
      </c>
      <c r="D967">
        <v>2019</v>
      </c>
      <c r="E967" t="s">
        <v>35</v>
      </c>
      <c r="F967">
        <v>7</v>
      </c>
      <c r="G967" t="s">
        <v>37</v>
      </c>
      <c r="H967" t="s">
        <v>37</v>
      </c>
      <c r="I967">
        <v>2</v>
      </c>
      <c r="J967">
        <v>2</v>
      </c>
      <c r="K967" t="s">
        <v>44</v>
      </c>
      <c r="L967" t="s">
        <v>36</v>
      </c>
      <c r="M967" t="s">
        <v>36</v>
      </c>
      <c r="N967">
        <v>6</v>
      </c>
      <c r="O967" t="s">
        <v>39</v>
      </c>
      <c r="P967">
        <v>100</v>
      </c>
      <c r="Q967" t="s">
        <v>37</v>
      </c>
      <c r="R967" t="s">
        <v>37</v>
      </c>
      <c r="S967" t="s">
        <v>36</v>
      </c>
      <c r="T967" t="s">
        <v>40</v>
      </c>
      <c r="U967">
        <v>1</v>
      </c>
      <c r="V967" t="s">
        <v>59</v>
      </c>
      <c r="W967" t="s">
        <v>50</v>
      </c>
      <c r="X967" t="s">
        <v>37</v>
      </c>
      <c r="Y967" t="s">
        <v>47</v>
      </c>
      <c r="Z967" t="s">
        <v>37</v>
      </c>
      <c r="AA967">
        <v>2.7</v>
      </c>
      <c r="AB967" t="s">
        <v>37</v>
      </c>
      <c r="AC967">
        <v>3.5</v>
      </c>
      <c r="AD967">
        <v>66</v>
      </c>
      <c r="AE967">
        <v>67000</v>
      </c>
      <c r="AF967" t="str">
        <f>IF(Table1[[#This Row],[What is your current CGPA?]]&gt;=3.5,"High",IF(Table1[[#This Row],[What is your current CGPA?]]&gt;=2.5,"Medium","Low"))</f>
        <v>High</v>
      </c>
      <c r="AG967" t="str">
        <f>IF(AND(Table1[[#This Row],[Average attendance on class]]&lt;75,Table1[[#This Row],[How many hour do you study daily?]]&lt;1),"At Risk","Normal")</f>
        <v>Normal</v>
      </c>
      <c r="AH967">
        <f>(Table1[[#This Row],[Average attendance on class]]*0.4)+(Table1[[#This Row],[How many hour do you study daily?]]*10*0.3)+(Table1[[#This Row],[How many hour do you spent daily on your skill development?]]*10*0.3)</f>
        <v>49</v>
      </c>
    </row>
    <row r="968" spans="1:34" x14ac:dyDescent="0.25">
      <c r="A968">
        <v>2021</v>
      </c>
      <c r="B968" t="s">
        <v>48</v>
      </c>
      <c r="C968">
        <v>20</v>
      </c>
      <c r="D968">
        <v>2020</v>
      </c>
      <c r="E968" t="s">
        <v>35</v>
      </c>
      <c r="F968">
        <v>9</v>
      </c>
      <c r="G968" t="s">
        <v>37</v>
      </c>
      <c r="H968" t="s">
        <v>37</v>
      </c>
      <c r="I968">
        <v>2</v>
      </c>
      <c r="J968">
        <v>2</v>
      </c>
      <c r="K968" t="s">
        <v>38</v>
      </c>
      <c r="L968" t="s">
        <v>36</v>
      </c>
      <c r="M968" t="s">
        <v>37</v>
      </c>
      <c r="N968">
        <v>2</v>
      </c>
      <c r="O968" t="s">
        <v>39</v>
      </c>
      <c r="P968">
        <v>89</v>
      </c>
      <c r="Q968" t="s">
        <v>36</v>
      </c>
      <c r="R968" t="s">
        <v>37</v>
      </c>
      <c r="S968" t="s">
        <v>36</v>
      </c>
      <c r="T968" t="s">
        <v>51</v>
      </c>
      <c r="U968">
        <v>4</v>
      </c>
      <c r="V968" t="s">
        <v>59</v>
      </c>
      <c r="W968" t="s">
        <v>42</v>
      </c>
      <c r="X968" t="s">
        <v>37</v>
      </c>
      <c r="Y968" t="s">
        <v>47</v>
      </c>
      <c r="Z968" t="s">
        <v>37</v>
      </c>
      <c r="AA968">
        <v>2.76</v>
      </c>
      <c r="AB968" t="s">
        <v>37</v>
      </c>
      <c r="AC968">
        <v>3.8</v>
      </c>
      <c r="AD968">
        <v>113</v>
      </c>
      <c r="AE968">
        <v>67000</v>
      </c>
      <c r="AF968" t="str">
        <f>IF(Table1[[#This Row],[What is your current CGPA?]]&gt;=3.5,"High",IF(Table1[[#This Row],[What is your current CGPA?]]&gt;=2.5,"Medium","Low"))</f>
        <v>High</v>
      </c>
      <c r="AG968" t="str">
        <f>IF(AND(Table1[[#This Row],[Average attendance on class]]&lt;75,Table1[[#This Row],[How many hour do you study daily?]]&lt;1),"At Risk","Normal")</f>
        <v>Normal</v>
      </c>
      <c r="AH968">
        <f>(Table1[[#This Row],[Average attendance on class]]*0.4)+(Table1[[#This Row],[How many hour do you study daily?]]*10*0.3)+(Table1[[#This Row],[How many hour do you spent daily on your skill development?]]*10*0.3)</f>
        <v>53.6</v>
      </c>
    </row>
    <row r="969" spans="1:34" x14ac:dyDescent="0.25">
      <c r="A969">
        <v>2021</v>
      </c>
      <c r="B969" t="s">
        <v>34</v>
      </c>
      <c r="C969">
        <v>22</v>
      </c>
      <c r="D969">
        <v>2021</v>
      </c>
      <c r="E969" t="s">
        <v>35</v>
      </c>
      <c r="F969">
        <v>8</v>
      </c>
      <c r="G969" t="s">
        <v>37</v>
      </c>
      <c r="H969" t="s">
        <v>37</v>
      </c>
      <c r="I969">
        <v>2</v>
      </c>
      <c r="J969">
        <v>2</v>
      </c>
      <c r="K969" t="s">
        <v>38</v>
      </c>
      <c r="L969" t="s">
        <v>36</v>
      </c>
      <c r="M969" t="s">
        <v>36</v>
      </c>
      <c r="N969">
        <v>3</v>
      </c>
      <c r="O969" t="s">
        <v>39</v>
      </c>
      <c r="P969">
        <v>68</v>
      </c>
      <c r="Q969" t="s">
        <v>36</v>
      </c>
      <c r="R969" t="s">
        <v>37</v>
      </c>
      <c r="S969" t="s">
        <v>37</v>
      </c>
      <c r="T969" t="s">
        <v>61</v>
      </c>
      <c r="U969">
        <v>4</v>
      </c>
      <c r="V969" t="s">
        <v>41</v>
      </c>
      <c r="W969" t="s">
        <v>42</v>
      </c>
      <c r="X969" t="s">
        <v>36</v>
      </c>
      <c r="Y969" t="s">
        <v>43</v>
      </c>
      <c r="Z969" t="s">
        <v>37</v>
      </c>
      <c r="AA969">
        <v>1.45</v>
      </c>
      <c r="AB969" t="s">
        <v>37</v>
      </c>
      <c r="AC969">
        <v>2.56</v>
      </c>
      <c r="AD969">
        <v>88</v>
      </c>
      <c r="AE969">
        <v>67000</v>
      </c>
      <c r="AF969" t="str">
        <f>IF(Table1[[#This Row],[What is your current CGPA?]]&gt;=3.5,"High",IF(Table1[[#This Row],[What is your current CGPA?]]&gt;=2.5,"Medium","Low"))</f>
        <v>Medium</v>
      </c>
      <c r="AG969" t="str">
        <f>IF(AND(Table1[[#This Row],[Average attendance on class]]&lt;75,Table1[[#This Row],[How many hour do you study daily?]]&lt;1),"At Risk","Normal")</f>
        <v>Normal</v>
      </c>
      <c r="AH969">
        <f>(Table1[[#This Row],[Average attendance on class]]*0.4)+(Table1[[#This Row],[How many hour do you study daily?]]*10*0.3)+(Table1[[#This Row],[How many hour do you spent daily on your skill development?]]*10*0.3)</f>
        <v>45.2</v>
      </c>
    </row>
    <row r="970" spans="1:34" x14ac:dyDescent="0.25">
      <c r="A970">
        <v>2020</v>
      </c>
      <c r="B970" t="s">
        <v>34</v>
      </c>
      <c r="C970">
        <v>20</v>
      </c>
      <c r="D970">
        <v>2020</v>
      </c>
      <c r="E970" t="s">
        <v>35</v>
      </c>
      <c r="F970">
        <v>8</v>
      </c>
      <c r="G970" t="s">
        <v>37</v>
      </c>
      <c r="H970" t="s">
        <v>37</v>
      </c>
      <c r="I970">
        <v>5</v>
      </c>
      <c r="J970">
        <v>3</v>
      </c>
      <c r="K970" t="s">
        <v>44</v>
      </c>
      <c r="L970" t="s">
        <v>36</v>
      </c>
      <c r="M970" t="s">
        <v>36</v>
      </c>
      <c r="N970">
        <v>6</v>
      </c>
      <c r="O970" t="s">
        <v>53</v>
      </c>
      <c r="P970">
        <v>90</v>
      </c>
      <c r="Q970" t="s">
        <v>37</v>
      </c>
      <c r="R970" t="s">
        <v>37</v>
      </c>
      <c r="S970" t="s">
        <v>37</v>
      </c>
      <c r="T970" t="s">
        <v>40</v>
      </c>
      <c r="U970">
        <v>2</v>
      </c>
      <c r="V970" t="s">
        <v>62</v>
      </c>
      <c r="W970" t="s">
        <v>56</v>
      </c>
      <c r="X970" t="s">
        <v>36</v>
      </c>
      <c r="Y970" t="s">
        <v>47</v>
      </c>
      <c r="Z970" t="s">
        <v>37</v>
      </c>
      <c r="AA970">
        <v>1.55</v>
      </c>
      <c r="AB970" t="s">
        <v>37</v>
      </c>
      <c r="AC970">
        <v>2.76</v>
      </c>
      <c r="AD970">
        <v>77</v>
      </c>
      <c r="AE970">
        <v>68000</v>
      </c>
      <c r="AF970" t="str">
        <f>IF(Table1[[#This Row],[What is your current CGPA?]]&gt;=3.5,"High",IF(Table1[[#This Row],[What is your current CGPA?]]&gt;=2.5,"Medium","Low"))</f>
        <v>Medium</v>
      </c>
      <c r="AG970" t="str">
        <f>IF(AND(Table1[[#This Row],[Average attendance on class]]&lt;75,Table1[[#This Row],[How many hour do you study daily?]]&lt;1),"At Risk","Normal")</f>
        <v>Normal</v>
      </c>
      <c r="AH970">
        <f>(Table1[[#This Row],[Average attendance on class]]*0.4)+(Table1[[#This Row],[How many hour do you study daily?]]*10*0.3)+(Table1[[#This Row],[How many hour do you spent daily on your skill development?]]*10*0.3)</f>
        <v>57</v>
      </c>
    </row>
    <row r="971" spans="1:34" x14ac:dyDescent="0.25">
      <c r="A971">
        <v>2021</v>
      </c>
      <c r="B971" t="s">
        <v>34</v>
      </c>
      <c r="C971">
        <v>20</v>
      </c>
      <c r="D971">
        <v>2020</v>
      </c>
      <c r="E971" t="s">
        <v>35</v>
      </c>
      <c r="F971">
        <v>9</v>
      </c>
      <c r="G971" t="s">
        <v>37</v>
      </c>
      <c r="H971" t="s">
        <v>37</v>
      </c>
      <c r="I971">
        <v>2</v>
      </c>
      <c r="J971">
        <v>3</v>
      </c>
      <c r="K971" t="s">
        <v>38</v>
      </c>
      <c r="L971" t="s">
        <v>36</v>
      </c>
      <c r="M971" t="s">
        <v>36</v>
      </c>
      <c r="N971">
        <v>2</v>
      </c>
      <c r="O971" t="s">
        <v>39</v>
      </c>
      <c r="P971">
        <v>87</v>
      </c>
      <c r="Q971" t="s">
        <v>37</v>
      </c>
      <c r="R971" t="s">
        <v>37</v>
      </c>
      <c r="S971" t="s">
        <v>37</v>
      </c>
      <c r="T971" t="s">
        <v>51</v>
      </c>
      <c r="U971">
        <v>4</v>
      </c>
      <c r="V971" t="s">
        <v>59</v>
      </c>
      <c r="W971" t="s">
        <v>42</v>
      </c>
      <c r="X971" t="s">
        <v>37</v>
      </c>
      <c r="Y971" t="s">
        <v>43</v>
      </c>
      <c r="Z971" t="s">
        <v>37</v>
      </c>
      <c r="AA971">
        <v>2.67</v>
      </c>
      <c r="AB971" t="s">
        <v>37</v>
      </c>
      <c r="AC971">
        <v>3.73</v>
      </c>
      <c r="AD971">
        <v>101</v>
      </c>
      <c r="AE971">
        <v>68000</v>
      </c>
      <c r="AF971" t="str">
        <f>IF(Table1[[#This Row],[What is your current CGPA?]]&gt;=3.5,"High",IF(Table1[[#This Row],[What is your current CGPA?]]&gt;=2.5,"Medium","Low"))</f>
        <v>High</v>
      </c>
      <c r="AG971" t="str">
        <f>IF(AND(Table1[[#This Row],[Average attendance on class]]&lt;75,Table1[[#This Row],[How many hour do you study daily?]]&lt;1),"At Risk","Normal")</f>
        <v>Normal</v>
      </c>
      <c r="AH971">
        <f>(Table1[[#This Row],[Average attendance on class]]*0.4)+(Table1[[#This Row],[How many hour do you study daily?]]*10*0.3)+(Table1[[#This Row],[How many hour do you spent daily on your skill development?]]*10*0.3)</f>
        <v>52.800000000000004</v>
      </c>
    </row>
    <row r="972" spans="1:34" x14ac:dyDescent="0.25">
      <c r="A972">
        <v>2021</v>
      </c>
      <c r="B972" t="s">
        <v>48</v>
      </c>
      <c r="C972">
        <v>21</v>
      </c>
      <c r="D972">
        <v>2020</v>
      </c>
      <c r="E972" t="s">
        <v>35</v>
      </c>
      <c r="F972">
        <v>9</v>
      </c>
      <c r="G972" t="s">
        <v>37</v>
      </c>
      <c r="H972" t="s">
        <v>37</v>
      </c>
      <c r="I972">
        <v>2</v>
      </c>
      <c r="J972">
        <v>2</v>
      </c>
      <c r="K972" t="s">
        <v>38</v>
      </c>
      <c r="L972" t="s">
        <v>36</v>
      </c>
      <c r="M972" t="s">
        <v>36</v>
      </c>
      <c r="N972">
        <v>3</v>
      </c>
      <c r="O972" t="s">
        <v>53</v>
      </c>
      <c r="P972">
        <v>86</v>
      </c>
      <c r="Q972" t="s">
        <v>37</v>
      </c>
      <c r="R972" t="s">
        <v>37</v>
      </c>
      <c r="S972" t="s">
        <v>36</v>
      </c>
      <c r="T972" t="s">
        <v>49</v>
      </c>
      <c r="U972">
        <v>1</v>
      </c>
      <c r="V972" t="s">
        <v>41</v>
      </c>
      <c r="W972" t="s">
        <v>42</v>
      </c>
      <c r="X972" t="s">
        <v>36</v>
      </c>
      <c r="Y972" t="s">
        <v>43</v>
      </c>
      <c r="Z972" t="s">
        <v>36</v>
      </c>
      <c r="AA972">
        <v>2.86</v>
      </c>
      <c r="AB972" t="s">
        <v>37</v>
      </c>
      <c r="AC972">
        <v>3.9</v>
      </c>
      <c r="AD972">
        <v>119</v>
      </c>
      <c r="AE972">
        <v>68000</v>
      </c>
      <c r="AF972" t="str">
        <f>IF(Table1[[#This Row],[What is your current CGPA?]]&gt;=3.5,"High",IF(Table1[[#This Row],[What is your current CGPA?]]&gt;=2.5,"Medium","Low"))</f>
        <v>High</v>
      </c>
      <c r="AG972" t="str">
        <f>IF(AND(Table1[[#This Row],[Average attendance on class]]&lt;75,Table1[[#This Row],[How many hour do you study daily?]]&lt;1),"At Risk","Normal")</f>
        <v>Normal</v>
      </c>
      <c r="AH972">
        <f>(Table1[[#This Row],[Average attendance on class]]*0.4)+(Table1[[#This Row],[How many hour do you study daily?]]*10*0.3)+(Table1[[#This Row],[How many hour do you spent daily on your skill development?]]*10*0.3)</f>
        <v>43.4</v>
      </c>
    </row>
    <row r="973" spans="1:34" x14ac:dyDescent="0.25">
      <c r="A973">
        <v>2020</v>
      </c>
      <c r="B973" t="s">
        <v>48</v>
      </c>
      <c r="C973">
        <v>22</v>
      </c>
      <c r="D973">
        <v>2018</v>
      </c>
      <c r="E973" t="s">
        <v>35</v>
      </c>
      <c r="F973">
        <v>6</v>
      </c>
      <c r="G973" t="s">
        <v>37</v>
      </c>
      <c r="H973" t="s">
        <v>37</v>
      </c>
      <c r="I973">
        <v>4</v>
      </c>
      <c r="J973">
        <v>3</v>
      </c>
      <c r="K973" t="s">
        <v>38</v>
      </c>
      <c r="L973" t="s">
        <v>36</v>
      </c>
      <c r="M973" t="s">
        <v>36</v>
      </c>
      <c r="N973">
        <v>2</v>
      </c>
      <c r="O973" t="s">
        <v>39</v>
      </c>
      <c r="P973">
        <v>80</v>
      </c>
      <c r="Q973" t="s">
        <v>37</v>
      </c>
      <c r="R973" t="s">
        <v>37</v>
      </c>
      <c r="S973" t="s">
        <v>37</v>
      </c>
      <c r="T973" t="s">
        <v>61</v>
      </c>
      <c r="U973">
        <v>3</v>
      </c>
      <c r="V973" t="s">
        <v>62</v>
      </c>
      <c r="W973" t="s">
        <v>42</v>
      </c>
      <c r="X973" t="s">
        <v>37</v>
      </c>
      <c r="Y973" t="s">
        <v>47</v>
      </c>
      <c r="Z973" t="s">
        <v>36</v>
      </c>
      <c r="AA973">
        <v>2.0299999999999998</v>
      </c>
      <c r="AB973" t="s">
        <v>37</v>
      </c>
      <c r="AC973">
        <v>3.25</v>
      </c>
      <c r="AD973">
        <v>59</v>
      </c>
      <c r="AE973">
        <v>70000</v>
      </c>
      <c r="AF973" t="str">
        <f>IF(Table1[[#This Row],[What is your current CGPA?]]&gt;=3.5,"High",IF(Table1[[#This Row],[What is your current CGPA?]]&gt;=2.5,"Medium","Low"))</f>
        <v>Medium</v>
      </c>
      <c r="AG973" t="str">
        <f>IF(AND(Table1[[#This Row],[Average attendance on class]]&lt;75,Table1[[#This Row],[How many hour do you study daily?]]&lt;1),"At Risk","Normal")</f>
        <v>Normal</v>
      </c>
      <c r="AH973">
        <f>(Table1[[#This Row],[Average attendance on class]]*0.4)+(Table1[[#This Row],[How many hour do you study daily?]]*10*0.3)+(Table1[[#This Row],[How many hour do you spent daily on your skill development?]]*10*0.3)</f>
        <v>53</v>
      </c>
    </row>
    <row r="974" spans="1:34" x14ac:dyDescent="0.25">
      <c r="A974">
        <v>2019</v>
      </c>
      <c r="B974" t="s">
        <v>48</v>
      </c>
      <c r="C974">
        <v>22</v>
      </c>
      <c r="D974">
        <v>2018</v>
      </c>
      <c r="E974" t="s">
        <v>35</v>
      </c>
      <c r="F974">
        <v>10</v>
      </c>
      <c r="G974" t="s">
        <v>37</v>
      </c>
      <c r="H974" t="s">
        <v>37</v>
      </c>
      <c r="I974">
        <v>4</v>
      </c>
      <c r="J974">
        <v>2</v>
      </c>
      <c r="K974" t="s">
        <v>38</v>
      </c>
      <c r="L974" t="s">
        <v>36</v>
      </c>
      <c r="M974" t="s">
        <v>36</v>
      </c>
      <c r="N974">
        <v>7</v>
      </c>
      <c r="O974" t="s">
        <v>53</v>
      </c>
      <c r="P974">
        <v>95</v>
      </c>
      <c r="Q974" t="s">
        <v>37</v>
      </c>
      <c r="R974" t="s">
        <v>37</v>
      </c>
      <c r="S974" t="s">
        <v>37</v>
      </c>
      <c r="T974" t="s">
        <v>51</v>
      </c>
      <c r="U974">
        <v>2</v>
      </c>
      <c r="V974" t="s">
        <v>40</v>
      </c>
      <c r="W974" t="s">
        <v>50</v>
      </c>
      <c r="X974" t="s">
        <v>37</v>
      </c>
      <c r="Y974" t="s">
        <v>47</v>
      </c>
      <c r="Z974" t="s">
        <v>37</v>
      </c>
      <c r="AA974">
        <v>2.31</v>
      </c>
      <c r="AB974" t="s">
        <v>37</v>
      </c>
      <c r="AC974">
        <v>3.65</v>
      </c>
      <c r="AD974">
        <v>140</v>
      </c>
      <c r="AE974">
        <v>70000</v>
      </c>
      <c r="AF974" t="str">
        <f>IF(Table1[[#This Row],[What is your current CGPA?]]&gt;=3.5,"High",IF(Table1[[#This Row],[What is your current CGPA?]]&gt;=2.5,"Medium","Low"))</f>
        <v>High</v>
      </c>
      <c r="AG974" t="str">
        <f>IF(AND(Table1[[#This Row],[Average attendance on class]]&lt;75,Table1[[#This Row],[How many hour do you study daily?]]&lt;1),"At Risk","Normal")</f>
        <v>Normal</v>
      </c>
      <c r="AH974">
        <f>(Table1[[#This Row],[Average attendance on class]]*0.4)+(Table1[[#This Row],[How many hour do you study daily?]]*10*0.3)+(Table1[[#This Row],[How many hour do you spent daily on your skill development?]]*10*0.3)</f>
        <v>56</v>
      </c>
    </row>
    <row r="975" spans="1:34" x14ac:dyDescent="0.25">
      <c r="A975">
        <v>2021</v>
      </c>
      <c r="B975" t="s">
        <v>48</v>
      </c>
      <c r="C975">
        <v>22</v>
      </c>
      <c r="D975">
        <v>2019</v>
      </c>
      <c r="E975" t="s">
        <v>35</v>
      </c>
      <c r="F975">
        <v>8</v>
      </c>
      <c r="G975" t="s">
        <v>36</v>
      </c>
      <c r="H975" t="s">
        <v>37</v>
      </c>
      <c r="I975">
        <v>4</v>
      </c>
      <c r="J975">
        <v>3</v>
      </c>
      <c r="K975" t="s">
        <v>38</v>
      </c>
      <c r="L975" t="s">
        <v>36</v>
      </c>
      <c r="M975" t="s">
        <v>37</v>
      </c>
      <c r="N975">
        <v>3</v>
      </c>
      <c r="O975" t="s">
        <v>53</v>
      </c>
      <c r="P975">
        <v>100</v>
      </c>
      <c r="Q975" t="s">
        <v>37</v>
      </c>
      <c r="R975" t="s">
        <v>37</v>
      </c>
      <c r="S975" t="s">
        <v>37</v>
      </c>
      <c r="T975" t="s">
        <v>51</v>
      </c>
      <c r="U975">
        <v>3</v>
      </c>
      <c r="V975" t="s">
        <v>59</v>
      </c>
      <c r="W975" t="s">
        <v>42</v>
      </c>
      <c r="X975" t="s">
        <v>36</v>
      </c>
      <c r="Y975" t="s">
        <v>43</v>
      </c>
      <c r="Z975" t="s">
        <v>37</v>
      </c>
      <c r="AA975">
        <v>2.66</v>
      </c>
      <c r="AB975" t="s">
        <v>37</v>
      </c>
      <c r="AC975">
        <v>3.78</v>
      </c>
      <c r="AD975">
        <v>109</v>
      </c>
      <c r="AE975">
        <v>70000</v>
      </c>
      <c r="AF975" t="str">
        <f>IF(Table1[[#This Row],[What is your current CGPA?]]&gt;=3.5,"High",IF(Table1[[#This Row],[What is your current CGPA?]]&gt;=2.5,"Medium","Low"))</f>
        <v>High</v>
      </c>
      <c r="AG975" t="str">
        <f>IF(AND(Table1[[#This Row],[Average attendance on class]]&lt;75,Table1[[#This Row],[How many hour do you study daily?]]&lt;1),"At Risk","Normal")</f>
        <v>Normal</v>
      </c>
      <c r="AH975">
        <f>(Table1[[#This Row],[Average attendance on class]]*0.4)+(Table1[[#This Row],[How many hour do you study daily?]]*10*0.3)+(Table1[[#This Row],[How many hour do you spent daily on your skill development?]]*10*0.3)</f>
        <v>61</v>
      </c>
    </row>
    <row r="976" spans="1:34" x14ac:dyDescent="0.25">
      <c r="A976">
        <v>2022</v>
      </c>
      <c r="B976" t="s">
        <v>48</v>
      </c>
      <c r="C976">
        <v>20</v>
      </c>
      <c r="D976">
        <v>2021</v>
      </c>
      <c r="E976" t="s">
        <v>35</v>
      </c>
      <c r="F976">
        <v>5</v>
      </c>
      <c r="G976" t="s">
        <v>37</v>
      </c>
      <c r="H976" t="s">
        <v>37</v>
      </c>
      <c r="I976">
        <v>6</v>
      </c>
      <c r="J976">
        <v>2</v>
      </c>
      <c r="K976" t="s">
        <v>44</v>
      </c>
      <c r="L976" t="s">
        <v>36</v>
      </c>
      <c r="M976" t="s">
        <v>36</v>
      </c>
      <c r="N976">
        <v>3</v>
      </c>
      <c r="O976" t="s">
        <v>39</v>
      </c>
      <c r="P976">
        <v>100</v>
      </c>
      <c r="Q976" t="s">
        <v>37</v>
      </c>
      <c r="R976" t="s">
        <v>37</v>
      </c>
      <c r="S976" t="s">
        <v>37</v>
      </c>
      <c r="T976" t="s">
        <v>40</v>
      </c>
      <c r="U976">
        <v>2</v>
      </c>
      <c r="V976" t="s">
        <v>40</v>
      </c>
      <c r="W976" t="s">
        <v>50</v>
      </c>
      <c r="X976" t="s">
        <v>37</v>
      </c>
      <c r="Y976" t="s">
        <v>47</v>
      </c>
      <c r="Z976" t="s">
        <v>37</v>
      </c>
      <c r="AA976">
        <v>2.11</v>
      </c>
      <c r="AB976" t="s">
        <v>37</v>
      </c>
      <c r="AC976">
        <v>3.26</v>
      </c>
      <c r="AD976">
        <v>87</v>
      </c>
      <c r="AE976">
        <v>70000</v>
      </c>
      <c r="AF976" t="str">
        <f>IF(Table1[[#This Row],[What is your current CGPA?]]&gt;=3.5,"High",IF(Table1[[#This Row],[What is your current CGPA?]]&gt;=2.5,"Medium","Low"))</f>
        <v>Medium</v>
      </c>
      <c r="AG976" t="str">
        <f>IF(AND(Table1[[#This Row],[Average attendance on class]]&lt;75,Table1[[#This Row],[How many hour do you study daily?]]&lt;1),"At Risk","Normal")</f>
        <v>Normal</v>
      </c>
      <c r="AH976">
        <f>(Table1[[#This Row],[Average attendance on class]]*0.4)+(Table1[[#This Row],[How many hour do you study daily?]]*10*0.3)+(Table1[[#This Row],[How many hour do you spent daily on your skill development?]]*10*0.3)</f>
        <v>64</v>
      </c>
    </row>
    <row r="977" spans="1:34" x14ac:dyDescent="0.25">
      <c r="A977">
        <v>2022</v>
      </c>
      <c r="B977" t="s">
        <v>34</v>
      </c>
      <c r="C977">
        <v>19</v>
      </c>
      <c r="D977">
        <v>2021</v>
      </c>
      <c r="E977" t="s">
        <v>35</v>
      </c>
      <c r="F977">
        <v>5</v>
      </c>
      <c r="G977" t="s">
        <v>37</v>
      </c>
      <c r="H977" t="s">
        <v>37</v>
      </c>
      <c r="I977">
        <v>3</v>
      </c>
      <c r="J977">
        <v>3</v>
      </c>
      <c r="K977" t="s">
        <v>38</v>
      </c>
      <c r="L977" t="s">
        <v>36</v>
      </c>
      <c r="M977" t="s">
        <v>36</v>
      </c>
      <c r="N977">
        <v>3</v>
      </c>
      <c r="O977" t="s">
        <v>39</v>
      </c>
      <c r="P977">
        <v>100</v>
      </c>
      <c r="Q977" t="s">
        <v>37</v>
      </c>
      <c r="R977" t="s">
        <v>37</v>
      </c>
      <c r="S977" t="s">
        <v>37</v>
      </c>
      <c r="T977" t="s">
        <v>51</v>
      </c>
      <c r="U977">
        <v>4</v>
      </c>
      <c r="V977" t="s">
        <v>59</v>
      </c>
      <c r="W977" t="s">
        <v>42</v>
      </c>
      <c r="X977" t="s">
        <v>37</v>
      </c>
      <c r="Y977" t="s">
        <v>47</v>
      </c>
      <c r="Z977" t="s">
        <v>37</v>
      </c>
      <c r="AA977">
        <v>1.67</v>
      </c>
      <c r="AB977" t="s">
        <v>37</v>
      </c>
      <c r="AC977">
        <v>2.7</v>
      </c>
      <c r="AD977">
        <v>77</v>
      </c>
      <c r="AE977">
        <v>70000</v>
      </c>
      <c r="AF977" t="str">
        <f>IF(Table1[[#This Row],[What is your current CGPA?]]&gt;=3.5,"High",IF(Table1[[#This Row],[What is your current CGPA?]]&gt;=2.5,"Medium","Low"))</f>
        <v>Medium</v>
      </c>
      <c r="AG977" t="str">
        <f>IF(AND(Table1[[#This Row],[Average attendance on class]]&lt;75,Table1[[#This Row],[How many hour do you study daily?]]&lt;1),"At Risk","Normal")</f>
        <v>Normal</v>
      </c>
      <c r="AH977">
        <f>(Table1[[#This Row],[Average attendance on class]]*0.4)+(Table1[[#This Row],[How many hour do you study daily?]]*10*0.3)+(Table1[[#This Row],[How many hour do you spent daily on your skill development?]]*10*0.3)</f>
        <v>61</v>
      </c>
    </row>
    <row r="978" spans="1:34" x14ac:dyDescent="0.25">
      <c r="A978">
        <v>2019</v>
      </c>
      <c r="B978" t="s">
        <v>34</v>
      </c>
      <c r="C978">
        <v>23</v>
      </c>
      <c r="D978">
        <v>2019</v>
      </c>
      <c r="E978" t="s">
        <v>35</v>
      </c>
      <c r="F978">
        <v>11</v>
      </c>
      <c r="G978" t="s">
        <v>36</v>
      </c>
      <c r="H978" t="s">
        <v>37</v>
      </c>
      <c r="I978">
        <v>3</v>
      </c>
      <c r="J978">
        <v>2</v>
      </c>
      <c r="K978" t="s">
        <v>38</v>
      </c>
      <c r="L978" t="s">
        <v>36</v>
      </c>
      <c r="M978" t="s">
        <v>36</v>
      </c>
      <c r="N978">
        <v>5</v>
      </c>
      <c r="O978" t="s">
        <v>53</v>
      </c>
      <c r="P978">
        <v>97</v>
      </c>
      <c r="Q978" t="s">
        <v>37</v>
      </c>
      <c r="R978" t="s">
        <v>37</v>
      </c>
      <c r="S978" t="s">
        <v>36</v>
      </c>
      <c r="T978" t="s">
        <v>40</v>
      </c>
      <c r="U978">
        <v>3</v>
      </c>
      <c r="V978" t="s">
        <v>62</v>
      </c>
      <c r="W978" t="s">
        <v>42</v>
      </c>
      <c r="X978" t="s">
        <v>36</v>
      </c>
      <c r="Y978" t="s">
        <v>43</v>
      </c>
      <c r="Z978" t="s">
        <v>37</v>
      </c>
      <c r="AA978">
        <v>2.4</v>
      </c>
      <c r="AB978" t="s">
        <v>37</v>
      </c>
      <c r="AC978">
        <v>3.44</v>
      </c>
      <c r="AD978">
        <v>139</v>
      </c>
      <c r="AE978">
        <v>71000</v>
      </c>
      <c r="AF978" t="str">
        <f>IF(Table1[[#This Row],[What is your current CGPA?]]&gt;=3.5,"High",IF(Table1[[#This Row],[What is your current CGPA?]]&gt;=2.5,"Medium","Low"))</f>
        <v>Medium</v>
      </c>
      <c r="AG978" t="str">
        <f>IF(AND(Table1[[#This Row],[Average attendance on class]]&lt;75,Table1[[#This Row],[How many hour do you study daily?]]&lt;1),"At Risk","Normal")</f>
        <v>Normal</v>
      </c>
      <c r="AH978">
        <f>(Table1[[#This Row],[Average attendance on class]]*0.4)+(Table1[[#This Row],[How many hour do you study daily?]]*10*0.3)+(Table1[[#This Row],[How many hour do you spent daily on your skill development?]]*10*0.3)</f>
        <v>56.800000000000004</v>
      </c>
    </row>
    <row r="979" spans="1:34" x14ac:dyDescent="0.25">
      <c r="A979">
        <v>2021</v>
      </c>
      <c r="B979" t="s">
        <v>48</v>
      </c>
      <c r="C979">
        <v>21</v>
      </c>
      <c r="D979">
        <v>2020</v>
      </c>
      <c r="E979" t="s">
        <v>35</v>
      </c>
      <c r="F979">
        <v>3</v>
      </c>
      <c r="G979" t="s">
        <v>37</v>
      </c>
      <c r="H979" t="s">
        <v>37</v>
      </c>
      <c r="I979">
        <v>3</v>
      </c>
      <c r="J979">
        <v>2</v>
      </c>
      <c r="K979" t="s">
        <v>44</v>
      </c>
      <c r="L979" t="s">
        <v>36</v>
      </c>
      <c r="M979" t="s">
        <v>36</v>
      </c>
      <c r="N979">
        <v>10</v>
      </c>
      <c r="O979" t="s">
        <v>45</v>
      </c>
      <c r="P979">
        <v>30</v>
      </c>
      <c r="Q979" t="s">
        <v>36</v>
      </c>
      <c r="R979" t="s">
        <v>37</v>
      </c>
      <c r="S979" t="s">
        <v>37</v>
      </c>
      <c r="T979" t="s">
        <v>52</v>
      </c>
      <c r="U979">
        <v>1</v>
      </c>
      <c r="V979" t="s">
        <v>59</v>
      </c>
      <c r="W979" t="s">
        <v>42</v>
      </c>
      <c r="X979" t="s">
        <v>37</v>
      </c>
      <c r="Y979" t="s">
        <v>47</v>
      </c>
      <c r="Z979" t="s">
        <v>37</v>
      </c>
      <c r="AA979">
        <v>1.55</v>
      </c>
      <c r="AB979" t="s">
        <v>37</v>
      </c>
      <c r="AC979">
        <v>2.81</v>
      </c>
      <c r="AD979">
        <v>34</v>
      </c>
      <c r="AE979">
        <v>73000</v>
      </c>
      <c r="AF979" t="str">
        <f>IF(Table1[[#This Row],[What is your current CGPA?]]&gt;=3.5,"High",IF(Table1[[#This Row],[What is your current CGPA?]]&gt;=2.5,"Medium","Low"))</f>
        <v>Medium</v>
      </c>
      <c r="AG979" t="str">
        <f>IF(AND(Table1[[#This Row],[Average attendance on class]]&lt;75,Table1[[#This Row],[How many hour do you study daily?]]&lt;1),"At Risk","Normal")</f>
        <v>Normal</v>
      </c>
      <c r="AH979">
        <f>(Table1[[#This Row],[Average attendance on class]]*0.4)+(Table1[[#This Row],[How many hour do you study daily?]]*10*0.3)+(Table1[[#This Row],[How many hour do you spent daily on your skill development?]]*10*0.3)</f>
        <v>24</v>
      </c>
    </row>
    <row r="980" spans="1:34" x14ac:dyDescent="0.25">
      <c r="A980">
        <v>2022</v>
      </c>
      <c r="B980" t="s">
        <v>48</v>
      </c>
      <c r="C980">
        <v>20</v>
      </c>
      <c r="D980">
        <v>2020</v>
      </c>
      <c r="E980" t="s">
        <v>35</v>
      </c>
      <c r="F980">
        <v>5</v>
      </c>
      <c r="G980" t="s">
        <v>36</v>
      </c>
      <c r="H980" t="s">
        <v>37</v>
      </c>
      <c r="I980">
        <v>5</v>
      </c>
      <c r="J980">
        <v>2</v>
      </c>
      <c r="K980" t="s">
        <v>44</v>
      </c>
      <c r="L980" t="s">
        <v>36</v>
      </c>
      <c r="M980" t="s">
        <v>36</v>
      </c>
      <c r="N980">
        <v>9</v>
      </c>
      <c r="O980" t="s">
        <v>39</v>
      </c>
      <c r="P980">
        <v>90</v>
      </c>
      <c r="Q980" t="s">
        <v>37</v>
      </c>
      <c r="R980" t="s">
        <v>37</v>
      </c>
      <c r="S980" t="s">
        <v>36</v>
      </c>
      <c r="T980" t="s">
        <v>61</v>
      </c>
      <c r="U980">
        <v>1</v>
      </c>
      <c r="V980" t="s">
        <v>41</v>
      </c>
      <c r="W980" t="s">
        <v>42</v>
      </c>
      <c r="X980" t="s">
        <v>36</v>
      </c>
      <c r="Y980" t="s">
        <v>43</v>
      </c>
      <c r="Z980" t="s">
        <v>37</v>
      </c>
      <c r="AA980">
        <v>2.5499999999999998</v>
      </c>
      <c r="AB980" t="s">
        <v>37</v>
      </c>
      <c r="AC980">
        <v>3.59</v>
      </c>
      <c r="AD980">
        <v>72</v>
      </c>
      <c r="AE980">
        <v>73000</v>
      </c>
      <c r="AF980" t="str">
        <f>IF(Table1[[#This Row],[What is your current CGPA?]]&gt;=3.5,"High",IF(Table1[[#This Row],[What is your current CGPA?]]&gt;=2.5,"Medium","Low"))</f>
        <v>High</v>
      </c>
      <c r="AG980" t="str">
        <f>IF(AND(Table1[[#This Row],[Average attendance on class]]&lt;75,Table1[[#This Row],[How many hour do you study daily?]]&lt;1),"At Risk","Normal")</f>
        <v>Normal</v>
      </c>
      <c r="AH980">
        <f>(Table1[[#This Row],[Average attendance on class]]*0.4)+(Table1[[#This Row],[How many hour do you study daily?]]*10*0.3)+(Table1[[#This Row],[How many hour do you spent daily on your skill development?]]*10*0.3)</f>
        <v>54</v>
      </c>
    </row>
    <row r="981" spans="1:34" x14ac:dyDescent="0.25">
      <c r="A981">
        <v>2021</v>
      </c>
      <c r="B981" t="s">
        <v>34</v>
      </c>
      <c r="C981">
        <v>20</v>
      </c>
      <c r="D981">
        <v>2021</v>
      </c>
      <c r="E981" t="s">
        <v>35</v>
      </c>
      <c r="F981">
        <v>9</v>
      </c>
      <c r="G981" t="s">
        <v>37</v>
      </c>
      <c r="H981" t="s">
        <v>37</v>
      </c>
      <c r="I981">
        <v>1</v>
      </c>
      <c r="J981">
        <v>4</v>
      </c>
      <c r="K981" t="s">
        <v>38</v>
      </c>
      <c r="L981" t="s">
        <v>36</v>
      </c>
      <c r="M981" t="s">
        <v>36</v>
      </c>
      <c r="N981">
        <v>3</v>
      </c>
      <c r="O981" t="s">
        <v>39</v>
      </c>
      <c r="P981">
        <v>87</v>
      </c>
      <c r="Q981" t="s">
        <v>36</v>
      </c>
      <c r="R981" t="s">
        <v>37</v>
      </c>
      <c r="S981" t="s">
        <v>36</v>
      </c>
      <c r="T981" t="s">
        <v>40</v>
      </c>
      <c r="U981">
        <v>4</v>
      </c>
      <c r="V981" t="s">
        <v>40</v>
      </c>
      <c r="W981" t="s">
        <v>50</v>
      </c>
      <c r="X981" t="s">
        <v>36</v>
      </c>
      <c r="Y981" t="s">
        <v>47</v>
      </c>
      <c r="Z981" t="s">
        <v>37</v>
      </c>
      <c r="AA981">
        <v>2.4500000000000002</v>
      </c>
      <c r="AB981" t="s">
        <v>37</v>
      </c>
      <c r="AC981">
        <v>3.56</v>
      </c>
      <c r="AD981">
        <v>123</v>
      </c>
      <c r="AE981">
        <v>74000</v>
      </c>
      <c r="AF981" t="str">
        <f>IF(Table1[[#This Row],[What is your current CGPA?]]&gt;=3.5,"High",IF(Table1[[#This Row],[What is your current CGPA?]]&gt;=2.5,"Medium","Low"))</f>
        <v>High</v>
      </c>
      <c r="AG981" t="str">
        <f>IF(AND(Table1[[#This Row],[Average attendance on class]]&lt;75,Table1[[#This Row],[How many hour do you study daily?]]&lt;1),"At Risk","Normal")</f>
        <v>Normal</v>
      </c>
      <c r="AH981">
        <f>(Table1[[#This Row],[Average attendance on class]]*0.4)+(Table1[[#This Row],[How many hour do you study daily?]]*10*0.3)+(Table1[[#This Row],[How many hour do you spent daily on your skill development?]]*10*0.3)</f>
        <v>49.800000000000004</v>
      </c>
    </row>
    <row r="982" spans="1:34" x14ac:dyDescent="0.25">
      <c r="A982">
        <v>2019</v>
      </c>
      <c r="B982" t="s">
        <v>34</v>
      </c>
      <c r="C982">
        <v>21</v>
      </c>
      <c r="D982">
        <v>2019</v>
      </c>
      <c r="E982" t="s">
        <v>35</v>
      </c>
      <c r="F982">
        <v>11</v>
      </c>
      <c r="G982" t="s">
        <v>36</v>
      </c>
      <c r="H982" t="s">
        <v>37</v>
      </c>
      <c r="I982">
        <v>6</v>
      </c>
      <c r="J982">
        <v>4</v>
      </c>
      <c r="K982" t="s">
        <v>38</v>
      </c>
      <c r="L982" t="s">
        <v>36</v>
      </c>
      <c r="M982" t="s">
        <v>36</v>
      </c>
      <c r="N982">
        <v>2</v>
      </c>
      <c r="O982" t="s">
        <v>53</v>
      </c>
      <c r="P982">
        <v>100</v>
      </c>
      <c r="Q982" t="s">
        <v>37</v>
      </c>
      <c r="R982" t="s">
        <v>37</v>
      </c>
      <c r="S982" t="s">
        <v>36</v>
      </c>
      <c r="T982" t="s">
        <v>40</v>
      </c>
      <c r="U982">
        <v>3</v>
      </c>
      <c r="V982" t="s">
        <v>62</v>
      </c>
      <c r="W982" t="s">
        <v>42</v>
      </c>
      <c r="X982" t="s">
        <v>37</v>
      </c>
      <c r="Y982" t="s">
        <v>43</v>
      </c>
      <c r="Z982" t="s">
        <v>37</v>
      </c>
      <c r="AA982">
        <v>2.77</v>
      </c>
      <c r="AB982" t="s">
        <v>37</v>
      </c>
      <c r="AC982">
        <v>3.87</v>
      </c>
      <c r="AD982">
        <v>139</v>
      </c>
      <c r="AE982">
        <v>75000</v>
      </c>
      <c r="AF982" t="str">
        <f>IF(Table1[[#This Row],[What is your current CGPA?]]&gt;=3.5,"High",IF(Table1[[#This Row],[What is your current CGPA?]]&gt;=2.5,"Medium","Low"))</f>
        <v>High</v>
      </c>
      <c r="AG982" t="str">
        <f>IF(AND(Table1[[#This Row],[Average attendance on class]]&lt;75,Table1[[#This Row],[How many hour do you study daily?]]&lt;1),"At Risk","Normal")</f>
        <v>Normal</v>
      </c>
      <c r="AH982">
        <f>(Table1[[#This Row],[Average attendance on class]]*0.4)+(Table1[[#This Row],[How many hour do you study daily?]]*10*0.3)+(Table1[[#This Row],[How many hour do you spent daily on your skill development?]]*10*0.3)</f>
        <v>67</v>
      </c>
    </row>
    <row r="983" spans="1:34" x14ac:dyDescent="0.25">
      <c r="A983">
        <v>2021</v>
      </c>
      <c r="B983" t="s">
        <v>48</v>
      </c>
      <c r="C983">
        <v>20</v>
      </c>
      <c r="D983">
        <v>2020</v>
      </c>
      <c r="E983" t="s">
        <v>35</v>
      </c>
      <c r="F983">
        <v>8</v>
      </c>
      <c r="G983" t="s">
        <v>37</v>
      </c>
      <c r="H983" t="s">
        <v>37</v>
      </c>
      <c r="I983">
        <v>3</v>
      </c>
      <c r="J983">
        <v>1</v>
      </c>
      <c r="K983" t="s">
        <v>38</v>
      </c>
      <c r="L983" t="s">
        <v>36</v>
      </c>
      <c r="M983" t="s">
        <v>36</v>
      </c>
      <c r="N983">
        <v>3</v>
      </c>
      <c r="O983" t="s">
        <v>39</v>
      </c>
      <c r="P983">
        <v>100</v>
      </c>
      <c r="Q983" t="s">
        <v>37</v>
      </c>
      <c r="R983" t="s">
        <v>37</v>
      </c>
      <c r="S983" t="s">
        <v>37</v>
      </c>
      <c r="T983" t="s">
        <v>40</v>
      </c>
      <c r="U983">
        <v>2</v>
      </c>
      <c r="V983" t="s">
        <v>62</v>
      </c>
      <c r="W983" t="s">
        <v>42</v>
      </c>
      <c r="X983" t="s">
        <v>36</v>
      </c>
      <c r="Y983" t="s">
        <v>43</v>
      </c>
      <c r="Z983" t="s">
        <v>37</v>
      </c>
      <c r="AA983">
        <v>2.5299999999999998</v>
      </c>
      <c r="AB983" t="s">
        <v>37</v>
      </c>
      <c r="AC983">
        <v>3.6</v>
      </c>
      <c r="AD983">
        <v>95</v>
      </c>
      <c r="AE983">
        <v>75000</v>
      </c>
      <c r="AF983" t="str">
        <f>IF(Table1[[#This Row],[What is your current CGPA?]]&gt;=3.5,"High",IF(Table1[[#This Row],[What is your current CGPA?]]&gt;=2.5,"Medium","Low"))</f>
        <v>High</v>
      </c>
      <c r="AG983" t="str">
        <f>IF(AND(Table1[[#This Row],[Average attendance on class]]&lt;75,Table1[[#This Row],[How many hour do you study daily?]]&lt;1),"At Risk","Normal")</f>
        <v>Normal</v>
      </c>
      <c r="AH983">
        <f>(Table1[[#This Row],[Average attendance on class]]*0.4)+(Table1[[#This Row],[How many hour do you study daily?]]*10*0.3)+(Table1[[#This Row],[How many hour do you spent daily on your skill development?]]*10*0.3)</f>
        <v>55</v>
      </c>
    </row>
    <row r="984" spans="1:34" x14ac:dyDescent="0.25">
      <c r="A984">
        <v>2022</v>
      </c>
      <c r="B984" t="s">
        <v>48</v>
      </c>
      <c r="C984">
        <v>19</v>
      </c>
      <c r="D984">
        <v>2021</v>
      </c>
      <c r="E984" t="s">
        <v>35</v>
      </c>
      <c r="F984">
        <v>6</v>
      </c>
      <c r="G984" t="s">
        <v>37</v>
      </c>
      <c r="H984" t="s">
        <v>37</v>
      </c>
      <c r="I984">
        <v>3</v>
      </c>
      <c r="J984">
        <v>1</v>
      </c>
      <c r="K984" t="s">
        <v>44</v>
      </c>
      <c r="L984" t="s">
        <v>36</v>
      </c>
      <c r="M984" t="s">
        <v>36</v>
      </c>
      <c r="N984">
        <v>3</v>
      </c>
      <c r="O984" t="s">
        <v>39</v>
      </c>
      <c r="P984">
        <v>43</v>
      </c>
      <c r="Q984" t="s">
        <v>36</v>
      </c>
      <c r="R984" t="s">
        <v>37</v>
      </c>
      <c r="S984" t="s">
        <v>36</v>
      </c>
      <c r="T984" t="s">
        <v>52</v>
      </c>
      <c r="U984">
        <v>2</v>
      </c>
      <c r="V984" t="s">
        <v>41</v>
      </c>
      <c r="W984" t="s">
        <v>50</v>
      </c>
      <c r="X984" t="s">
        <v>36</v>
      </c>
      <c r="Y984" t="s">
        <v>43</v>
      </c>
      <c r="Z984" t="s">
        <v>36</v>
      </c>
      <c r="AA984">
        <v>1.65</v>
      </c>
      <c r="AB984" t="s">
        <v>37</v>
      </c>
      <c r="AC984">
        <v>2.71</v>
      </c>
      <c r="AD984">
        <v>73</v>
      </c>
      <c r="AE984">
        <v>75000</v>
      </c>
      <c r="AF984" t="str">
        <f>IF(Table1[[#This Row],[What is your current CGPA?]]&gt;=3.5,"High",IF(Table1[[#This Row],[What is your current CGPA?]]&gt;=2.5,"Medium","Low"))</f>
        <v>Medium</v>
      </c>
      <c r="AG984" t="str">
        <f>IF(AND(Table1[[#This Row],[Average attendance on class]]&lt;75,Table1[[#This Row],[How many hour do you study daily?]]&lt;1),"At Risk","Normal")</f>
        <v>Normal</v>
      </c>
      <c r="AH984">
        <f>(Table1[[#This Row],[Average attendance on class]]*0.4)+(Table1[[#This Row],[How many hour do you study daily?]]*10*0.3)+(Table1[[#This Row],[How many hour do you spent daily on your skill development?]]*10*0.3)</f>
        <v>32.200000000000003</v>
      </c>
    </row>
    <row r="985" spans="1:34" x14ac:dyDescent="0.25">
      <c r="A985">
        <v>2021</v>
      </c>
      <c r="B985" t="s">
        <v>48</v>
      </c>
      <c r="C985">
        <v>19</v>
      </c>
      <c r="D985">
        <v>2020</v>
      </c>
      <c r="E985" t="s">
        <v>35</v>
      </c>
      <c r="F985">
        <v>4</v>
      </c>
      <c r="G985" t="s">
        <v>37</v>
      </c>
      <c r="H985" t="s">
        <v>37</v>
      </c>
      <c r="I985">
        <v>3</v>
      </c>
      <c r="J985">
        <v>1</v>
      </c>
      <c r="K985" t="s">
        <v>44</v>
      </c>
      <c r="L985" t="s">
        <v>36</v>
      </c>
      <c r="M985" t="s">
        <v>36</v>
      </c>
      <c r="N985">
        <v>9</v>
      </c>
      <c r="O985" t="s">
        <v>45</v>
      </c>
      <c r="P985">
        <v>70</v>
      </c>
      <c r="Q985" t="s">
        <v>37</v>
      </c>
      <c r="R985" t="s">
        <v>37</v>
      </c>
      <c r="S985" t="s">
        <v>37</v>
      </c>
      <c r="T985" t="s">
        <v>49</v>
      </c>
      <c r="U985">
        <v>3</v>
      </c>
      <c r="V985" t="s">
        <v>59</v>
      </c>
      <c r="W985" t="s">
        <v>50</v>
      </c>
      <c r="X985" t="s">
        <v>37</v>
      </c>
      <c r="Y985" t="s">
        <v>43</v>
      </c>
      <c r="Z985" t="s">
        <v>36</v>
      </c>
      <c r="AA985">
        <v>2.3199999999999998</v>
      </c>
      <c r="AB985" t="s">
        <v>37</v>
      </c>
      <c r="AC985">
        <v>3.68</v>
      </c>
      <c r="AD985">
        <v>46</v>
      </c>
      <c r="AE985">
        <v>77000</v>
      </c>
      <c r="AF985" t="str">
        <f>IF(Table1[[#This Row],[What is your current CGPA?]]&gt;=3.5,"High",IF(Table1[[#This Row],[What is your current CGPA?]]&gt;=2.5,"Medium","Low"))</f>
        <v>High</v>
      </c>
      <c r="AG985" t="str">
        <f>IF(AND(Table1[[#This Row],[Average attendance on class]]&lt;75,Table1[[#This Row],[How many hour do you study daily?]]&lt;1),"At Risk","Normal")</f>
        <v>Normal</v>
      </c>
      <c r="AH985">
        <f>(Table1[[#This Row],[Average attendance on class]]*0.4)+(Table1[[#This Row],[How many hour do you study daily?]]*10*0.3)+(Table1[[#This Row],[How many hour do you spent daily on your skill development?]]*10*0.3)</f>
        <v>46</v>
      </c>
    </row>
    <row r="986" spans="1:34" x14ac:dyDescent="0.25">
      <c r="A986">
        <v>2020</v>
      </c>
      <c r="B986" t="s">
        <v>48</v>
      </c>
      <c r="C986">
        <v>20</v>
      </c>
      <c r="D986">
        <v>2020</v>
      </c>
      <c r="E986" t="s">
        <v>35</v>
      </c>
      <c r="F986">
        <v>11</v>
      </c>
      <c r="G986" t="s">
        <v>37</v>
      </c>
      <c r="H986" t="s">
        <v>37</v>
      </c>
      <c r="I986">
        <v>1</v>
      </c>
      <c r="J986">
        <v>3</v>
      </c>
      <c r="K986" t="s">
        <v>38</v>
      </c>
      <c r="L986" t="s">
        <v>36</v>
      </c>
      <c r="M986" t="s">
        <v>36</v>
      </c>
      <c r="N986">
        <v>2</v>
      </c>
      <c r="O986" t="s">
        <v>39</v>
      </c>
      <c r="P986">
        <v>76</v>
      </c>
      <c r="Q986" t="s">
        <v>37</v>
      </c>
      <c r="R986" t="s">
        <v>37</v>
      </c>
      <c r="S986" t="s">
        <v>37</v>
      </c>
      <c r="T986" t="s">
        <v>40</v>
      </c>
      <c r="U986">
        <v>2</v>
      </c>
      <c r="V986" t="s">
        <v>62</v>
      </c>
      <c r="W986" t="s">
        <v>56</v>
      </c>
      <c r="X986" t="s">
        <v>36</v>
      </c>
      <c r="Y986" t="s">
        <v>47</v>
      </c>
      <c r="Z986" t="s">
        <v>37</v>
      </c>
      <c r="AA986">
        <v>2.61</v>
      </c>
      <c r="AB986" t="s">
        <v>37</v>
      </c>
      <c r="AC986">
        <v>3.7</v>
      </c>
      <c r="AD986">
        <v>144</v>
      </c>
      <c r="AE986">
        <v>77000</v>
      </c>
      <c r="AF986" t="str">
        <f>IF(Table1[[#This Row],[What is your current CGPA?]]&gt;=3.5,"High",IF(Table1[[#This Row],[What is your current CGPA?]]&gt;=2.5,"Medium","Low"))</f>
        <v>High</v>
      </c>
      <c r="AG986" t="str">
        <f>IF(AND(Table1[[#This Row],[Average attendance on class]]&lt;75,Table1[[#This Row],[How many hour do you study daily?]]&lt;1),"At Risk","Normal")</f>
        <v>Normal</v>
      </c>
      <c r="AH986">
        <f>(Table1[[#This Row],[Average attendance on class]]*0.4)+(Table1[[#This Row],[How many hour do you study daily?]]*10*0.3)+(Table1[[#This Row],[How many hour do you spent daily on your skill development?]]*10*0.3)</f>
        <v>39.400000000000006</v>
      </c>
    </row>
    <row r="987" spans="1:34" x14ac:dyDescent="0.25">
      <c r="A987">
        <v>2020</v>
      </c>
      <c r="B987" t="s">
        <v>34</v>
      </c>
      <c r="C987">
        <v>20</v>
      </c>
      <c r="D987">
        <v>2020</v>
      </c>
      <c r="E987" t="s">
        <v>35</v>
      </c>
      <c r="F987">
        <v>11</v>
      </c>
      <c r="G987" t="s">
        <v>37</v>
      </c>
      <c r="H987" t="s">
        <v>37</v>
      </c>
      <c r="I987">
        <v>2</v>
      </c>
      <c r="J987">
        <v>1</v>
      </c>
      <c r="K987" t="s">
        <v>44</v>
      </c>
      <c r="L987" t="s">
        <v>36</v>
      </c>
      <c r="M987" t="s">
        <v>36</v>
      </c>
      <c r="N987">
        <v>3</v>
      </c>
      <c r="O987" t="s">
        <v>39</v>
      </c>
      <c r="P987">
        <v>54</v>
      </c>
      <c r="Q987" t="s">
        <v>36</v>
      </c>
      <c r="R987" t="s">
        <v>37</v>
      </c>
      <c r="S987" t="s">
        <v>37</v>
      </c>
      <c r="T987" t="s">
        <v>40</v>
      </c>
      <c r="U987">
        <v>4</v>
      </c>
      <c r="V987" t="s">
        <v>62</v>
      </c>
      <c r="W987" t="s">
        <v>42</v>
      </c>
      <c r="X987" t="s">
        <v>36</v>
      </c>
      <c r="Y987" t="s">
        <v>47</v>
      </c>
      <c r="Z987" t="s">
        <v>37</v>
      </c>
      <c r="AA987">
        <v>1.55</v>
      </c>
      <c r="AB987" t="s">
        <v>37</v>
      </c>
      <c r="AC987">
        <v>2.61</v>
      </c>
      <c r="AD987">
        <v>143</v>
      </c>
      <c r="AE987">
        <v>77000</v>
      </c>
      <c r="AF987" t="str">
        <f>IF(Table1[[#This Row],[What is your current CGPA?]]&gt;=3.5,"High",IF(Table1[[#This Row],[What is your current CGPA?]]&gt;=2.5,"Medium","Low"))</f>
        <v>Medium</v>
      </c>
      <c r="AG987" t="str">
        <f>IF(AND(Table1[[#This Row],[Average attendance on class]]&lt;75,Table1[[#This Row],[How many hour do you study daily?]]&lt;1),"At Risk","Normal")</f>
        <v>Normal</v>
      </c>
      <c r="AH987">
        <f>(Table1[[#This Row],[Average attendance on class]]*0.4)+(Table1[[#This Row],[How many hour do you study daily?]]*10*0.3)+(Table1[[#This Row],[How many hour do you spent daily on your skill development?]]*10*0.3)</f>
        <v>39.6</v>
      </c>
    </row>
    <row r="988" spans="1:34" x14ac:dyDescent="0.25">
      <c r="A988">
        <v>2021</v>
      </c>
      <c r="B988" t="s">
        <v>34</v>
      </c>
      <c r="C988">
        <v>19</v>
      </c>
      <c r="D988">
        <v>2021</v>
      </c>
      <c r="E988" t="s">
        <v>35</v>
      </c>
      <c r="F988">
        <v>4</v>
      </c>
      <c r="G988" t="s">
        <v>37</v>
      </c>
      <c r="H988" t="s">
        <v>37</v>
      </c>
      <c r="I988">
        <v>4</v>
      </c>
      <c r="J988">
        <v>2</v>
      </c>
      <c r="K988" t="s">
        <v>44</v>
      </c>
      <c r="L988" t="s">
        <v>36</v>
      </c>
      <c r="M988" t="s">
        <v>36</v>
      </c>
      <c r="N988">
        <v>8</v>
      </c>
      <c r="O988" t="s">
        <v>39</v>
      </c>
      <c r="P988">
        <v>100</v>
      </c>
      <c r="Q988" t="s">
        <v>37</v>
      </c>
      <c r="R988" t="s">
        <v>37</v>
      </c>
      <c r="S988" t="s">
        <v>36</v>
      </c>
      <c r="T988" t="s">
        <v>52</v>
      </c>
      <c r="U988">
        <v>2</v>
      </c>
      <c r="V988" t="s">
        <v>41</v>
      </c>
      <c r="W988" t="s">
        <v>42</v>
      </c>
      <c r="X988" t="s">
        <v>36</v>
      </c>
      <c r="Y988" t="s">
        <v>47</v>
      </c>
      <c r="Z988" t="s">
        <v>37</v>
      </c>
      <c r="AA988">
        <v>2.23</v>
      </c>
      <c r="AB988" t="s">
        <v>37</v>
      </c>
      <c r="AC988">
        <v>3.67</v>
      </c>
      <c r="AD988">
        <v>45</v>
      </c>
      <c r="AE988">
        <v>77000</v>
      </c>
      <c r="AF988" t="str">
        <f>IF(Table1[[#This Row],[What is your current CGPA?]]&gt;=3.5,"High",IF(Table1[[#This Row],[What is your current CGPA?]]&gt;=2.5,"Medium","Low"))</f>
        <v>High</v>
      </c>
      <c r="AG988" t="str">
        <f>IF(AND(Table1[[#This Row],[Average attendance on class]]&lt;75,Table1[[#This Row],[How many hour do you study daily?]]&lt;1),"At Risk","Normal")</f>
        <v>Normal</v>
      </c>
      <c r="AH988">
        <f>(Table1[[#This Row],[Average attendance on class]]*0.4)+(Table1[[#This Row],[How many hour do you study daily?]]*10*0.3)+(Table1[[#This Row],[How many hour do you spent daily on your skill development?]]*10*0.3)</f>
        <v>58</v>
      </c>
    </row>
    <row r="989" spans="1:34" x14ac:dyDescent="0.25">
      <c r="A989">
        <v>2018</v>
      </c>
      <c r="B989" t="s">
        <v>34</v>
      </c>
      <c r="C989">
        <v>25</v>
      </c>
      <c r="D989">
        <v>2017</v>
      </c>
      <c r="E989" t="s">
        <v>35</v>
      </c>
      <c r="F989">
        <v>12</v>
      </c>
      <c r="G989" t="s">
        <v>37</v>
      </c>
      <c r="H989" t="s">
        <v>37</v>
      </c>
      <c r="I989">
        <v>1</v>
      </c>
      <c r="J989">
        <v>3</v>
      </c>
      <c r="K989" t="s">
        <v>44</v>
      </c>
      <c r="L989" t="s">
        <v>36</v>
      </c>
      <c r="M989" t="s">
        <v>36</v>
      </c>
      <c r="N989">
        <v>3</v>
      </c>
      <c r="O989" t="s">
        <v>53</v>
      </c>
      <c r="P989">
        <v>60</v>
      </c>
      <c r="Q989" t="s">
        <v>36</v>
      </c>
      <c r="R989" t="s">
        <v>37</v>
      </c>
      <c r="S989" t="s">
        <v>36</v>
      </c>
      <c r="T989" t="s">
        <v>40</v>
      </c>
      <c r="U989">
        <v>3</v>
      </c>
      <c r="V989" t="s">
        <v>40</v>
      </c>
      <c r="W989" t="s">
        <v>50</v>
      </c>
      <c r="X989" t="s">
        <v>36</v>
      </c>
      <c r="Y989" t="s">
        <v>43</v>
      </c>
      <c r="Z989" t="s">
        <v>37</v>
      </c>
      <c r="AA989">
        <v>2.4500000000000002</v>
      </c>
      <c r="AB989" t="s">
        <v>37</v>
      </c>
      <c r="AC989">
        <v>3.34</v>
      </c>
      <c r="AD989">
        <v>122</v>
      </c>
      <c r="AE989">
        <v>78000</v>
      </c>
      <c r="AF989" t="str">
        <f>IF(Table1[[#This Row],[What is your current CGPA?]]&gt;=3.5,"High",IF(Table1[[#This Row],[What is your current CGPA?]]&gt;=2.5,"Medium","Low"))</f>
        <v>Medium</v>
      </c>
      <c r="AG989" t="str">
        <f>IF(AND(Table1[[#This Row],[Average attendance on class]]&lt;75,Table1[[#This Row],[How many hour do you study daily?]]&lt;1),"At Risk","Normal")</f>
        <v>Normal</v>
      </c>
      <c r="AH989">
        <f>(Table1[[#This Row],[Average attendance on class]]*0.4)+(Table1[[#This Row],[How many hour do you study daily?]]*10*0.3)+(Table1[[#This Row],[How many hour do you spent daily on your skill development?]]*10*0.3)</f>
        <v>36</v>
      </c>
    </row>
    <row r="990" spans="1:34" x14ac:dyDescent="0.25">
      <c r="A990">
        <v>2020</v>
      </c>
      <c r="B990" t="s">
        <v>48</v>
      </c>
      <c r="C990">
        <v>22</v>
      </c>
      <c r="D990">
        <v>2017</v>
      </c>
      <c r="E990" t="s">
        <v>35</v>
      </c>
      <c r="F990">
        <v>11</v>
      </c>
      <c r="G990" t="s">
        <v>37</v>
      </c>
      <c r="H990" t="s">
        <v>37</v>
      </c>
      <c r="I990">
        <v>1</v>
      </c>
      <c r="J990">
        <v>1</v>
      </c>
      <c r="K990" t="s">
        <v>44</v>
      </c>
      <c r="L990" t="s">
        <v>36</v>
      </c>
      <c r="M990" t="s">
        <v>36</v>
      </c>
      <c r="N990">
        <v>3</v>
      </c>
      <c r="O990" t="s">
        <v>39</v>
      </c>
      <c r="P990">
        <v>90</v>
      </c>
      <c r="Q990" t="s">
        <v>37</v>
      </c>
      <c r="R990" t="s">
        <v>37</v>
      </c>
      <c r="S990" t="s">
        <v>37</v>
      </c>
      <c r="T990" t="s">
        <v>51</v>
      </c>
      <c r="U990">
        <v>1</v>
      </c>
      <c r="V990" t="s">
        <v>49</v>
      </c>
      <c r="W990" t="s">
        <v>56</v>
      </c>
      <c r="X990" t="s">
        <v>37</v>
      </c>
      <c r="Y990" t="s">
        <v>47</v>
      </c>
      <c r="Z990" t="s">
        <v>36</v>
      </c>
      <c r="AA990">
        <v>2.11</v>
      </c>
      <c r="AB990" t="s">
        <v>37</v>
      </c>
      <c r="AC990">
        <v>3.56</v>
      </c>
      <c r="AD990">
        <v>132</v>
      </c>
      <c r="AE990">
        <v>78000</v>
      </c>
      <c r="AF990" t="str">
        <f>IF(Table1[[#This Row],[What is your current CGPA?]]&gt;=3.5,"High",IF(Table1[[#This Row],[What is your current CGPA?]]&gt;=2.5,"Medium","Low"))</f>
        <v>High</v>
      </c>
      <c r="AG990" t="str">
        <f>IF(AND(Table1[[#This Row],[Average attendance on class]]&lt;75,Table1[[#This Row],[How many hour do you study daily?]]&lt;1),"At Risk","Normal")</f>
        <v>Normal</v>
      </c>
      <c r="AH990">
        <f>(Table1[[#This Row],[Average attendance on class]]*0.4)+(Table1[[#This Row],[How many hour do you study daily?]]*10*0.3)+(Table1[[#This Row],[How many hour do you spent daily on your skill development?]]*10*0.3)</f>
        <v>42</v>
      </c>
    </row>
    <row r="991" spans="1:34" x14ac:dyDescent="0.25">
      <c r="A991">
        <v>2020</v>
      </c>
      <c r="B991" t="s">
        <v>34</v>
      </c>
      <c r="C991">
        <v>24</v>
      </c>
      <c r="D991">
        <v>2019</v>
      </c>
      <c r="E991" t="s">
        <v>35</v>
      </c>
      <c r="F991">
        <v>10</v>
      </c>
      <c r="G991" t="s">
        <v>37</v>
      </c>
      <c r="H991" t="s">
        <v>37</v>
      </c>
      <c r="I991">
        <v>3</v>
      </c>
      <c r="J991">
        <v>2</v>
      </c>
      <c r="K991" t="s">
        <v>38</v>
      </c>
      <c r="L991" t="s">
        <v>36</v>
      </c>
      <c r="M991" t="s">
        <v>36</v>
      </c>
      <c r="N991">
        <v>5</v>
      </c>
      <c r="O991" t="s">
        <v>39</v>
      </c>
      <c r="P991">
        <v>77</v>
      </c>
      <c r="Q991" t="s">
        <v>37</v>
      </c>
      <c r="R991" t="s">
        <v>37</v>
      </c>
      <c r="S991" t="s">
        <v>37</v>
      </c>
      <c r="T991" t="s">
        <v>49</v>
      </c>
      <c r="U991">
        <v>1</v>
      </c>
      <c r="V991" t="s">
        <v>41</v>
      </c>
      <c r="W991" t="s">
        <v>42</v>
      </c>
      <c r="X991" t="s">
        <v>37</v>
      </c>
      <c r="Y991" t="s">
        <v>43</v>
      </c>
      <c r="Z991" t="s">
        <v>37</v>
      </c>
      <c r="AA991">
        <v>1.59</v>
      </c>
      <c r="AB991" t="s">
        <v>37</v>
      </c>
      <c r="AC991">
        <v>2.62</v>
      </c>
      <c r="AD991">
        <v>132</v>
      </c>
      <c r="AE991">
        <v>78000</v>
      </c>
      <c r="AF991" t="str">
        <f>IF(Table1[[#This Row],[What is your current CGPA?]]&gt;=3.5,"High",IF(Table1[[#This Row],[What is your current CGPA?]]&gt;=2.5,"Medium","Low"))</f>
        <v>Medium</v>
      </c>
      <c r="AG991" t="str">
        <f>IF(AND(Table1[[#This Row],[Average attendance on class]]&lt;75,Table1[[#This Row],[How many hour do you study daily?]]&lt;1),"At Risk","Normal")</f>
        <v>Normal</v>
      </c>
      <c r="AH991">
        <f>(Table1[[#This Row],[Average attendance on class]]*0.4)+(Table1[[#This Row],[How many hour do you study daily?]]*10*0.3)+(Table1[[#This Row],[How many hour do you spent daily on your skill development?]]*10*0.3)</f>
        <v>42.8</v>
      </c>
    </row>
    <row r="992" spans="1:34" x14ac:dyDescent="0.25">
      <c r="A992">
        <v>2019</v>
      </c>
      <c r="B992" t="s">
        <v>34</v>
      </c>
      <c r="C992">
        <v>25</v>
      </c>
      <c r="D992">
        <v>2019</v>
      </c>
      <c r="E992" t="s">
        <v>35</v>
      </c>
      <c r="F992">
        <v>11</v>
      </c>
      <c r="G992" t="s">
        <v>37</v>
      </c>
      <c r="H992" t="s">
        <v>37</v>
      </c>
      <c r="I992">
        <v>5</v>
      </c>
      <c r="J992">
        <v>1</v>
      </c>
      <c r="K992" t="s">
        <v>38</v>
      </c>
      <c r="L992" t="s">
        <v>36</v>
      </c>
      <c r="M992" t="s">
        <v>36</v>
      </c>
      <c r="N992">
        <v>3</v>
      </c>
      <c r="O992" t="s">
        <v>53</v>
      </c>
      <c r="P992">
        <v>100</v>
      </c>
      <c r="Q992" t="s">
        <v>36</v>
      </c>
      <c r="R992" t="s">
        <v>37</v>
      </c>
      <c r="S992" t="s">
        <v>37</v>
      </c>
      <c r="T992" t="s">
        <v>40</v>
      </c>
      <c r="U992">
        <v>4</v>
      </c>
      <c r="V992" t="s">
        <v>40</v>
      </c>
      <c r="W992" t="s">
        <v>50</v>
      </c>
      <c r="X992" t="s">
        <v>36</v>
      </c>
      <c r="Y992" t="s">
        <v>47</v>
      </c>
      <c r="Z992" t="s">
        <v>37</v>
      </c>
      <c r="AA992">
        <v>2.56</v>
      </c>
      <c r="AB992" t="s">
        <v>37</v>
      </c>
      <c r="AC992">
        <v>3.67</v>
      </c>
      <c r="AD992">
        <v>143</v>
      </c>
      <c r="AE992">
        <v>78000</v>
      </c>
      <c r="AF992" t="str">
        <f>IF(Table1[[#This Row],[What is your current CGPA?]]&gt;=3.5,"High",IF(Table1[[#This Row],[What is your current CGPA?]]&gt;=2.5,"Medium","Low"))</f>
        <v>High</v>
      </c>
      <c r="AG992" t="str">
        <f>IF(AND(Table1[[#This Row],[Average attendance on class]]&lt;75,Table1[[#This Row],[How many hour do you study daily?]]&lt;1),"At Risk","Normal")</f>
        <v>Normal</v>
      </c>
      <c r="AH992">
        <f>(Table1[[#This Row],[Average attendance on class]]*0.4)+(Table1[[#This Row],[How many hour do you study daily?]]*10*0.3)+(Table1[[#This Row],[How many hour do you spent daily on your skill development?]]*10*0.3)</f>
        <v>67</v>
      </c>
    </row>
    <row r="993" spans="1:34" x14ac:dyDescent="0.25">
      <c r="A993">
        <v>2021</v>
      </c>
      <c r="B993" t="s">
        <v>34</v>
      </c>
      <c r="C993">
        <v>20</v>
      </c>
      <c r="D993">
        <v>2020</v>
      </c>
      <c r="E993" t="s">
        <v>35</v>
      </c>
      <c r="F993">
        <v>6</v>
      </c>
      <c r="G993" t="s">
        <v>37</v>
      </c>
      <c r="H993" t="s">
        <v>37</v>
      </c>
      <c r="I993">
        <v>6</v>
      </c>
      <c r="J993">
        <v>3</v>
      </c>
      <c r="K993" t="s">
        <v>44</v>
      </c>
      <c r="L993" t="s">
        <v>36</v>
      </c>
      <c r="M993" t="s">
        <v>37</v>
      </c>
      <c r="N993">
        <v>3</v>
      </c>
      <c r="O993" t="s">
        <v>53</v>
      </c>
      <c r="P993">
        <v>100</v>
      </c>
      <c r="Q993" t="s">
        <v>37</v>
      </c>
      <c r="R993" t="s">
        <v>37</v>
      </c>
      <c r="S993" t="s">
        <v>37</v>
      </c>
      <c r="T993" t="s">
        <v>51</v>
      </c>
      <c r="U993">
        <v>1</v>
      </c>
      <c r="V993" t="s">
        <v>41</v>
      </c>
      <c r="W993" t="s">
        <v>42</v>
      </c>
      <c r="X993" t="s">
        <v>36</v>
      </c>
      <c r="Y993" t="s">
        <v>43</v>
      </c>
      <c r="Z993" t="s">
        <v>37</v>
      </c>
      <c r="AA993">
        <v>2.76</v>
      </c>
      <c r="AB993" t="s">
        <v>37</v>
      </c>
      <c r="AC993">
        <v>3.77</v>
      </c>
      <c r="AD993">
        <v>97</v>
      </c>
      <c r="AE993">
        <v>78000</v>
      </c>
      <c r="AF993" t="str">
        <f>IF(Table1[[#This Row],[What is your current CGPA?]]&gt;=3.5,"High",IF(Table1[[#This Row],[What is your current CGPA?]]&gt;=2.5,"Medium","Low"))</f>
        <v>High</v>
      </c>
      <c r="AG993" t="str">
        <f>IF(AND(Table1[[#This Row],[Average attendance on class]]&lt;75,Table1[[#This Row],[How many hour do you study daily?]]&lt;1),"At Risk","Normal")</f>
        <v>Normal</v>
      </c>
      <c r="AH993">
        <f>(Table1[[#This Row],[Average attendance on class]]*0.4)+(Table1[[#This Row],[How many hour do you study daily?]]*10*0.3)+(Table1[[#This Row],[How many hour do you spent daily on your skill development?]]*10*0.3)</f>
        <v>61</v>
      </c>
    </row>
    <row r="994" spans="1:34" x14ac:dyDescent="0.25">
      <c r="A994">
        <v>2021</v>
      </c>
      <c r="B994" t="s">
        <v>34</v>
      </c>
      <c r="C994">
        <v>21</v>
      </c>
      <c r="D994">
        <v>2020</v>
      </c>
      <c r="E994" t="s">
        <v>35</v>
      </c>
      <c r="F994">
        <v>9</v>
      </c>
      <c r="G994" t="s">
        <v>37</v>
      </c>
      <c r="H994" t="s">
        <v>37</v>
      </c>
      <c r="I994">
        <v>2</v>
      </c>
      <c r="J994">
        <v>3</v>
      </c>
      <c r="K994" t="s">
        <v>38</v>
      </c>
      <c r="L994" t="s">
        <v>36</v>
      </c>
      <c r="M994" t="s">
        <v>36</v>
      </c>
      <c r="N994">
        <v>3</v>
      </c>
      <c r="O994" t="s">
        <v>39</v>
      </c>
      <c r="P994">
        <v>100</v>
      </c>
      <c r="Q994" t="s">
        <v>37</v>
      </c>
      <c r="R994" t="s">
        <v>37</v>
      </c>
      <c r="S994" t="s">
        <v>36</v>
      </c>
      <c r="T994" t="s">
        <v>40</v>
      </c>
      <c r="U994">
        <v>4</v>
      </c>
      <c r="V994" t="s">
        <v>40</v>
      </c>
      <c r="W994" t="s">
        <v>42</v>
      </c>
      <c r="X994" t="s">
        <v>36</v>
      </c>
      <c r="Y994" t="s">
        <v>43</v>
      </c>
      <c r="Z994" t="s">
        <v>37</v>
      </c>
      <c r="AA994">
        <v>2.76</v>
      </c>
      <c r="AB994" t="s">
        <v>37</v>
      </c>
      <c r="AC994">
        <v>3.8</v>
      </c>
      <c r="AD994">
        <v>124</v>
      </c>
      <c r="AE994">
        <v>78000</v>
      </c>
      <c r="AF994" t="str">
        <f>IF(Table1[[#This Row],[What is your current CGPA?]]&gt;=3.5,"High",IF(Table1[[#This Row],[What is your current CGPA?]]&gt;=2.5,"Medium","Low"))</f>
        <v>High</v>
      </c>
      <c r="AG994" t="str">
        <f>IF(AND(Table1[[#This Row],[Average attendance on class]]&lt;75,Table1[[#This Row],[How many hour do you study daily?]]&lt;1),"At Risk","Normal")</f>
        <v>Normal</v>
      </c>
      <c r="AH994">
        <f>(Table1[[#This Row],[Average attendance on class]]*0.4)+(Table1[[#This Row],[How many hour do you study daily?]]*10*0.3)+(Table1[[#This Row],[How many hour do you spent daily on your skill development?]]*10*0.3)</f>
        <v>58</v>
      </c>
    </row>
    <row r="995" spans="1:34" x14ac:dyDescent="0.25">
      <c r="A995">
        <v>2021</v>
      </c>
      <c r="B995" t="s">
        <v>34</v>
      </c>
      <c r="C995">
        <v>20</v>
      </c>
      <c r="D995">
        <v>2020</v>
      </c>
      <c r="E995" t="s">
        <v>35</v>
      </c>
      <c r="F995">
        <v>8</v>
      </c>
      <c r="G995" t="s">
        <v>37</v>
      </c>
      <c r="H995" t="s">
        <v>37</v>
      </c>
      <c r="I995">
        <v>3</v>
      </c>
      <c r="J995">
        <v>3</v>
      </c>
      <c r="K995" t="s">
        <v>38</v>
      </c>
      <c r="L995" t="s">
        <v>36</v>
      </c>
      <c r="M995" t="s">
        <v>37</v>
      </c>
      <c r="N995">
        <v>2</v>
      </c>
      <c r="O995" t="s">
        <v>39</v>
      </c>
      <c r="P995">
        <v>100</v>
      </c>
      <c r="Q995" t="s">
        <v>37</v>
      </c>
      <c r="R995" t="s">
        <v>37</v>
      </c>
      <c r="S995" t="s">
        <v>37</v>
      </c>
      <c r="T995" t="s">
        <v>61</v>
      </c>
      <c r="U995">
        <v>4</v>
      </c>
      <c r="V995" t="s">
        <v>41</v>
      </c>
      <c r="W995" t="s">
        <v>42</v>
      </c>
      <c r="X995" t="s">
        <v>37</v>
      </c>
      <c r="Y995" t="s">
        <v>43</v>
      </c>
      <c r="Z995" t="s">
        <v>37</v>
      </c>
      <c r="AA995">
        <v>2.61</v>
      </c>
      <c r="AB995" t="s">
        <v>37</v>
      </c>
      <c r="AC995">
        <v>3.7</v>
      </c>
      <c r="AD995">
        <v>98</v>
      </c>
      <c r="AE995">
        <v>79000</v>
      </c>
      <c r="AF995" t="str">
        <f>IF(Table1[[#This Row],[What is your current CGPA?]]&gt;=3.5,"High",IF(Table1[[#This Row],[What is your current CGPA?]]&gt;=2.5,"Medium","Low"))</f>
        <v>High</v>
      </c>
      <c r="AG995" t="str">
        <f>IF(AND(Table1[[#This Row],[Average attendance on class]]&lt;75,Table1[[#This Row],[How many hour do you study daily?]]&lt;1),"At Risk","Normal")</f>
        <v>Normal</v>
      </c>
      <c r="AH995">
        <f>(Table1[[#This Row],[Average attendance on class]]*0.4)+(Table1[[#This Row],[How many hour do you study daily?]]*10*0.3)+(Table1[[#This Row],[How many hour do you spent daily on your skill development?]]*10*0.3)</f>
        <v>61</v>
      </c>
    </row>
    <row r="996" spans="1:34" x14ac:dyDescent="0.25">
      <c r="A996">
        <v>2020</v>
      </c>
      <c r="B996" t="s">
        <v>48</v>
      </c>
      <c r="C996">
        <v>20</v>
      </c>
      <c r="D996">
        <v>2020</v>
      </c>
      <c r="E996" t="s">
        <v>35</v>
      </c>
      <c r="F996">
        <v>11</v>
      </c>
      <c r="G996" t="s">
        <v>36</v>
      </c>
      <c r="H996" t="s">
        <v>37</v>
      </c>
      <c r="I996">
        <v>1</v>
      </c>
      <c r="J996">
        <v>3</v>
      </c>
      <c r="K996" t="s">
        <v>38</v>
      </c>
      <c r="L996" t="s">
        <v>36</v>
      </c>
      <c r="M996" t="s">
        <v>36</v>
      </c>
      <c r="N996">
        <v>3</v>
      </c>
      <c r="O996" t="s">
        <v>45</v>
      </c>
      <c r="P996">
        <v>100</v>
      </c>
      <c r="Q996" t="s">
        <v>37</v>
      </c>
      <c r="R996" t="s">
        <v>37</v>
      </c>
      <c r="S996" t="s">
        <v>37</v>
      </c>
      <c r="T996" t="s">
        <v>40</v>
      </c>
      <c r="U996">
        <v>4</v>
      </c>
      <c r="V996" t="s">
        <v>62</v>
      </c>
      <c r="W996" t="s">
        <v>50</v>
      </c>
      <c r="X996" t="s">
        <v>37</v>
      </c>
      <c r="Y996" t="s">
        <v>47</v>
      </c>
      <c r="Z996" t="s">
        <v>37</v>
      </c>
      <c r="AA996">
        <v>2.75</v>
      </c>
      <c r="AB996" t="s">
        <v>37</v>
      </c>
      <c r="AC996">
        <v>3.86</v>
      </c>
      <c r="AD996">
        <v>143</v>
      </c>
      <c r="AE996">
        <v>79000</v>
      </c>
      <c r="AF996" t="str">
        <f>IF(Table1[[#This Row],[What is your current CGPA?]]&gt;=3.5,"High",IF(Table1[[#This Row],[What is your current CGPA?]]&gt;=2.5,"Medium","Low"))</f>
        <v>High</v>
      </c>
      <c r="AG996" t="str">
        <f>IF(AND(Table1[[#This Row],[Average attendance on class]]&lt;75,Table1[[#This Row],[How many hour do you study daily?]]&lt;1),"At Risk","Normal")</f>
        <v>Normal</v>
      </c>
      <c r="AH996">
        <f>(Table1[[#This Row],[Average attendance on class]]*0.4)+(Table1[[#This Row],[How many hour do you study daily?]]*10*0.3)+(Table1[[#This Row],[How many hour do you spent daily on your skill development?]]*10*0.3)</f>
        <v>55</v>
      </c>
    </row>
    <row r="997" spans="1:34" x14ac:dyDescent="0.25">
      <c r="A997">
        <v>2020</v>
      </c>
      <c r="B997" t="s">
        <v>34</v>
      </c>
      <c r="C997">
        <v>21</v>
      </c>
      <c r="D997">
        <v>2019</v>
      </c>
      <c r="E997" t="s">
        <v>35</v>
      </c>
      <c r="F997">
        <v>10</v>
      </c>
      <c r="G997" t="s">
        <v>36</v>
      </c>
      <c r="H997" t="s">
        <v>37</v>
      </c>
      <c r="I997">
        <v>2</v>
      </c>
      <c r="J997">
        <v>3</v>
      </c>
      <c r="K997" t="s">
        <v>38</v>
      </c>
      <c r="L997" t="s">
        <v>36</v>
      </c>
      <c r="M997" t="s">
        <v>36</v>
      </c>
      <c r="N997">
        <v>3</v>
      </c>
      <c r="O997" t="s">
        <v>45</v>
      </c>
      <c r="P997">
        <v>90</v>
      </c>
      <c r="Q997" t="s">
        <v>37</v>
      </c>
      <c r="R997" t="s">
        <v>36</v>
      </c>
      <c r="S997" t="s">
        <v>37</v>
      </c>
      <c r="T997" t="s">
        <v>40</v>
      </c>
      <c r="U997">
        <v>3</v>
      </c>
      <c r="V997" t="s">
        <v>41</v>
      </c>
      <c r="W997" t="s">
        <v>50</v>
      </c>
      <c r="X997" t="s">
        <v>36</v>
      </c>
      <c r="Y997" t="s">
        <v>47</v>
      </c>
      <c r="Z997" t="s">
        <v>37</v>
      </c>
      <c r="AA997">
        <v>1.98</v>
      </c>
      <c r="AB997" t="s">
        <v>37</v>
      </c>
      <c r="AC997">
        <v>3.11</v>
      </c>
      <c r="AD997">
        <v>125</v>
      </c>
      <c r="AE997">
        <v>80000</v>
      </c>
      <c r="AF997" t="str">
        <f>IF(Table1[[#This Row],[What is your current CGPA?]]&gt;=3.5,"High",IF(Table1[[#This Row],[What is your current CGPA?]]&gt;=2.5,"Medium","Low"))</f>
        <v>Medium</v>
      </c>
      <c r="AG997" t="str">
        <f>IF(AND(Table1[[#This Row],[Average attendance on class]]&lt;75,Table1[[#This Row],[How many hour do you study daily?]]&lt;1),"At Risk","Normal")</f>
        <v>Normal</v>
      </c>
      <c r="AH997">
        <f>(Table1[[#This Row],[Average attendance on class]]*0.4)+(Table1[[#This Row],[How many hour do you study daily?]]*10*0.3)+(Table1[[#This Row],[How many hour do you spent daily on your skill development?]]*10*0.3)</f>
        <v>51</v>
      </c>
    </row>
    <row r="998" spans="1:34" x14ac:dyDescent="0.25">
      <c r="A998">
        <v>2020</v>
      </c>
      <c r="B998" t="s">
        <v>34</v>
      </c>
      <c r="C998">
        <v>20</v>
      </c>
      <c r="D998">
        <v>2019</v>
      </c>
      <c r="E998" t="s">
        <v>35</v>
      </c>
      <c r="F998">
        <v>9</v>
      </c>
      <c r="G998" t="s">
        <v>36</v>
      </c>
      <c r="H998" t="s">
        <v>37</v>
      </c>
      <c r="I998">
        <v>6</v>
      </c>
      <c r="J998">
        <v>4</v>
      </c>
      <c r="K998" t="s">
        <v>38</v>
      </c>
      <c r="L998" t="s">
        <v>36</v>
      </c>
      <c r="M998" t="s">
        <v>36</v>
      </c>
      <c r="N998">
        <v>3</v>
      </c>
      <c r="O998" t="s">
        <v>53</v>
      </c>
      <c r="P998">
        <v>100</v>
      </c>
      <c r="Q998" t="s">
        <v>37</v>
      </c>
      <c r="R998" t="s">
        <v>37</v>
      </c>
      <c r="S998" t="s">
        <v>37</v>
      </c>
      <c r="T998" t="s">
        <v>40</v>
      </c>
      <c r="U998">
        <v>3</v>
      </c>
      <c r="V998" t="s">
        <v>62</v>
      </c>
      <c r="W998" t="s">
        <v>42</v>
      </c>
      <c r="X998" t="s">
        <v>37</v>
      </c>
      <c r="Y998" t="s">
        <v>47</v>
      </c>
      <c r="Z998" t="s">
        <v>37</v>
      </c>
      <c r="AA998">
        <v>2.77</v>
      </c>
      <c r="AB998" t="s">
        <v>37</v>
      </c>
      <c r="AC998">
        <v>3.87</v>
      </c>
      <c r="AD998">
        <v>125</v>
      </c>
      <c r="AE998">
        <v>80000</v>
      </c>
      <c r="AF998" t="str">
        <f>IF(Table1[[#This Row],[What is your current CGPA?]]&gt;=3.5,"High",IF(Table1[[#This Row],[What is your current CGPA?]]&gt;=2.5,"Medium","Low"))</f>
        <v>High</v>
      </c>
      <c r="AG998" t="str">
        <f>IF(AND(Table1[[#This Row],[Average attendance on class]]&lt;75,Table1[[#This Row],[How many hour do you study daily?]]&lt;1),"At Risk","Normal")</f>
        <v>Normal</v>
      </c>
      <c r="AH998">
        <f>(Table1[[#This Row],[Average attendance on class]]*0.4)+(Table1[[#This Row],[How many hour do you study daily?]]*10*0.3)+(Table1[[#This Row],[How many hour do you spent daily on your skill development?]]*10*0.3)</f>
        <v>67</v>
      </c>
    </row>
    <row r="999" spans="1:34" x14ac:dyDescent="0.25">
      <c r="A999">
        <v>2022</v>
      </c>
      <c r="B999" t="s">
        <v>34</v>
      </c>
      <c r="C999">
        <v>21</v>
      </c>
      <c r="D999">
        <v>2021</v>
      </c>
      <c r="E999" t="s">
        <v>35</v>
      </c>
      <c r="F999">
        <v>5</v>
      </c>
      <c r="G999" t="s">
        <v>37</v>
      </c>
      <c r="H999" t="s">
        <v>37</v>
      </c>
      <c r="I999">
        <v>2</v>
      </c>
      <c r="J999">
        <v>2</v>
      </c>
      <c r="K999" t="s">
        <v>38</v>
      </c>
      <c r="L999" t="s">
        <v>36</v>
      </c>
      <c r="M999" t="s">
        <v>36</v>
      </c>
      <c r="N999">
        <v>5</v>
      </c>
      <c r="O999" t="s">
        <v>39</v>
      </c>
      <c r="P999">
        <v>78</v>
      </c>
      <c r="Q999" t="s">
        <v>37</v>
      </c>
      <c r="R999" t="s">
        <v>37</v>
      </c>
      <c r="S999" t="s">
        <v>36</v>
      </c>
      <c r="T999" t="s">
        <v>49</v>
      </c>
      <c r="U999">
        <v>2</v>
      </c>
      <c r="V999" t="s">
        <v>59</v>
      </c>
      <c r="W999" t="s">
        <v>42</v>
      </c>
      <c r="X999" t="s">
        <v>36</v>
      </c>
      <c r="Y999" t="s">
        <v>47</v>
      </c>
      <c r="Z999" t="s">
        <v>37</v>
      </c>
      <c r="AA999">
        <v>1.79</v>
      </c>
      <c r="AB999" t="s">
        <v>37</v>
      </c>
      <c r="AC999">
        <v>2.82</v>
      </c>
      <c r="AD999">
        <v>71</v>
      </c>
      <c r="AE999">
        <v>80000</v>
      </c>
      <c r="AF999" t="str">
        <f>IF(Table1[[#This Row],[What is your current CGPA?]]&gt;=3.5,"High",IF(Table1[[#This Row],[What is your current CGPA?]]&gt;=2.5,"Medium","Low"))</f>
        <v>Medium</v>
      </c>
      <c r="AG999" t="str">
        <f>IF(AND(Table1[[#This Row],[Average attendance on class]]&lt;75,Table1[[#This Row],[How many hour do you study daily?]]&lt;1),"At Risk","Normal")</f>
        <v>Normal</v>
      </c>
      <c r="AH999">
        <f>(Table1[[#This Row],[Average attendance on class]]*0.4)+(Table1[[#This Row],[How many hour do you study daily?]]*10*0.3)+(Table1[[#This Row],[How many hour do you spent daily on your skill development?]]*10*0.3)</f>
        <v>43.2</v>
      </c>
    </row>
    <row r="1000" spans="1:34" x14ac:dyDescent="0.25">
      <c r="A1000">
        <v>2022</v>
      </c>
      <c r="B1000" t="s">
        <v>48</v>
      </c>
      <c r="C1000">
        <v>21</v>
      </c>
      <c r="D1000">
        <v>2021</v>
      </c>
      <c r="E1000" t="s">
        <v>35</v>
      </c>
      <c r="F1000">
        <v>6</v>
      </c>
      <c r="G1000" t="s">
        <v>37</v>
      </c>
      <c r="H1000" t="s">
        <v>37</v>
      </c>
      <c r="I1000">
        <v>3</v>
      </c>
      <c r="J1000">
        <v>2</v>
      </c>
      <c r="K1000" t="s">
        <v>44</v>
      </c>
      <c r="L1000" t="s">
        <v>36</v>
      </c>
      <c r="M1000" t="s">
        <v>36</v>
      </c>
      <c r="N1000">
        <v>2</v>
      </c>
      <c r="O1000" t="s">
        <v>39</v>
      </c>
      <c r="P1000">
        <v>100</v>
      </c>
      <c r="Q1000" t="s">
        <v>36</v>
      </c>
      <c r="R1000" t="s">
        <v>37</v>
      </c>
      <c r="S1000" t="s">
        <v>37</v>
      </c>
      <c r="T1000" t="s">
        <v>49</v>
      </c>
      <c r="U1000">
        <v>2</v>
      </c>
      <c r="V1000" t="s">
        <v>40</v>
      </c>
      <c r="W1000" t="s">
        <v>42</v>
      </c>
      <c r="X1000" t="s">
        <v>37</v>
      </c>
      <c r="Y1000" t="s">
        <v>43</v>
      </c>
      <c r="Z1000" t="s">
        <v>37</v>
      </c>
      <c r="AA1000">
        <v>1.88</v>
      </c>
      <c r="AB1000" t="s">
        <v>37</v>
      </c>
      <c r="AC1000">
        <v>2.91</v>
      </c>
      <c r="AD1000">
        <v>74</v>
      </c>
      <c r="AE1000">
        <v>80000</v>
      </c>
      <c r="AF1000" t="str">
        <f>IF(Table1[[#This Row],[What is your current CGPA?]]&gt;=3.5,"High",IF(Table1[[#This Row],[What is your current CGPA?]]&gt;=2.5,"Medium","Low"))</f>
        <v>Medium</v>
      </c>
      <c r="AG1000" t="str">
        <f>IF(AND(Table1[[#This Row],[Average attendance on class]]&lt;75,Table1[[#This Row],[How many hour do you study daily?]]&lt;1),"At Risk","Normal")</f>
        <v>Normal</v>
      </c>
      <c r="AH1000">
        <f>(Table1[[#This Row],[Average attendance on class]]*0.4)+(Table1[[#This Row],[How many hour do you study daily?]]*10*0.3)+(Table1[[#This Row],[How many hour do you spent daily on your skill development?]]*10*0.3)</f>
        <v>55</v>
      </c>
    </row>
    <row r="1001" spans="1:34" x14ac:dyDescent="0.25">
      <c r="A1001">
        <v>2020</v>
      </c>
      <c r="B1001" t="s">
        <v>34</v>
      </c>
      <c r="C1001">
        <v>21</v>
      </c>
      <c r="D1001">
        <v>2020</v>
      </c>
      <c r="E1001" t="s">
        <v>35</v>
      </c>
      <c r="F1001">
        <v>8</v>
      </c>
      <c r="G1001" t="s">
        <v>37</v>
      </c>
      <c r="H1001" t="s">
        <v>37</v>
      </c>
      <c r="I1001">
        <v>3</v>
      </c>
      <c r="J1001">
        <v>1</v>
      </c>
      <c r="K1001" t="s">
        <v>44</v>
      </c>
      <c r="L1001" t="s">
        <v>36</v>
      </c>
      <c r="M1001" t="s">
        <v>36</v>
      </c>
      <c r="N1001">
        <v>7</v>
      </c>
      <c r="O1001" t="s">
        <v>39</v>
      </c>
      <c r="P1001">
        <v>71</v>
      </c>
      <c r="Q1001" t="s">
        <v>37</v>
      </c>
      <c r="R1001" t="s">
        <v>37</v>
      </c>
      <c r="S1001" t="s">
        <v>37</v>
      </c>
      <c r="T1001" t="s">
        <v>52</v>
      </c>
      <c r="U1001">
        <v>1</v>
      </c>
      <c r="V1001" t="s">
        <v>40</v>
      </c>
      <c r="W1001" t="s">
        <v>50</v>
      </c>
      <c r="X1001" t="s">
        <v>36</v>
      </c>
      <c r="Y1001" t="s">
        <v>43</v>
      </c>
      <c r="Z1001" t="s">
        <v>36</v>
      </c>
      <c r="AA1001">
        <v>2.38</v>
      </c>
      <c r="AB1001" t="s">
        <v>37</v>
      </c>
      <c r="AC1001">
        <v>3.49</v>
      </c>
      <c r="AD1001">
        <v>109</v>
      </c>
      <c r="AE1001">
        <v>81000</v>
      </c>
      <c r="AF1001" t="str">
        <f>IF(Table1[[#This Row],[What is your current CGPA?]]&gt;=3.5,"High",IF(Table1[[#This Row],[What is your current CGPA?]]&gt;=2.5,"Medium","Low"))</f>
        <v>Medium</v>
      </c>
      <c r="AG1001" t="str">
        <f>IF(AND(Table1[[#This Row],[Average attendance on class]]&lt;75,Table1[[#This Row],[How many hour do you study daily?]]&lt;1),"At Risk","Normal")</f>
        <v>Normal</v>
      </c>
      <c r="AH1001">
        <f>(Table1[[#This Row],[Average attendance on class]]*0.4)+(Table1[[#This Row],[How many hour do you study daily?]]*10*0.3)+(Table1[[#This Row],[How many hour do you spent daily on your skill development?]]*10*0.3)</f>
        <v>40.400000000000006</v>
      </c>
    </row>
    <row r="1002" spans="1:34" x14ac:dyDescent="0.25">
      <c r="A1002">
        <v>2021</v>
      </c>
      <c r="B1002" t="s">
        <v>34</v>
      </c>
      <c r="C1002">
        <v>20</v>
      </c>
      <c r="D1002">
        <v>2020</v>
      </c>
      <c r="E1002" t="s">
        <v>35</v>
      </c>
      <c r="F1002">
        <v>9</v>
      </c>
      <c r="G1002" t="s">
        <v>37</v>
      </c>
      <c r="H1002" t="s">
        <v>37</v>
      </c>
      <c r="I1002">
        <v>4</v>
      </c>
      <c r="J1002">
        <v>2</v>
      </c>
      <c r="K1002" t="s">
        <v>44</v>
      </c>
      <c r="L1002" t="s">
        <v>36</v>
      </c>
      <c r="M1002" t="s">
        <v>36</v>
      </c>
      <c r="N1002">
        <v>5</v>
      </c>
      <c r="O1002" t="s">
        <v>39</v>
      </c>
      <c r="P1002">
        <v>100</v>
      </c>
      <c r="Q1002" t="s">
        <v>37</v>
      </c>
      <c r="R1002" t="s">
        <v>37</v>
      </c>
      <c r="S1002" t="s">
        <v>36</v>
      </c>
      <c r="T1002" t="s">
        <v>40</v>
      </c>
      <c r="U1002">
        <v>1</v>
      </c>
      <c r="V1002" t="s">
        <v>40</v>
      </c>
      <c r="W1002" t="s">
        <v>50</v>
      </c>
      <c r="X1002" t="s">
        <v>37</v>
      </c>
      <c r="Y1002" t="s">
        <v>43</v>
      </c>
      <c r="Z1002" t="s">
        <v>37</v>
      </c>
      <c r="AA1002">
        <v>2.08</v>
      </c>
      <c r="AB1002" t="s">
        <v>37</v>
      </c>
      <c r="AC1002">
        <v>3.21</v>
      </c>
      <c r="AD1002">
        <v>113</v>
      </c>
      <c r="AE1002">
        <v>83000</v>
      </c>
      <c r="AF1002" t="str">
        <f>IF(Table1[[#This Row],[What is your current CGPA?]]&gt;=3.5,"High",IF(Table1[[#This Row],[What is your current CGPA?]]&gt;=2.5,"Medium","Low"))</f>
        <v>Medium</v>
      </c>
      <c r="AG1002" t="str">
        <f>IF(AND(Table1[[#This Row],[Average attendance on class]]&lt;75,Table1[[#This Row],[How many hour do you study daily?]]&lt;1),"At Risk","Normal")</f>
        <v>Normal</v>
      </c>
      <c r="AH1002">
        <f>(Table1[[#This Row],[Average attendance on class]]*0.4)+(Table1[[#This Row],[How many hour do you study daily?]]*10*0.3)+(Table1[[#This Row],[How many hour do you spent daily on your skill development?]]*10*0.3)</f>
        <v>55</v>
      </c>
    </row>
    <row r="1003" spans="1:34" x14ac:dyDescent="0.25">
      <c r="A1003">
        <v>2022</v>
      </c>
      <c r="B1003" t="s">
        <v>48</v>
      </c>
      <c r="C1003">
        <v>21</v>
      </c>
      <c r="D1003">
        <v>2021</v>
      </c>
      <c r="E1003" t="s">
        <v>35</v>
      </c>
      <c r="F1003">
        <v>4</v>
      </c>
      <c r="G1003" t="s">
        <v>37</v>
      </c>
      <c r="H1003" t="s">
        <v>37</v>
      </c>
      <c r="I1003">
        <v>5</v>
      </c>
      <c r="J1003">
        <v>2</v>
      </c>
      <c r="K1003" t="s">
        <v>44</v>
      </c>
      <c r="L1003" t="s">
        <v>36</v>
      </c>
      <c r="M1003" t="s">
        <v>36</v>
      </c>
      <c r="N1003">
        <v>7</v>
      </c>
      <c r="O1003" t="s">
        <v>39</v>
      </c>
      <c r="P1003">
        <v>70</v>
      </c>
      <c r="Q1003" t="s">
        <v>37</v>
      </c>
      <c r="R1003" t="s">
        <v>37</v>
      </c>
      <c r="S1003" t="s">
        <v>37</v>
      </c>
      <c r="T1003" t="s">
        <v>40</v>
      </c>
      <c r="U1003">
        <v>1</v>
      </c>
      <c r="V1003" t="s">
        <v>59</v>
      </c>
      <c r="W1003" t="s">
        <v>50</v>
      </c>
      <c r="X1003" t="s">
        <v>37</v>
      </c>
      <c r="Y1003" t="s">
        <v>47</v>
      </c>
      <c r="Z1003" t="s">
        <v>37</v>
      </c>
      <c r="AA1003">
        <v>1.89</v>
      </c>
      <c r="AB1003" t="s">
        <v>37</v>
      </c>
      <c r="AC1003">
        <v>3.4</v>
      </c>
      <c r="AD1003">
        <v>56</v>
      </c>
      <c r="AE1003">
        <v>86000</v>
      </c>
      <c r="AF1003" t="str">
        <f>IF(Table1[[#This Row],[What is your current CGPA?]]&gt;=3.5,"High",IF(Table1[[#This Row],[What is your current CGPA?]]&gt;=2.5,"Medium","Low"))</f>
        <v>Medium</v>
      </c>
      <c r="AG1003" t="str">
        <f>IF(AND(Table1[[#This Row],[Average attendance on class]]&lt;75,Table1[[#This Row],[How many hour do you study daily?]]&lt;1),"At Risk","Normal")</f>
        <v>Normal</v>
      </c>
      <c r="AH1003">
        <f>(Table1[[#This Row],[Average attendance on class]]*0.4)+(Table1[[#This Row],[How many hour do you study daily?]]*10*0.3)+(Table1[[#This Row],[How many hour do you spent daily on your skill development?]]*10*0.3)</f>
        <v>46</v>
      </c>
    </row>
    <row r="1004" spans="1:34" x14ac:dyDescent="0.25">
      <c r="A1004">
        <v>2021</v>
      </c>
      <c r="B1004" t="s">
        <v>34</v>
      </c>
      <c r="C1004">
        <v>20</v>
      </c>
      <c r="D1004">
        <v>2019</v>
      </c>
      <c r="E1004" t="s">
        <v>35</v>
      </c>
      <c r="F1004">
        <v>6</v>
      </c>
      <c r="G1004" t="s">
        <v>37</v>
      </c>
      <c r="H1004" t="s">
        <v>37</v>
      </c>
      <c r="I1004">
        <v>2</v>
      </c>
      <c r="J1004">
        <v>1</v>
      </c>
      <c r="K1004" t="s">
        <v>44</v>
      </c>
      <c r="L1004" t="s">
        <v>36</v>
      </c>
      <c r="M1004" t="s">
        <v>36</v>
      </c>
      <c r="N1004">
        <v>5</v>
      </c>
      <c r="O1004" t="s">
        <v>53</v>
      </c>
      <c r="P1004">
        <v>31</v>
      </c>
      <c r="Q1004" t="s">
        <v>36</v>
      </c>
      <c r="R1004" t="s">
        <v>36</v>
      </c>
      <c r="S1004" t="s">
        <v>36</v>
      </c>
      <c r="T1004" t="s">
        <v>40</v>
      </c>
      <c r="U1004">
        <v>1</v>
      </c>
      <c r="V1004" t="s">
        <v>40</v>
      </c>
      <c r="W1004" t="s">
        <v>56</v>
      </c>
      <c r="X1004" t="s">
        <v>36</v>
      </c>
      <c r="Y1004" t="s">
        <v>47</v>
      </c>
      <c r="Z1004" t="s">
        <v>37</v>
      </c>
      <c r="AA1004">
        <v>1.21</v>
      </c>
      <c r="AB1004" t="s">
        <v>37</v>
      </c>
      <c r="AC1004">
        <v>2.4700000000000002</v>
      </c>
      <c r="AD1004">
        <v>139</v>
      </c>
      <c r="AE1004">
        <v>87000</v>
      </c>
      <c r="AF1004" t="str">
        <f>IF(Table1[[#This Row],[What is your current CGPA?]]&gt;=3.5,"High",IF(Table1[[#This Row],[What is your current CGPA?]]&gt;=2.5,"Medium","Low"))</f>
        <v>Low</v>
      </c>
      <c r="AG1004" t="str">
        <f>IF(AND(Table1[[#This Row],[Average attendance on class]]&lt;75,Table1[[#This Row],[How many hour do you study daily?]]&lt;1),"At Risk","Normal")</f>
        <v>Normal</v>
      </c>
      <c r="AH1004">
        <f>(Table1[[#This Row],[Average attendance on class]]*0.4)+(Table1[[#This Row],[How many hour do you study daily?]]*10*0.3)+(Table1[[#This Row],[How many hour do you spent daily on your skill development?]]*10*0.3)</f>
        <v>21.4</v>
      </c>
    </row>
    <row r="1005" spans="1:34" x14ac:dyDescent="0.25">
      <c r="A1005">
        <v>2020</v>
      </c>
      <c r="B1005" t="s">
        <v>34</v>
      </c>
      <c r="C1005">
        <v>20</v>
      </c>
      <c r="D1005">
        <v>2019</v>
      </c>
      <c r="E1005" t="s">
        <v>35</v>
      </c>
      <c r="F1005">
        <v>8</v>
      </c>
      <c r="G1005" t="s">
        <v>37</v>
      </c>
      <c r="H1005" t="s">
        <v>37</v>
      </c>
      <c r="I1005">
        <v>3</v>
      </c>
      <c r="J1005">
        <v>2</v>
      </c>
      <c r="K1005" t="s">
        <v>38</v>
      </c>
      <c r="L1005" t="s">
        <v>36</v>
      </c>
      <c r="M1005" t="s">
        <v>36</v>
      </c>
      <c r="N1005">
        <v>6</v>
      </c>
      <c r="O1005" t="s">
        <v>39</v>
      </c>
      <c r="P1005">
        <v>60</v>
      </c>
      <c r="Q1005" t="s">
        <v>37</v>
      </c>
      <c r="R1005" t="s">
        <v>37</v>
      </c>
      <c r="S1005" t="s">
        <v>36</v>
      </c>
      <c r="T1005" t="s">
        <v>52</v>
      </c>
      <c r="U1005">
        <v>2</v>
      </c>
      <c r="V1005" t="s">
        <v>40</v>
      </c>
      <c r="W1005" t="s">
        <v>42</v>
      </c>
      <c r="X1005" t="s">
        <v>36</v>
      </c>
      <c r="Y1005" t="s">
        <v>43</v>
      </c>
      <c r="Z1005" t="s">
        <v>37</v>
      </c>
      <c r="AA1005">
        <v>1.81</v>
      </c>
      <c r="AB1005" t="s">
        <v>37</v>
      </c>
      <c r="AC1005">
        <v>2.86</v>
      </c>
      <c r="AD1005">
        <v>117</v>
      </c>
      <c r="AE1005">
        <v>87000</v>
      </c>
      <c r="AF1005" t="str">
        <f>IF(Table1[[#This Row],[What is your current CGPA?]]&gt;=3.5,"High",IF(Table1[[#This Row],[What is your current CGPA?]]&gt;=2.5,"Medium","Low"))</f>
        <v>Medium</v>
      </c>
      <c r="AG1005" t="str">
        <f>IF(AND(Table1[[#This Row],[Average attendance on class]]&lt;75,Table1[[#This Row],[How many hour do you study daily?]]&lt;1),"At Risk","Normal")</f>
        <v>Normal</v>
      </c>
      <c r="AH1005">
        <f>(Table1[[#This Row],[Average attendance on class]]*0.4)+(Table1[[#This Row],[How many hour do you study daily?]]*10*0.3)+(Table1[[#This Row],[How many hour do you spent daily on your skill development?]]*10*0.3)</f>
        <v>39</v>
      </c>
    </row>
    <row r="1006" spans="1:34" x14ac:dyDescent="0.25">
      <c r="A1006">
        <v>2022</v>
      </c>
      <c r="B1006" t="s">
        <v>34</v>
      </c>
      <c r="C1006">
        <v>20</v>
      </c>
      <c r="D1006">
        <v>2021</v>
      </c>
      <c r="E1006" t="s">
        <v>35</v>
      </c>
      <c r="F1006">
        <v>8</v>
      </c>
      <c r="G1006" t="s">
        <v>37</v>
      </c>
      <c r="H1006" t="s">
        <v>37</v>
      </c>
      <c r="I1006">
        <v>5</v>
      </c>
      <c r="J1006">
        <v>3</v>
      </c>
      <c r="K1006" t="s">
        <v>38</v>
      </c>
      <c r="L1006" t="s">
        <v>36</v>
      </c>
      <c r="M1006" t="s">
        <v>36</v>
      </c>
      <c r="N1006">
        <v>8</v>
      </c>
      <c r="O1006" t="s">
        <v>53</v>
      </c>
      <c r="P1006">
        <v>100</v>
      </c>
      <c r="Q1006" t="s">
        <v>37</v>
      </c>
      <c r="R1006" t="s">
        <v>37</v>
      </c>
      <c r="S1006" t="s">
        <v>36</v>
      </c>
      <c r="T1006" t="s">
        <v>40</v>
      </c>
      <c r="U1006">
        <v>3</v>
      </c>
      <c r="V1006" t="s">
        <v>62</v>
      </c>
      <c r="W1006" t="s">
        <v>42</v>
      </c>
      <c r="X1006" t="s">
        <v>36</v>
      </c>
      <c r="Y1006" t="s">
        <v>43</v>
      </c>
      <c r="Z1006" t="s">
        <v>36</v>
      </c>
      <c r="AA1006">
        <v>2.4500000000000002</v>
      </c>
      <c r="AB1006" t="s">
        <v>37</v>
      </c>
      <c r="AC1006">
        <v>3.68</v>
      </c>
      <c r="AD1006">
        <v>124</v>
      </c>
      <c r="AE1006">
        <v>87000</v>
      </c>
      <c r="AF1006" t="str">
        <f>IF(Table1[[#This Row],[What is your current CGPA?]]&gt;=3.5,"High",IF(Table1[[#This Row],[What is your current CGPA?]]&gt;=2.5,"Medium","Low"))</f>
        <v>High</v>
      </c>
      <c r="AG1006" t="str">
        <f>IF(AND(Table1[[#This Row],[Average attendance on class]]&lt;75,Table1[[#This Row],[How many hour do you study daily?]]&lt;1),"At Risk","Normal")</f>
        <v>Normal</v>
      </c>
      <c r="AH1006">
        <f>(Table1[[#This Row],[Average attendance on class]]*0.4)+(Table1[[#This Row],[How many hour do you study daily?]]*10*0.3)+(Table1[[#This Row],[How many hour do you spent daily on your skill development?]]*10*0.3)</f>
        <v>64</v>
      </c>
    </row>
    <row r="1007" spans="1:34" x14ac:dyDescent="0.25">
      <c r="A1007">
        <v>2018</v>
      </c>
      <c r="B1007" t="s">
        <v>34</v>
      </c>
      <c r="C1007">
        <v>25</v>
      </c>
      <c r="D1007">
        <v>2018</v>
      </c>
      <c r="E1007" t="s">
        <v>35</v>
      </c>
      <c r="F1007">
        <v>11</v>
      </c>
      <c r="G1007" t="s">
        <v>37</v>
      </c>
      <c r="H1007" t="s">
        <v>37</v>
      </c>
      <c r="I1007">
        <v>2</v>
      </c>
      <c r="J1007">
        <v>2</v>
      </c>
      <c r="K1007" t="s">
        <v>38</v>
      </c>
      <c r="L1007" t="s">
        <v>36</v>
      </c>
      <c r="M1007" t="s">
        <v>36</v>
      </c>
      <c r="N1007">
        <v>2</v>
      </c>
      <c r="O1007" t="s">
        <v>39</v>
      </c>
      <c r="P1007">
        <v>100</v>
      </c>
      <c r="Q1007" t="s">
        <v>37</v>
      </c>
      <c r="R1007" t="s">
        <v>37</v>
      </c>
      <c r="S1007" t="s">
        <v>36</v>
      </c>
      <c r="T1007" t="s">
        <v>40</v>
      </c>
      <c r="U1007">
        <v>2</v>
      </c>
      <c r="V1007" t="s">
        <v>40</v>
      </c>
      <c r="W1007" t="s">
        <v>56</v>
      </c>
      <c r="X1007" t="s">
        <v>36</v>
      </c>
      <c r="Y1007" t="s">
        <v>47</v>
      </c>
      <c r="Z1007" t="s">
        <v>37</v>
      </c>
      <c r="AA1007">
        <v>1.56</v>
      </c>
      <c r="AB1007" t="s">
        <v>37</v>
      </c>
      <c r="AC1007">
        <v>2.66</v>
      </c>
      <c r="AD1007">
        <v>143</v>
      </c>
      <c r="AE1007">
        <v>88000</v>
      </c>
      <c r="AF1007" t="str">
        <f>IF(Table1[[#This Row],[What is your current CGPA?]]&gt;=3.5,"High",IF(Table1[[#This Row],[What is your current CGPA?]]&gt;=2.5,"Medium","Low"))</f>
        <v>Medium</v>
      </c>
      <c r="AG1007" t="str">
        <f>IF(AND(Table1[[#This Row],[Average attendance on class]]&lt;75,Table1[[#This Row],[How many hour do you study daily?]]&lt;1),"At Risk","Normal")</f>
        <v>Normal</v>
      </c>
      <c r="AH1007">
        <f>(Table1[[#This Row],[Average attendance on class]]*0.4)+(Table1[[#This Row],[How many hour do you study daily?]]*10*0.3)+(Table1[[#This Row],[How many hour do you spent daily on your skill development?]]*10*0.3)</f>
        <v>52</v>
      </c>
    </row>
    <row r="1008" spans="1:34" x14ac:dyDescent="0.25">
      <c r="A1008">
        <v>2020</v>
      </c>
      <c r="B1008" t="s">
        <v>48</v>
      </c>
      <c r="C1008">
        <v>25</v>
      </c>
      <c r="D1008">
        <v>2019</v>
      </c>
      <c r="E1008" t="s">
        <v>35</v>
      </c>
      <c r="F1008">
        <v>11</v>
      </c>
      <c r="G1008" t="s">
        <v>37</v>
      </c>
      <c r="H1008" t="s">
        <v>37</v>
      </c>
      <c r="I1008">
        <v>3</v>
      </c>
      <c r="J1008">
        <v>1</v>
      </c>
      <c r="K1008" t="s">
        <v>38</v>
      </c>
      <c r="L1008" t="s">
        <v>36</v>
      </c>
      <c r="M1008" t="s">
        <v>36</v>
      </c>
      <c r="N1008">
        <v>3</v>
      </c>
      <c r="O1008" t="s">
        <v>53</v>
      </c>
      <c r="P1008">
        <v>100</v>
      </c>
      <c r="Q1008" t="s">
        <v>36</v>
      </c>
      <c r="R1008" t="s">
        <v>37</v>
      </c>
      <c r="S1008" t="s">
        <v>37</v>
      </c>
      <c r="T1008" t="s">
        <v>40</v>
      </c>
      <c r="U1008">
        <v>2</v>
      </c>
      <c r="V1008" t="s">
        <v>40</v>
      </c>
      <c r="W1008" t="s">
        <v>42</v>
      </c>
      <c r="X1008" t="s">
        <v>36</v>
      </c>
      <c r="Y1008" t="s">
        <v>43</v>
      </c>
      <c r="Z1008" t="s">
        <v>37</v>
      </c>
      <c r="AA1008">
        <v>1.6</v>
      </c>
      <c r="AB1008" t="s">
        <v>37</v>
      </c>
      <c r="AC1008">
        <v>2.68</v>
      </c>
      <c r="AD1008">
        <v>143</v>
      </c>
      <c r="AE1008">
        <v>88000</v>
      </c>
      <c r="AF1008" t="str">
        <f>IF(Table1[[#This Row],[What is your current CGPA?]]&gt;=3.5,"High",IF(Table1[[#This Row],[What is your current CGPA?]]&gt;=2.5,"Medium","Low"))</f>
        <v>Medium</v>
      </c>
      <c r="AG1008" t="str">
        <f>IF(AND(Table1[[#This Row],[Average attendance on class]]&lt;75,Table1[[#This Row],[How many hour do you study daily?]]&lt;1),"At Risk","Normal")</f>
        <v>Normal</v>
      </c>
      <c r="AH1008">
        <f>(Table1[[#This Row],[Average attendance on class]]*0.4)+(Table1[[#This Row],[How many hour do you study daily?]]*10*0.3)+(Table1[[#This Row],[How many hour do you spent daily on your skill development?]]*10*0.3)</f>
        <v>55</v>
      </c>
    </row>
    <row r="1009" spans="1:34" x14ac:dyDescent="0.25">
      <c r="A1009">
        <v>2020</v>
      </c>
      <c r="B1009" t="s">
        <v>48</v>
      </c>
      <c r="C1009">
        <v>20</v>
      </c>
      <c r="D1009">
        <v>2020</v>
      </c>
      <c r="E1009" t="s">
        <v>35</v>
      </c>
      <c r="F1009">
        <v>11</v>
      </c>
      <c r="G1009" t="s">
        <v>37</v>
      </c>
      <c r="H1009" t="s">
        <v>37</v>
      </c>
      <c r="I1009">
        <v>2</v>
      </c>
      <c r="J1009">
        <v>2</v>
      </c>
      <c r="K1009" t="s">
        <v>44</v>
      </c>
      <c r="L1009" t="s">
        <v>36</v>
      </c>
      <c r="M1009" t="s">
        <v>36</v>
      </c>
      <c r="N1009">
        <v>3</v>
      </c>
      <c r="O1009" t="s">
        <v>53</v>
      </c>
      <c r="P1009">
        <v>56</v>
      </c>
      <c r="Q1009" t="s">
        <v>36</v>
      </c>
      <c r="R1009" t="s">
        <v>37</v>
      </c>
      <c r="S1009" t="s">
        <v>37</v>
      </c>
      <c r="T1009" t="s">
        <v>40</v>
      </c>
      <c r="U1009">
        <v>2</v>
      </c>
      <c r="V1009" t="s">
        <v>62</v>
      </c>
      <c r="W1009" t="s">
        <v>50</v>
      </c>
      <c r="X1009" t="s">
        <v>37</v>
      </c>
      <c r="Y1009" t="s">
        <v>43</v>
      </c>
      <c r="Z1009" t="s">
        <v>37</v>
      </c>
      <c r="AA1009">
        <v>1.81</v>
      </c>
      <c r="AB1009" t="s">
        <v>37</v>
      </c>
      <c r="AC1009">
        <v>2.89</v>
      </c>
      <c r="AD1009">
        <v>144</v>
      </c>
      <c r="AE1009">
        <v>88000</v>
      </c>
      <c r="AF1009" t="str">
        <f>IF(Table1[[#This Row],[What is your current CGPA?]]&gt;=3.5,"High",IF(Table1[[#This Row],[What is your current CGPA?]]&gt;=2.5,"Medium","Low"))</f>
        <v>Medium</v>
      </c>
      <c r="AG1009" t="str">
        <f>IF(AND(Table1[[#This Row],[Average attendance on class]]&lt;75,Table1[[#This Row],[How many hour do you study daily?]]&lt;1),"At Risk","Normal")</f>
        <v>Normal</v>
      </c>
      <c r="AH1009">
        <f>(Table1[[#This Row],[Average attendance on class]]*0.4)+(Table1[[#This Row],[How many hour do you study daily?]]*10*0.3)+(Table1[[#This Row],[How many hour do you spent daily on your skill development?]]*10*0.3)</f>
        <v>34.400000000000006</v>
      </c>
    </row>
    <row r="1010" spans="1:34" x14ac:dyDescent="0.25">
      <c r="A1010">
        <v>2021</v>
      </c>
      <c r="B1010" t="s">
        <v>48</v>
      </c>
      <c r="C1010">
        <v>20</v>
      </c>
      <c r="D1010">
        <v>2021</v>
      </c>
      <c r="E1010" t="s">
        <v>35</v>
      </c>
      <c r="F1010">
        <v>7</v>
      </c>
      <c r="G1010" t="s">
        <v>37</v>
      </c>
      <c r="H1010" t="s">
        <v>37</v>
      </c>
      <c r="I1010">
        <v>3</v>
      </c>
      <c r="J1010">
        <v>3</v>
      </c>
      <c r="K1010" t="s">
        <v>38</v>
      </c>
      <c r="L1010" t="s">
        <v>36</v>
      </c>
      <c r="M1010" t="s">
        <v>36</v>
      </c>
      <c r="N1010">
        <v>2</v>
      </c>
      <c r="O1010" t="s">
        <v>39</v>
      </c>
      <c r="P1010">
        <v>100</v>
      </c>
      <c r="Q1010" t="s">
        <v>36</v>
      </c>
      <c r="R1010" t="s">
        <v>37</v>
      </c>
      <c r="S1010" t="s">
        <v>36</v>
      </c>
      <c r="T1010" t="s">
        <v>49</v>
      </c>
      <c r="U1010">
        <v>5</v>
      </c>
      <c r="V1010" t="s">
        <v>40</v>
      </c>
      <c r="W1010" t="s">
        <v>56</v>
      </c>
      <c r="X1010" t="s">
        <v>37</v>
      </c>
      <c r="Y1010" t="s">
        <v>47</v>
      </c>
      <c r="Z1010" t="s">
        <v>37</v>
      </c>
      <c r="AA1010">
        <v>1.76</v>
      </c>
      <c r="AB1010" t="s">
        <v>37</v>
      </c>
      <c r="AC1010">
        <v>2.81</v>
      </c>
      <c r="AD1010">
        <v>96</v>
      </c>
      <c r="AE1010">
        <v>88000</v>
      </c>
      <c r="AF1010" t="str">
        <f>IF(Table1[[#This Row],[What is your current CGPA?]]&gt;=3.5,"High",IF(Table1[[#This Row],[What is your current CGPA?]]&gt;=2.5,"Medium","Low"))</f>
        <v>Medium</v>
      </c>
      <c r="AG1010" t="str">
        <f>IF(AND(Table1[[#This Row],[Average attendance on class]]&lt;75,Table1[[#This Row],[How many hour do you study daily?]]&lt;1),"At Risk","Normal")</f>
        <v>Normal</v>
      </c>
      <c r="AH1010">
        <f>(Table1[[#This Row],[Average attendance on class]]*0.4)+(Table1[[#This Row],[How many hour do you study daily?]]*10*0.3)+(Table1[[#This Row],[How many hour do you spent daily on your skill development?]]*10*0.3)</f>
        <v>64</v>
      </c>
    </row>
    <row r="1011" spans="1:34" x14ac:dyDescent="0.25">
      <c r="A1011">
        <v>2020</v>
      </c>
      <c r="B1011" t="s">
        <v>48</v>
      </c>
      <c r="C1011">
        <v>21</v>
      </c>
      <c r="D1011">
        <v>2020</v>
      </c>
      <c r="E1011" t="s">
        <v>35</v>
      </c>
      <c r="F1011">
        <v>10</v>
      </c>
      <c r="G1011" t="s">
        <v>37</v>
      </c>
      <c r="H1011" t="s">
        <v>37</v>
      </c>
      <c r="I1011">
        <v>2</v>
      </c>
      <c r="J1011">
        <v>1</v>
      </c>
      <c r="K1011" t="s">
        <v>38</v>
      </c>
      <c r="L1011" t="s">
        <v>36</v>
      </c>
      <c r="M1011" t="s">
        <v>36</v>
      </c>
      <c r="N1011">
        <v>2</v>
      </c>
      <c r="O1011" t="s">
        <v>45</v>
      </c>
      <c r="P1011">
        <v>86</v>
      </c>
      <c r="Q1011" t="s">
        <v>36</v>
      </c>
      <c r="R1011" t="s">
        <v>37</v>
      </c>
      <c r="S1011" t="s">
        <v>36</v>
      </c>
      <c r="T1011" t="s">
        <v>49</v>
      </c>
      <c r="U1011">
        <v>4</v>
      </c>
      <c r="V1011" t="s">
        <v>41</v>
      </c>
      <c r="W1011" t="s">
        <v>42</v>
      </c>
      <c r="X1011" t="s">
        <v>37</v>
      </c>
      <c r="Y1011" t="s">
        <v>43</v>
      </c>
      <c r="Z1011" t="s">
        <v>37</v>
      </c>
      <c r="AA1011">
        <v>1.57</v>
      </c>
      <c r="AB1011" t="s">
        <v>37</v>
      </c>
      <c r="AC1011">
        <v>2.65</v>
      </c>
      <c r="AD1011">
        <v>135</v>
      </c>
      <c r="AE1011">
        <v>89000</v>
      </c>
      <c r="AF1011" t="str">
        <f>IF(Table1[[#This Row],[What is your current CGPA?]]&gt;=3.5,"High",IF(Table1[[#This Row],[What is your current CGPA?]]&gt;=2.5,"Medium","Low"))</f>
        <v>Medium</v>
      </c>
      <c r="AG1011" t="str">
        <f>IF(AND(Table1[[#This Row],[Average attendance on class]]&lt;75,Table1[[#This Row],[How many hour do you study daily?]]&lt;1),"At Risk","Normal")</f>
        <v>Normal</v>
      </c>
      <c r="AH1011">
        <f>(Table1[[#This Row],[Average attendance on class]]*0.4)+(Table1[[#This Row],[How many hour do you study daily?]]*10*0.3)+(Table1[[#This Row],[How many hour do you spent daily on your skill development?]]*10*0.3)</f>
        <v>52.4</v>
      </c>
    </row>
    <row r="1012" spans="1:34" x14ac:dyDescent="0.25">
      <c r="A1012">
        <v>2020</v>
      </c>
      <c r="B1012" t="s">
        <v>34</v>
      </c>
      <c r="C1012">
        <v>24</v>
      </c>
      <c r="D1012">
        <v>2019</v>
      </c>
      <c r="E1012" t="s">
        <v>35</v>
      </c>
      <c r="F1012">
        <v>10</v>
      </c>
      <c r="G1012" t="s">
        <v>37</v>
      </c>
      <c r="H1012" t="s">
        <v>37</v>
      </c>
      <c r="I1012">
        <v>3</v>
      </c>
      <c r="J1012">
        <v>2</v>
      </c>
      <c r="K1012" t="s">
        <v>38</v>
      </c>
      <c r="L1012" t="s">
        <v>36</v>
      </c>
      <c r="M1012" t="s">
        <v>36</v>
      </c>
      <c r="N1012">
        <v>5</v>
      </c>
      <c r="O1012" t="s">
        <v>53</v>
      </c>
      <c r="P1012">
        <v>100</v>
      </c>
      <c r="Q1012" t="s">
        <v>37</v>
      </c>
      <c r="R1012" t="s">
        <v>37</v>
      </c>
      <c r="S1012" t="s">
        <v>37</v>
      </c>
      <c r="T1012" t="s">
        <v>51</v>
      </c>
      <c r="U1012">
        <v>2</v>
      </c>
      <c r="V1012" t="s">
        <v>59</v>
      </c>
      <c r="W1012" t="s">
        <v>42</v>
      </c>
      <c r="X1012" t="s">
        <v>36</v>
      </c>
      <c r="Y1012" t="s">
        <v>43</v>
      </c>
      <c r="Z1012" t="s">
        <v>37</v>
      </c>
      <c r="AA1012">
        <v>2.0499999999999998</v>
      </c>
      <c r="AB1012" t="s">
        <v>37</v>
      </c>
      <c r="AC1012">
        <v>3.45</v>
      </c>
      <c r="AD1012">
        <v>85</v>
      </c>
      <c r="AE1012">
        <v>90000</v>
      </c>
      <c r="AF1012" t="str">
        <f>IF(Table1[[#This Row],[What is your current CGPA?]]&gt;=3.5,"High",IF(Table1[[#This Row],[What is your current CGPA?]]&gt;=2.5,"Medium","Low"))</f>
        <v>Medium</v>
      </c>
      <c r="AG1012" t="str">
        <f>IF(AND(Table1[[#This Row],[Average attendance on class]]&lt;75,Table1[[#This Row],[How many hour do you study daily?]]&lt;1),"At Risk","Normal")</f>
        <v>Normal</v>
      </c>
      <c r="AH1012">
        <f>(Table1[[#This Row],[Average attendance on class]]*0.4)+(Table1[[#This Row],[How many hour do you study daily?]]*10*0.3)+(Table1[[#This Row],[How many hour do you spent daily on your skill development?]]*10*0.3)</f>
        <v>55</v>
      </c>
    </row>
    <row r="1013" spans="1:34" x14ac:dyDescent="0.25">
      <c r="A1013">
        <v>2021</v>
      </c>
      <c r="B1013" t="s">
        <v>34</v>
      </c>
      <c r="C1013">
        <v>20</v>
      </c>
      <c r="D1013">
        <v>2020</v>
      </c>
      <c r="E1013" t="s">
        <v>35</v>
      </c>
      <c r="F1013">
        <v>9</v>
      </c>
      <c r="G1013" t="s">
        <v>37</v>
      </c>
      <c r="H1013" t="s">
        <v>37</v>
      </c>
      <c r="I1013">
        <v>3</v>
      </c>
      <c r="J1013">
        <v>2</v>
      </c>
      <c r="K1013" t="s">
        <v>38</v>
      </c>
      <c r="L1013" t="s">
        <v>36</v>
      </c>
      <c r="M1013" t="s">
        <v>36</v>
      </c>
      <c r="N1013">
        <v>1</v>
      </c>
      <c r="O1013" t="s">
        <v>53</v>
      </c>
      <c r="P1013">
        <v>67</v>
      </c>
      <c r="Q1013" t="s">
        <v>36</v>
      </c>
      <c r="R1013" t="s">
        <v>37</v>
      </c>
      <c r="S1013" t="s">
        <v>37</v>
      </c>
      <c r="T1013" t="s">
        <v>40</v>
      </c>
      <c r="U1013">
        <v>2</v>
      </c>
      <c r="V1013" t="s">
        <v>62</v>
      </c>
      <c r="W1013" t="s">
        <v>42</v>
      </c>
      <c r="X1013" t="s">
        <v>37</v>
      </c>
      <c r="Y1013" t="s">
        <v>47</v>
      </c>
      <c r="Z1013" t="s">
        <v>37</v>
      </c>
      <c r="AA1013">
        <v>2.38</v>
      </c>
      <c r="AB1013" t="s">
        <v>37</v>
      </c>
      <c r="AC1013">
        <v>3.47</v>
      </c>
      <c r="AD1013">
        <v>130</v>
      </c>
      <c r="AE1013">
        <v>90000</v>
      </c>
      <c r="AF1013" t="str">
        <f>IF(Table1[[#This Row],[What is your current CGPA?]]&gt;=3.5,"High",IF(Table1[[#This Row],[What is your current CGPA?]]&gt;=2.5,"Medium","Low"))</f>
        <v>Medium</v>
      </c>
      <c r="AG1013" t="str">
        <f>IF(AND(Table1[[#This Row],[Average attendance on class]]&lt;75,Table1[[#This Row],[How many hour do you study daily?]]&lt;1),"At Risk","Normal")</f>
        <v>Normal</v>
      </c>
      <c r="AH1013">
        <f>(Table1[[#This Row],[Average attendance on class]]*0.4)+(Table1[[#This Row],[How many hour do you study daily?]]*10*0.3)+(Table1[[#This Row],[How many hour do you spent daily on your skill development?]]*10*0.3)</f>
        <v>41.8</v>
      </c>
    </row>
    <row r="1014" spans="1:34" x14ac:dyDescent="0.25">
      <c r="A1014">
        <v>2021</v>
      </c>
      <c r="B1014" t="s">
        <v>48</v>
      </c>
      <c r="C1014">
        <v>20</v>
      </c>
      <c r="D1014">
        <v>2020</v>
      </c>
      <c r="E1014" t="s">
        <v>35</v>
      </c>
      <c r="F1014">
        <v>8</v>
      </c>
      <c r="G1014" t="s">
        <v>37</v>
      </c>
      <c r="H1014" t="s">
        <v>37</v>
      </c>
      <c r="I1014">
        <v>2</v>
      </c>
      <c r="J1014">
        <v>2</v>
      </c>
      <c r="K1014" t="s">
        <v>38</v>
      </c>
      <c r="L1014" t="s">
        <v>36</v>
      </c>
      <c r="M1014" t="s">
        <v>37</v>
      </c>
      <c r="N1014">
        <v>2</v>
      </c>
      <c r="O1014" t="s">
        <v>53</v>
      </c>
      <c r="P1014">
        <v>100</v>
      </c>
      <c r="Q1014" t="s">
        <v>36</v>
      </c>
      <c r="R1014" t="s">
        <v>37</v>
      </c>
      <c r="S1014" t="s">
        <v>37</v>
      </c>
      <c r="T1014" t="s">
        <v>40</v>
      </c>
      <c r="U1014">
        <v>1</v>
      </c>
      <c r="V1014" t="s">
        <v>62</v>
      </c>
      <c r="W1014" t="s">
        <v>50</v>
      </c>
      <c r="X1014" t="s">
        <v>36</v>
      </c>
      <c r="Y1014" t="s">
        <v>47</v>
      </c>
      <c r="Z1014" t="s">
        <v>37</v>
      </c>
      <c r="AA1014">
        <v>2.67</v>
      </c>
      <c r="AB1014" t="s">
        <v>37</v>
      </c>
      <c r="AC1014">
        <v>3.73</v>
      </c>
      <c r="AD1014">
        <v>93</v>
      </c>
      <c r="AE1014">
        <v>90000</v>
      </c>
      <c r="AF1014" t="str">
        <f>IF(Table1[[#This Row],[What is your current CGPA?]]&gt;=3.5,"High",IF(Table1[[#This Row],[What is your current CGPA?]]&gt;=2.5,"Medium","Low"))</f>
        <v>High</v>
      </c>
      <c r="AG1014" t="str">
        <f>IF(AND(Table1[[#This Row],[Average attendance on class]]&lt;75,Table1[[#This Row],[How many hour do you study daily?]]&lt;1),"At Risk","Normal")</f>
        <v>Normal</v>
      </c>
      <c r="AH1014">
        <f>(Table1[[#This Row],[Average attendance on class]]*0.4)+(Table1[[#This Row],[How many hour do you study daily?]]*10*0.3)+(Table1[[#This Row],[How many hour do you spent daily on your skill development?]]*10*0.3)</f>
        <v>49</v>
      </c>
    </row>
    <row r="1015" spans="1:34" x14ac:dyDescent="0.25">
      <c r="A1015">
        <v>2022</v>
      </c>
      <c r="B1015" t="s">
        <v>34</v>
      </c>
      <c r="C1015">
        <v>22</v>
      </c>
      <c r="D1015">
        <v>2021</v>
      </c>
      <c r="E1015" t="s">
        <v>35</v>
      </c>
      <c r="F1015">
        <v>6</v>
      </c>
      <c r="G1015" t="s">
        <v>37</v>
      </c>
      <c r="H1015" t="s">
        <v>37</v>
      </c>
      <c r="I1015">
        <v>3</v>
      </c>
      <c r="J1015">
        <v>1</v>
      </c>
      <c r="K1015" t="s">
        <v>38</v>
      </c>
      <c r="L1015" t="s">
        <v>36</v>
      </c>
      <c r="M1015" t="s">
        <v>36</v>
      </c>
      <c r="N1015">
        <v>2</v>
      </c>
      <c r="O1015" t="s">
        <v>39</v>
      </c>
      <c r="P1015">
        <v>100</v>
      </c>
      <c r="Q1015" t="s">
        <v>37</v>
      </c>
      <c r="R1015" t="s">
        <v>37</v>
      </c>
      <c r="S1015" t="s">
        <v>36</v>
      </c>
      <c r="T1015" t="s">
        <v>40</v>
      </c>
      <c r="U1015">
        <v>2</v>
      </c>
      <c r="V1015" t="s">
        <v>40</v>
      </c>
      <c r="W1015" t="s">
        <v>42</v>
      </c>
      <c r="X1015" t="s">
        <v>37</v>
      </c>
      <c r="Y1015" t="s">
        <v>43</v>
      </c>
      <c r="Z1015" t="s">
        <v>37</v>
      </c>
      <c r="AA1015">
        <v>1.56</v>
      </c>
      <c r="AB1015" t="s">
        <v>37</v>
      </c>
      <c r="AC1015">
        <v>2.67</v>
      </c>
      <c r="AD1015">
        <v>71</v>
      </c>
      <c r="AE1015">
        <v>90000</v>
      </c>
      <c r="AF1015" t="str">
        <f>IF(Table1[[#This Row],[What is your current CGPA?]]&gt;=3.5,"High",IF(Table1[[#This Row],[What is your current CGPA?]]&gt;=2.5,"Medium","Low"))</f>
        <v>Medium</v>
      </c>
      <c r="AG1015" t="str">
        <f>IF(AND(Table1[[#This Row],[Average attendance on class]]&lt;75,Table1[[#This Row],[How many hour do you study daily?]]&lt;1),"At Risk","Normal")</f>
        <v>Normal</v>
      </c>
      <c r="AH1015">
        <f>(Table1[[#This Row],[Average attendance on class]]*0.4)+(Table1[[#This Row],[How many hour do you study daily?]]*10*0.3)+(Table1[[#This Row],[How many hour do you spent daily on your skill development?]]*10*0.3)</f>
        <v>55</v>
      </c>
    </row>
    <row r="1016" spans="1:34" x14ac:dyDescent="0.25">
      <c r="A1016">
        <v>2021</v>
      </c>
      <c r="B1016" t="s">
        <v>34</v>
      </c>
      <c r="C1016">
        <v>20</v>
      </c>
      <c r="D1016">
        <v>2020</v>
      </c>
      <c r="E1016" t="s">
        <v>35</v>
      </c>
      <c r="F1016">
        <v>9</v>
      </c>
      <c r="G1016" t="s">
        <v>37</v>
      </c>
      <c r="H1016" t="s">
        <v>37</v>
      </c>
      <c r="I1016">
        <v>2</v>
      </c>
      <c r="J1016">
        <v>2</v>
      </c>
      <c r="K1016" t="s">
        <v>38</v>
      </c>
      <c r="L1016" t="s">
        <v>36</v>
      </c>
      <c r="M1016" t="s">
        <v>36</v>
      </c>
      <c r="N1016">
        <v>3</v>
      </c>
      <c r="O1016" t="s">
        <v>53</v>
      </c>
      <c r="P1016">
        <v>100</v>
      </c>
      <c r="Q1016" t="s">
        <v>36</v>
      </c>
      <c r="R1016" t="s">
        <v>37</v>
      </c>
      <c r="S1016" t="s">
        <v>36</v>
      </c>
      <c r="T1016" t="s">
        <v>51</v>
      </c>
      <c r="U1016">
        <v>1</v>
      </c>
      <c r="V1016" t="s">
        <v>59</v>
      </c>
      <c r="W1016" t="s">
        <v>50</v>
      </c>
      <c r="X1016" t="s">
        <v>36</v>
      </c>
      <c r="Y1016" t="s">
        <v>47</v>
      </c>
      <c r="Z1016" t="s">
        <v>37</v>
      </c>
      <c r="AA1016">
        <v>1.91</v>
      </c>
      <c r="AB1016" t="s">
        <v>37</v>
      </c>
      <c r="AC1016">
        <v>2.96</v>
      </c>
      <c r="AD1016">
        <v>109</v>
      </c>
      <c r="AE1016">
        <v>94000</v>
      </c>
      <c r="AF1016" t="str">
        <f>IF(Table1[[#This Row],[What is your current CGPA?]]&gt;=3.5,"High",IF(Table1[[#This Row],[What is your current CGPA?]]&gt;=2.5,"Medium","Low"))</f>
        <v>Medium</v>
      </c>
      <c r="AG1016" t="str">
        <f>IF(AND(Table1[[#This Row],[Average attendance on class]]&lt;75,Table1[[#This Row],[How many hour do you study daily?]]&lt;1),"At Risk","Normal")</f>
        <v>Normal</v>
      </c>
      <c r="AH1016">
        <f>(Table1[[#This Row],[Average attendance on class]]*0.4)+(Table1[[#This Row],[How many hour do you study daily?]]*10*0.3)+(Table1[[#This Row],[How many hour do you spent daily on your skill development?]]*10*0.3)</f>
        <v>49</v>
      </c>
    </row>
    <row r="1017" spans="1:34" x14ac:dyDescent="0.25">
      <c r="A1017">
        <v>2020</v>
      </c>
      <c r="B1017" t="s">
        <v>34</v>
      </c>
      <c r="C1017">
        <v>24</v>
      </c>
      <c r="D1017">
        <v>2017</v>
      </c>
      <c r="E1017" t="s">
        <v>35</v>
      </c>
      <c r="F1017">
        <v>9</v>
      </c>
      <c r="G1017" t="s">
        <v>37</v>
      </c>
      <c r="H1017" t="s">
        <v>37</v>
      </c>
      <c r="I1017">
        <v>3</v>
      </c>
      <c r="J1017">
        <v>2</v>
      </c>
      <c r="K1017" t="s">
        <v>44</v>
      </c>
      <c r="L1017" t="s">
        <v>36</v>
      </c>
      <c r="M1017" t="s">
        <v>36</v>
      </c>
      <c r="N1017">
        <v>2</v>
      </c>
      <c r="O1017" t="s">
        <v>39</v>
      </c>
      <c r="P1017">
        <v>70</v>
      </c>
      <c r="Q1017" t="s">
        <v>36</v>
      </c>
      <c r="R1017" t="s">
        <v>37</v>
      </c>
      <c r="S1017" t="s">
        <v>37</v>
      </c>
      <c r="T1017" t="s">
        <v>51</v>
      </c>
      <c r="U1017">
        <v>2</v>
      </c>
      <c r="V1017" t="s">
        <v>62</v>
      </c>
      <c r="W1017" t="s">
        <v>50</v>
      </c>
      <c r="X1017" t="s">
        <v>36</v>
      </c>
      <c r="Y1017" t="s">
        <v>47</v>
      </c>
      <c r="Z1017" t="s">
        <v>36</v>
      </c>
      <c r="AA1017">
        <v>1.89</v>
      </c>
      <c r="AB1017" t="s">
        <v>37</v>
      </c>
      <c r="AC1017">
        <v>3.18</v>
      </c>
      <c r="AD1017">
        <v>113</v>
      </c>
      <c r="AE1017">
        <v>95000</v>
      </c>
      <c r="AF1017" t="str">
        <f>IF(Table1[[#This Row],[What is your current CGPA?]]&gt;=3.5,"High",IF(Table1[[#This Row],[What is your current CGPA?]]&gt;=2.5,"Medium","Low"))</f>
        <v>Medium</v>
      </c>
      <c r="AG1017" t="str">
        <f>IF(AND(Table1[[#This Row],[Average attendance on class]]&lt;75,Table1[[#This Row],[How many hour do you study daily?]]&lt;1),"At Risk","Normal")</f>
        <v>Normal</v>
      </c>
      <c r="AH1017">
        <f>(Table1[[#This Row],[Average attendance on class]]*0.4)+(Table1[[#This Row],[How many hour do you study daily?]]*10*0.3)+(Table1[[#This Row],[How many hour do you spent daily on your skill development?]]*10*0.3)</f>
        <v>43</v>
      </c>
    </row>
    <row r="1018" spans="1:34" x14ac:dyDescent="0.25">
      <c r="A1018">
        <v>2021</v>
      </c>
      <c r="B1018" t="s">
        <v>48</v>
      </c>
      <c r="C1018">
        <v>20</v>
      </c>
      <c r="D1018">
        <v>2019</v>
      </c>
      <c r="E1018" t="s">
        <v>35</v>
      </c>
      <c r="F1018">
        <v>7</v>
      </c>
      <c r="G1018" t="s">
        <v>37</v>
      </c>
      <c r="H1018" t="s">
        <v>37</v>
      </c>
      <c r="I1018">
        <v>4</v>
      </c>
      <c r="J1018">
        <v>2</v>
      </c>
      <c r="K1018" t="s">
        <v>38</v>
      </c>
      <c r="L1018" t="s">
        <v>36</v>
      </c>
      <c r="M1018" t="s">
        <v>36</v>
      </c>
      <c r="N1018">
        <v>6</v>
      </c>
      <c r="O1018" t="s">
        <v>53</v>
      </c>
      <c r="P1018">
        <v>100</v>
      </c>
      <c r="Q1018" t="s">
        <v>37</v>
      </c>
      <c r="R1018" t="s">
        <v>37</v>
      </c>
      <c r="S1018" t="s">
        <v>37</v>
      </c>
      <c r="T1018" t="s">
        <v>40</v>
      </c>
      <c r="U1018">
        <v>1</v>
      </c>
      <c r="V1018" t="s">
        <v>62</v>
      </c>
      <c r="W1018" t="s">
        <v>42</v>
      </c>
      <c r="X1018" t="s">
        <v>37</v>
      </c>
      <c r="Y1018" t="s">
        <v>47</v>
      </c>
      <c r="Z1018" t="s">
        <v>37</v>
      </c>
      <c r="AA1018">
        <v>2.76</v>
      </c>
      <c r="AB1018" t="s">
        <v>37</v>
      </c>
      <c r="AC1018">
        <v>3.88</v>
      </c>
      <c r="AD1018">
        <v>109</v>
      </c>
      <c r="AE1018">
        <v>95000</v>
      </c>
      <c r="AF1018" t="str">
        <f>IF(Table1[[#This Row],[What is your current CGPA?]]&gt;=3.5,"High",IF(Table1[[#This Row],[What is your current CGPA?]]&gt;=2.5,"Medium","Low"))</f>
        <v>High</v>
      </c>
      <c r="AG1018" t="str">
        <f>IF(AND(Table1[[#This Row],[Average attendance on class]]&lt;75,Table1[[#This Row],[How many hour do you study daily?]]&lt;1),"At Risk","Normal")</f>
        <v>Normal</v>
      </c>
      <c r="AH1018">
        <f>(Table1[[#This Row],[Average attendance on class]]*0.4)+(Table1[[#This Row],[How many hour do you study daily?]]*10*0.3)+(Table1[[#This Row],[How many hour do you spent daily on your skill development?]]*10*0.3)</f>
        <v>55</v>
      </c>
    </row>
    <row r="1019" spans="1:34" x14ac:dyDescent="0.25">
      <c r="A1019">
        <v>2020</v>
      </c>
      <c r="B1019" t="s">
        <v>48</v>
      </c>
      <c r="C1019">
        <v>23</v>
      </c>
      <c r="D1019">
        <v>2019</v>
      </c>
      <c r="E1019" t="s">
        <v>35</v>
      </c>
      <c r="F1019">
        <v>11</v>
      </c>
      <c r="G1019" t="s">
        <v>37</v>
      </c>
      <c r="H1019" t="s">
        <v>37</v>
      </c>
      <c r="I1019">
        <v>3</v>
      </c>
      <c r="J1019">
        <v>1</v>
      </c>
      <c r="K1019" t="s">
        <v>38</v>
      </c>
      <c r="L1019" t="s">
        <v>36</v>
      </c>
      <c r="M1019" t="s">
        <v>36</v>
      </c>
      <c r="N1019">
        <v>3</v>
      </c>
      <c r="O1019" t="s">
        <v>39</v>
      </c>
      <c r="P1019">
        <v>100</v>
      </c>
      <c r="Q1019" t="s">
        <v>36</v>
      </c>
      <c r="R1019" t="s">
        <v>37</v>
      </c>
      <c r="S1019" t="s">
        <v>37</v>
      </c>
      <c r="T1019" t="s">
        <v>40</v>
      </c>
      <c r="U1019">
        <v>2</v>
      </c>
      <c r="V1019" t="s">
        <v>40</v>
      </c>
      <c r="W1019" t="s">
        <v>50</v>
      </c>
      <c r="X1019" t="s">
        <v>36</v>
      </c>
      <c r="Y1019" t="s">
        <v>43</v>
      </c>
      <c r="Z1019" t="s">
        <v>37</v>
      </c>
      <c r="AA1019">
        <v>2.76</v>
      </c>
      <c r="AB1019" t="s">
        <v>37</v>
      </c>
      <c r="AC1019">
        <v>3.84</v>
      </c>
      <c r="AD1019">
        <v>144</v>
      </c>
      <c r="AE1019">
        <v>96000</v>
      </c>
      <c r="AF1019" t="str">
        <f>IF(Table1[[#This Row],[What is your current CGPA?]]&gt;=3.5,"High",IF(Table1[[#This Row],[What is your current CGPA?]]&gt;=2.5,"Medium","Low"))</f>
        <v>High</v>
      </c>
      <c r="AG1019" t="str">
        <f>IF(AND(Table1[[#This Row],[Average attendance on class]]&lt;75,Table1[[#This Row],[How many hour do you study daily?]]&lt;1),"At Risk","Normal")</f>
        <v>Normal</v>
      </c>
      <c r="AH1019">
        <f>(Table1[[#This Row],[Average attendance on class]]*0.4)+(Table1[[#This Row],[How many hour do you study daily?]]*10*0.3)+(Table1[[#This Row],[How many hour do you spent daily on your skill development?]]*10*0.3)</f>
        <v>55</v>
      </c>
    </row>
    <row r="1020" spans="1:34" x14ac:dyDescent="0.25">
      <c r="A1020">
        <v>2022</v>
      </c>
      <c r="B1020" t="s">
        <v>34</v>
      </c>
      <c r="C1020">
        <v>20</v>
      </c>
      <c r="D1020">
        <v>2021</v>
      </c>
      <c r="E1020" t="s">
        <v>35</v>
      </c>
      <c r="F1020">
        <v>6</v>
      </c>
      <c r="G1020" t="s">
        <v>36</v>
      </c>
      <c r="H1020" t="s">
        <v>37</v>
      </c>
      <c r="I1020">
        <v>5</v>
      </c>
      <c r="J1020">
        <v>3</v>
      </c>
      <c r="K1020" t="s">
        <v>38</v>
      </c>
      <c r="L1020" t="s">
        <v>36</v>
      </c>
      <c r="M1020" t="s">
        <v>36</v>
      </c>
      <c r="N1020">
        <v>2</v>
      </c>
      <c r="O1020" t="s">
        <v>53</v>
      </c>
      <c r="P1020">
        <v>76</v>
      </c>
      <c r="Q1020" t="s">
        <v>36</v>
      </c>
      <c r="R1020" t="s">
        <v>37</v>
      </c>
      <c r="S1020" t="s">
        <v>37</v>
      </c>
      <c r="T1020" t="s">
        <v>40</v>
      </c>
      <c r="U1020">
        <v>1</v>
      </c>
      <c r="V1020" t="s">
        <v>62</v>
      </c>
      <c r="W1020" t="s">
        <v>50</v>
      </c>
      <c r="X1020" t="s">
        <v>36</v>
      </c>
      <c r="Y1020" t="s">
        <v>43</v>
      </c>
      <c r="Z1020" t="s">
        <v>37</v>
      </c>
      <c r="AA1020">
        <v>2.7</v>
      </c>
      <c r="AB1020" t="s">
        <v>37</v>
      </c>
      <c r="AC1020">
        <v>3.87</v>
      </c>
      <c r="AD1020">
        <v>78</v>
      </c>
      <c r="AE1020">
        <v>97000</v>
      </c>
      <c r="AF1020" t="str">
        <f>IF(Table1[[#This Row],[What is your current CGPA?]]&gt;=3.5,"High",IF(Table1[[#This Row],[What is your current CGPA?]]&gt;=2.5,"Medium","Low"))</f>
        <v>High</v>
      </c>
      <c r="AG1020" t="str">
        <f>IF(AND(Table1[[#This Row],[Average attendance on class]]&lt;75,Table1[[#This Row],[How many hour do you study daily?]]&lt;1),"At Risk","Normal")</f>
        <v>Normal</v>
      </c>
      <c r="AH1020">
        <f>(Table1[[#This Row],[Average attendance on class]]*0.4)+(Table1[[#This Row],[How many hour do you study daily?]]*10*0.3)+(Table1[[#This Row],[How many hour do you spent daily on your skill development?]]*10*0.3)</f>
        <v>48.400000000000006</v>
      </c>
    </row>
    <row r="1021" spans="1:34" x14ac:dyDescent="0.25">
      <c r="A1021">
        <v>2019</v>
      </c>
      <c r="B1021" t="s">
        <v>34</v>
      </c>
      <c r="C1021">
        <v>22</v>
      </c>
      <c r="D1021">
        <v>2019</v>
      </c>
      <c r="E1021" t="s">
        <v>35</v>
      </c>
      <c r="F1021">
        <v>11</v>
      </c>
      <c r="G1021" t="s">
        <v>37</v>
      </c>
      <c r="H1021" t="s">
        <v>36</v>
      </c>
      <c r="I1021">
        <v>2</v>
      </c>
      <c r="J1021">
        <v>1</v>
      </c>
      <c r="K1021" t="s">
        <v>38</v>
      </c>
      <c r="L1021" t="s">
        <v>36</v>
      </c>
      <c r="M1021" t="s">
        <v>36</v>
      </c>
      <c r="N1021">
        <v>3</v>
      </c>
      <c r="O1021" t="s">
        <v>39</v>
      </c>
      <c r="P1021">
        <v>100</v>
      </c>
      <c r="Q1021" t="s">
        <v>37</v>
      </c>
      <c r="R1021" t="s">
        <v>37</v>
      </c>
      <c r="S1021" t="s">
        <v>37</v>
      </c>
      <c r="T1021" t="s">
        <v>40</v>
      </c>
      <c r="U1021">
        <v>2</v>
      </c>
      <c r="V1021" t="s">
        <v>62</v>
      </c>
      <c r="W1021" t="s">
        <v>42</v>
      </c>
      <c r="X1021" t="s">
        <v>37</v>
      </c>
      <c r="Y1021" t="s">
        <v>47</v>
      </c>
      <c r="Z1021" t="s">
        <v>37</v>
      </c>
      <c r="AA1021">
        <v>2.56</v>
      </c>
      <c r="AB1021" t="s">
        <v>37</v>
      </c>
      <c r="AC1021">
        <v>3.64</v>
      </c>
      <c r="AD1021">
        <v>143</v>
      </c>
      <c r="AE1021">
        <v>98000</v>
      </c>
      <c r="AF1021" t="str">
        <f>IF(Table1[[#This Row],[What is your current CGPA?]]&gt;=3.5,"High",IF(Table1[[#This Row],[What is your current CGPA?]]&gt;=2.5,"Medium","Low"))</f>
        <v>High</v>
      </c>
      <c r="AG1021" t="str">
        <f>IF(AND(Table1[[#This Row],[Average attendance on class]]&lt;75,Table1[[#This Row],[How many hour do you study daily?]]&lt;1),"At Risk","Normal")</f>
        <v>Normal</v>
      </c>
      <c r="AH1021">
        <f>(Table1[[#This Row],[Average attendance on class]]*0.4)+(Table1[[#This Row],[How many hour do you study daily?]]*10*0.3)+(Table1[[#This Row],[How many hour do you spent daily on your skill development?]]*10*0.3)</f>
        <v>52</v>
      </c>
    </row>
    <row r="1022" spans="1:34" x14ac:dyDescent="0.25">
      <c r="A1022">
        <v>2022</v>
      </c>
      <c r="B1022" t="s">
        <v>34</v>
      </c>
      <c r="C1022">
        <v>20</v>
      </c>
      <c r="D1022">
        <v>2020</v>
      </c>
      <c r="E1022" t="s">
        <v>35</v>
      </c>
      <c r="F1022">
        <v>5</v>
      </c>
      <c r="G1022" t="s">
        <v>37</v>
      </c>
      <c r="H1022" t="s">
        <v>37</v>
      </c>
      <c r="I1022">
        <v>1</v>
      </c>
      <c r="J1022">
        <v>1</v>
      </c>
      <c r="K1022" t="s">
        <v>44</v>
      </c>
      <c r="L1022" t="s">
        <v>36</v>
      </c>
      <c r="M1022" t="s">
        <v>36</v>
      </c>
      <c r="N1022">
        <v>2</v>
      </c>
      <c r="O1022" t="s">
        <v>39</v>
      </c>
      <c r="P1022">
        <v>78</v>
      </c>
      <c r="Q1022" t="s">
        <v>36</v>
      </c>
      <c r="R1022" t="s">
        <v>37</v>
      </c>
      <c r="S1022" t="s">
        <v>36</v>
      </c>
      <c r="T1022" t="s">
        <v>51</v>
      </c>
      <c r="U1022">
        <v>1</v>
      </c>
      <c r="V1022" t="s">
        <v>59</v>
      </c>
      <c r="W1022" t="s">
        <v>50</v>
      </c>
      <c r="X1022" t="s">
        <v>37</v>
      </c>
      <c r="Y1022" t="s">
        <v>47</v>
      </c>
      <c r="Z1022" t="s">
        <v>37</v>
      </c>
      <c r="AA1022">
        <v>1.81</v>
      </c>
      <c r="AB1022" t="s">
        <v>37</v>
      </c>
      <c r="AC1022">
        <v>2.84</v>
      </c>
      <c r="AD1022">
        <v>71</v>
      </c>
      <c r="AE1022">
        <v>98000</v>
      </c>
      <c r="AF1022" t="str">
        <f>IF(Table1[[#This Row],[What is your current CGPA?]]&gt;=3.5,"High",IF(Table1[[#This Row],[What is your current CGPA?]]&gt;=2.5,"Medium","Low"))</f>
        <v>Medium</v>
      </c>
      <c r="AG1022" t="str">
        <f>IF(AND(Table1[[#This Row],[Average attendance on class]]&lt;75,Table1[[#This Row],[How many hour do you study daily?]]&lt;1),"At Risk","Normal")</f>
        <v>Normal</v>
      </c>
      <c r="AH1022">
        <f>(Table1[[#This Row],[Average attendance on class]]*0.4)+(Table1[[#This Row],[How many hour do you study daily?]]*10*0.3)+(Table1[[#This Row],[How many hour do you spent daily on your skill development?]]*10*0.3)</f>
        <v>37.200000000000003</v>
      </c>
    </row>
    <row r="1023" spans="1:34" x14ac:dyDescent="0.25">
      <c r="A1023">
        <v>2020</v>
      </c>
      <c r="B1023" t="s">
        <v>34</v>
      </c>
      <c r="C1023">
        <v>24</v>
      </c>
      <c r="D1023">
        <v>2018</v>
      </c>
      <c r="E1023" t="s">
        <v>35</v>
      </c>
      <c r="F1023">
        <v>8</v>
      </c>
      <c r="G1023" t="s">
        <v>37</v>
      </c>
      <c r="H1023" t="s">
        <v>37</v>
      </c>
      <c r="I1023">
        <v>2</v>
      </c>
      <c r="J1023">
        <v>2</v>
      </c>
      <c r="K1023" t="s">
        <v>38</v>
      </c>
      <c r="L1023" t="s">
        <v>36</v>
      </c>
      <c r="M1023" t="s">
        <v>36</v>
      </c>
      <c r="N1023">
        <v>8</v>
      </c>
      <c r="O1023" t="s">
        <v>45</v>
      </c>
      <c r="P1023">
        <v>98</v>
      </c>
      <c r="Q1023" t="s">
        <v>37</v>
      </c>
      <c r="R1023" t="s">
        <v>37</v>
      </c>
      <c r="S1023" t="s">
        <v>37</v>
      </c>
      <c r="T1023" t="s">
        <v>51</v>
      </c>
      <c r="U1023">
        <v>3</v>
      </c>
      <c r="V1023" t="s">
        <v>59</v>
      </c>
      <c r="W1023" t="s">
        <v>42</v>
      </c>
      <c r="X1023" t="s">
        <v>37</v>
      </c>
      <c r="Y1023" t="s">
        <v>47</v>
      </c>
      <c r="Z1023" t="s">
        <v>36</v>
      </c>
      <c r="AA1023">
        <v>2.5299999999999998</v>
      </c>
      <c r="AB1023" t="s">
        <v>37</v>
      </c>
      <c r="AC1023">
        <v>3.36</v>
      </c>
      <c r="AD1023">
        <v>76</v>
      </c>
      <c r="AE1023">
        <v>100000</v>
      </c>
      <c r="AF1023" t="str">
        <f>IF(Table1[[#This Row],[What is your current CGPA?]]&gt;=3.5,"High",IF(Table1[[#This Row],[What is your current CGPA?]]&gt;=2.5,"Medium","Low"))</f>
        <v>Medium</v>
      </c>
      <c r="AG1023" t="str">
        <f>IF(AND(Table1[[#This Row],[Average attendance on class]]&lt;75,Table1[[#This Row],[How many hour do you study daily?]]&lt;1),"At Risk","Normal")</f>
        <v>Normal</v>
      </c>
      <c r="AH1023">
        <f>(Table1[[#This Row],[Average attendance on class]]*0.4)+(Table1[[#This Row],[How many hour do you study daily?]]*10*0.3)+(Table1[[#This Row],[How many hour do you spent daily on your skill development?]]*10*0.3)</f>
        <v>54.2</v>
      </c>
    </row>
    <row r="1024" spans="1:34" x14ac:dyDescent="0.25">
      <c r="A1024">
        <v>2019</v>
      </c>
      <c r="B1024" t="s">
        <v>48</v>
      </c>
      <c r="C1024">
        <v>23</v>
      </c>
      <c r="D1024">
        <v>2019</v>
      </c>
      <c r="E1024" t="s">
        <v>35</v>
      </c>
      <c r="F1024">
        <v>5</v>
      </c>
      <c r="G1024" t="s">
        <v>37</v>
      </c>
      <c r="H1024" t="s">
        <v>37</v>
      </c>
      <c r="I1024">
        <v>2</v>
      </c>
      <c r="J1024">
        <v>1</v>
      </c>
      <c r="K1024" t="s">
        <v>38</v>
      </c>
      <c r="L1024" t="s">
        <v>36</v>
      </c>
      <c r="M1024" t="s">
        <v>36</v>
      </c>
      <c r="N1024">
        <v>7</v>
      </c>
      <c r="O1024" t="s">
        <v>45</v>
      </c>
      <c r="P1024">
        <v>90</v>
      </c>
      <c r="Q1024" t="s">
        <v>36</v>
      </c>
      <c r="R1024" t="s">
        <v>37</v>
      </c>
      <c r="S1024" t="s">
        <v>36</v>
      </c>
      <c r="T1024" t="s">
        <v>51</v>
      </c>
      <c r="U1024">
        <v>2</v>
      </c>
      <c r="V1024" t="s">
        <v>59</v>
      </c>
      <c r="W1024" t="s">
        <v>42</v>
      </c>
      <c r="X1024" t="s">
        <v>36</v>
      </c>
      <c r="Y1024" t="s">
        <v>43</v>
      </c>
      <c r="Z1024" t="s">
        <v>37</v>
      </c>
      <c r="AA1024">
        <v>2.54</v>
      </c>
      <c r="AB1024" t="s">
        <v>37</v>
      </c>
      <c r="AC1024">
        <v>3.57</v>
      </c>
      <c r="AD1024">
        <v>84</v>
      </c>
      <c r="AE1024">
        <v>100000</v>
      </c>
      <c r="AF1024" t="str">
        <f>IF(Table1[[#This Row],[What is your current CGPA?]]&gt;=3.5,"High",IF(Table1[[#This Row],[What is your current CGPA?]]&gt;=2.5,"Medium","Low"))</f>
        <v>High</v>
      </c>
      <c r="AG1024" t="str">
        <f>IF(AND(Table1[[#This Row],[Average attendance on class]]&lt;75,Table1[[#This Row],[How many hour do you study daily?]]&lt;1),"At Risk","Normal")</f>
        <v>Normal</v>
      </c>
      <c r="AH1024">
        <f>(Table1[[#This Row],[Average attendance on class]]*0.4)+(Table1[[#This Row],[How many hour do you study daily?]]*10*0.3)+(Table1[[#This Row],[How many hour do you spent daily on your skill development?]]*10*0.3)</f>
        <v>48</v>
      </c>
    </row>
    <row r="1025" spans="1:34" x14ac:dyDescent="0.25">
      <c r="A1025">
        <v>2019</v>
      </c>
      <c r="B1025" t="s">
        <v>48</v>
      </c>
      <c r="C1025">
        <v>22</v>
      </c>
      <c r="D1025">
        <v>2019</v>
      </c>
      <c r="E1025" t="s">
        <v>35</v>
      </c>
      <c r="F1025">
        <v>6</v>
      </c>
      <c r="G1025" t="s">
        <v>37</v>
      </c>
      <c r="H1025" t="s">
        <v>37</v>
      </c>
      <c r="I1025">
        <v>4</v>
      </c>
      <c r="J1025">
        <v>2</v>
      </c>
      <c r="K1025" t="s">
        <v>38</v>
      </c>
      <c r="L1025" t="s">
        <v>36</v>
      </c>
      <c r="M1025" t="s">
        <v>36</v>
      </c>
      <c r="N1025">
        <v>4</v>
      </c>
      <c r="O1025" t="s">
        <v>39</v>
      </c>
      <c r="P1025">
        <v>80</v>
      </c>
      <c r="Q1025" t="s">
        <v>37</v>
      </c>
      <c r="R1025" t="s">
        <v>37</v>
      </c>
      <c r="S1025" t="s">
        <v>36</v>
      </c>
      <c r="T1025" t="s">
        <v>40</v>
      </c>
      <c r="U1025">
        <v>1</v>
      </c>
      <c r="V1025" t="s">
        <v>40</v>
      </c>
      <c r="W1025" t="s">
        <v>42</v>
      </c>
      <c r="X1025" t="s">
        <v>36</v>
      </c>
      <c r="Y1025" t="s">
        <v>47</v>
      </c>
      <c r="Z1025" t="s">
        <v>37</v>
      </c>
      <c r="AA1025">
        <v>2.4500000000000002</v>
      </c>
      <c r="AB1025" t="s">
        <v>37</v>
      </c>
      <c r="AC1025">
        <v>3.5</v>
      </c>
      <c r="AD1025">
        <v>16</v>
      </c>
      <c r="AE1025">
        <v>100000</v>
      </c>
      <c r="AF1025" t="str">
        <f>IF(Table1[[#This Row],[What is your current CGPA?]]&gt;=3.5,"High",IF(Table1[[#This Row],[What is your current CGPA?]]&gt;=2.5,"Medium","Low"))</f>
        <v>High</v>
      </c>
      <c r="AG1025" t="str">
        <f>IF(AND(Table1[[#This Row],[Average attendance on class]]&lt;75,Table1[[#This Row],[How many hour do you study daily?]]&lt;1),"At Risk","Normal")</f>
        <v>Normal</v>
      </c>
      <c r="AH1025">
        <f>(Table1[[#This Row],[Average attendance on class]]*0.4)+(Table1[[#This Row],[How many hour do you study daily?]]*10*0.3)+(Table1[[#This Row],[How many hour do you spent daily on your skill development?]]*10*0.3)</f>
        <v>47</v>
      </c>
    </row>
    <row r="1026" spans="1:34" x14ac:dyDescent="0.25">
      <c r="A1026">
        <v>2020</v>
      </c>
      <c r="B1026" t="s">
        <v>48</v>
      </c>
      <c r="C1026">
        <v>21</v>
      </c>
      <c r="D1026">
        <v>2020</v>
      </c>
      <c r="E1026" t="s">
        <v>35</v>
      </c>
      <c r="F1026">
        <v>8</v>
      </c>
      <c r="G1026" t="s">
        <v>36</v>
      </c>
      <c r="H1026" t="s">
        <v>36</v>
      </c>
      <c r="I1026">
        <v>8</v>
      </c>
      <c r="J1026">
        <v>3</v>
      </c>
      <c r="K1026" t="s">
        <v>38</v>
      </c>
      <c r="L1026" t="s">
        <v>36</v>
      </c>
      <c r="M1026" t="s">
        <v>36</v>
      </c>
      <c r="N1026">
        <v>2</v>
      </c>
      <c r="O1026" t="s">
        <v>53</v>
      </c>
      <c r="P1026">
        <v>100</v>
      </c>
      <c r="Q1026" t="s">
        <v>37</v>
      </c>
      <c r="R1026" t="s">
        <v>37</v>
      </c>
      <c r="S1026" t="s">
        <v>37</v>
      </c>
      <c r="T1026" t="s">
        <v>51</v>
      </c>
      <c r="U1026">
        <v>4</v>
      </c>
      <c r="V1026" t="s">
        <v>62</v>
      </c>
      <c r="W1026" t="s">
        <v>42</v>
      </c>
      <c r="X1026" t="s">
        <v>37</v>
      </c>
      <c r="Y1026" t="s">
        <v>47</v>
      </c>
      <c r="Z1026" t="s">
        <v>37</v>
      </c>
      <c r="AA1026">
        <v>2.91</v>
      </c>
      <c r="AB1026" t="s">
        <v>37</v>
      </c>
      <c r="AC1026">
        <v>4</v>
      </c>
      <c r="AD1026">
        <v>97</v>
      </c>
      <c r="AE1026">
        <v>100000</v>
      </c>
      <c r="AF1026" t="str">
        <f>IF(Table1[[#This Row],[What is your current CGPA?]]&gt;=3.5,"High",IF(Table1[[#This Row],[What is your current CGPA?]]&gt;=2.5,"Medium","Low"))</f>
        <v>High</v>
      </c>
      <c r="AG1026" t="str">
        <f>IF(AND(Table1[[#This Row],[Average attendance on class]]&lt;75,Table1[[#This Row],[How many hour do you study daily?]]&lt;1),"At Risk","Normal")</f>
        <v>Normal</v>
      </c>
      <c r="AH1026">
        <f>(Table1[[#This Row],[Average attendance on class]]*0.4)+(Table1[[#This Row],[How many hour do you study daily?]]*10*0.3)+(Table1[[#This Row],[How many hour do you spent daily on your skill development?]]*10*0.3)</f>
        <v>76</v>
      </c>
    </row>
    <row r="1027" spans="1:34" x14ac:dyDescent="0.25">
      <c r="A1027">
        <v>2022</v>
      </c>
      <c r="B1027" t="s">
        <v>34</v>
      </c>
      <c r="C1027">
        <v>20</v>
      </c>
      <c r="D1027">
        <v>2021</v>
      </c>
      <c r="E1027" t="s">
        <v>35</v>
      </c>
      <c r="F1027">
        <v>6</v>
      </c>
      <c r="G1027" t="s">
        <v>37</v>
      </c>
      <c r="H1027" t="s">
        <v>37</v>
      </c>
      <c r="I1027">
        <v>1</v>
      </c>
      <c r="J1027">
        <v>2</v>
      </c>
      <c r="K1027" t="s">
        <v>38</v>
      </c>
      <c r="L1027" t="s">
        <v>36</v>
      </c>
      <c r="M1027" t="s">
        <v>36</v>
      </c>
      <c r="N1027">
        <v>2</v>
      </c>
      <c r="O1027" t="s">
        <v>39</v>
      </c>
      <c r="P1027">
        <v>54</v>
      </c>
      <c r="Q1027" t="s">
        <v>37</v>
      </c>
      <c r="R1027" t="s">
        <v>37</v>
      </c>
      <c r="S1027" t="s">
        <v>36</v>
      </c>
      <c r="T1027" t="s">
        <v>51</v>
      </c>
      <c r="U1027">
        <v>4</v>
      </c>
      <c r="V1027" t="s">
        <v>59</v>
      </c>
      <c r="W1027" t="s">
        <v>56</v>
      </c>
      <c r="X1027" t="s">
        <v>36</v>
      </c>
      <c r="Y1027" t="s">
        <v>47</v>
      </c>
      <c r="Z1027" t="s">
        <v>37</v>
      </c>
      <c r="AA1027">
        <v>2.67</v>
      </c>
      <c r="AB1027" t="s">
        <v>37</v>
      </c>
      <c r="AC1027">
        <v>3.77</v>
      </c>
      <c r="AD1027">
        <v>78</v>
      </c>
      <c r="AE1027">
        <v>100000</v>
      </c>
      <c r="AF1027" t="str">
        <f>IF(Table1[[#This Row],[What is your current CGPA?]]&gt;=3.5,"High",IF(Table1[[#This Row],[What is your current CGPA?]]&gt;=2.5,"Medium","Low"))</f>
        <v>High</v>
      </c>
      <c r="AG1027" t="str">
        <f>IF(AND(Table1[[#This Row],[Average attendance on class]]&lt;75,Table1[[#This Row],[How many hour do you study daily?]]&lt;1),"At Risk","Normal")</f>
        <v>Normal</v>
      </c>
      <c r="AH1027">
        <f>(Table1[[#This Row],[Average attendance on class]]*0.4)+(Table1[[#This Row],[How many hour do you study daily?]]*10*0.3)+(Table1[[#This Row],[How many hour do you spent daily on your skill development?]]*10*0.3)</f>
        <v>36.6</v>
      </c>
    </row>
    <row r="1028" spans="1:34" x14ac:dyDescent="0.25">
      <c r="A1028">
        <v>2019</v>
      </c>
      <c r="B1028" t="s">
        <v>48</v>
      </c>
      <c r="C1028">
        <v>22</v>
      </c>
      <c r="D1028">
        <v>2018</v>
      </c>
      <c r="E1028" t="s">
        <v>35</v>
      </c>
      <c r="F1028">
        <v>11</v>
      </c>
      <c r="G1028" t="s">
        <v>37</v>
      </c>
      <c r="H1028" t="s">
        <v>37</v>
      </c>
      <c r="I1028">
        <v>5</v>
      </c>
      <c r="J1028">
        <v>3</v>
      </c>
      <c r="K1028" t="s">
        <v>38</v>
      </c>
      <c r="L1028" t="s">
        <v>36</v>
      </c>
      <c r="M1028" t="s">
        <v>36</v>
      </c>
      <c r="N1028">
        <v>8</v>
      </c>
      <c r="O1028" t="s">
        <v>39</v>
      </c>
      <c r="P1028">
        <v>77</v>
      </c>
      <c r="Q1028" t="s">
        <v>37</v>
      </c>
      <c r="R1028" t="s">
        <v>37</v>
      </c>
      <c r="S1028" t="s">
        <v>36</v>
      </c>
      <c r="T1028" t="s">
        <v>52</v>
      </c>
      <c r="U1028">
        <v>2</v>
      </c>
      <c r="V1028" t="s">
        <v>40</v>
      </c>
      <c r="W1028" t="s">
        <v>42</v>
      </c>
      <c r="X1028" t="s">
        <v>37</v>
      </c>
      <c r="Y1028" t="s">
        <v>43</v>
      </c>
      <c r="Z1028" t="s">
        <v>37</v>
      </c>
      <c r="AA1028">
        <v>2.33</v>
      </c>
      <c r="AB1028" t="s">
        <v>37</v>
      </c>
      <c r="AC1028">
        <v>3.88</v>
      </c>
      <c r="AD1028">
        <v>144</v>
      </c>
      <c r="AE1028">
        <v>110000</v>
      </c>
      <c r="AF1028" t="str">
        <f>IF(Table1[[#This Row],[What is your current CGPA?]]&gt;=3.5,"High",IF(Table1[[#This Row],[What is your current CGPA?]]&gt;=2.5,"Medium","Low"))</f>
        <v>High</v>
      </c>
      <c r="AG1028" t="str">
        <f>IF(AND(Table1[[#This Row],[Average attendance on class]]&lt;75,Table1[[#This Row],[How many hour do you study daily?]]&lt;1),"At Risk","Normal")</f>
        <v>Normal</v>
      </c>
      <c r="AH1028">
        <f>(Table1[[#This Row],[Average attendance on class]]*0.4)+(Table1[[#This Row],[How many hour do you study daily?]]*10*0.3)+(Table1[[#This Row],[How many hour do you spent daily on your skill development?]]*10*0.3)</f>
        <v>51.8</v>
      </c>
    </row>
    <row r="1029" spans="1:34" x14ac:dyDescent="0.25">
      <c r="A1029">
        <v>2021</v>
      </c>
      <c r="B1029" t="s">
        <v>34</v>
      </c>
      <c r="C1029">
        <v>24</v>
      </c>
      <c r="D1029">
        <v>2019</v>
      </c>
      <c r="E1029" t="s">
        <v>35</v>
      </c>
      <c r="F1029">
        <v>10</v>
      </c>
      <c r="G1029" t="s">
        <v>37</v>
      </c>
      <c r="H1029" t="s">
        <v>37</v>
      </c>
      <c r="I1029">
        <v>1</v>
      </c>
      <c r="J1029">
        <v>2</v>
      </c>
      <c r="K1029" t="s">
        <v>44</v>
      </c>
      <c r="L1029" t="s">
        <v>36</v>
      </c>
      <c r="M1029" t="s">
        <v>36</v>
      </c>
      <c r="N1029">
        <v>3</v>
      </c>
      <c r="O1029" t="s">
        <v>45</v>
      </c>
      <c r="P1029">
        <v>100</v>
      </c>
      <c r="Q1029" t="s">
        <v>36</v>
      </c>
      <c r="R1029" t="s">
        <v>37</v>
      </c>
      <c r="S1029" t="s">
        <v>37</v>
      </c>
      <c r="T1029" t="s">
        <v>51</v>
      </c>
      <c r="U1029">
        <v>4</v>
      </c>
      <c r="V1029" t="s">
        <v>59</v>
      </c>
      <c r="W1029" t="s">
        <v>56</v>
      </c>
      <c r="X1029" t="s">
        <v>36</v>
      </c>
      <c r="Y1029" t="s">
        <v>47</v>
      </c>
      <c r="Z1029" t="s">
        <v>37</v>
      </c>
      <c r="AA1029">
        <v>2.87</v>
      </c>
      <c r="AB1029" t="s">
        <v>37</v>
      </c>
      <c r="AC1029">
        <v>3.91</v>
      </c>
      <c r="AD1029">
        <v>140</v>
      </c>
      <c r="AE1029">
        <v>110000</v>
      </c>
      <c r="AF1029" t="str">
        <f>IF(Table1[[#This Row],[What is your current CGPA?]]&gt;=3.5,"High",IF(Table1[[#This Row],[What is your current CGPA?]]&gt;=2.5,"Medium","Low"))</f>
        <v>High</v>
      </c>
      <c r="AG1029" t="str">
        <f>IF(AND(Table1[[#This Row],[Average attendance on class]]&lt;75,Table1[[#This Row],[How many hour do you study daily?]]&lt;1),"At Risk","Normal")</f>
        <v>Normal</v>
      </c>
      <c r="AH1029">
        <f>(Table1[[#This Row],[Average attendance on class]]*0.4)+(Table1[[#This Row],[How many hour do you study daily?]]*10*0.3)+(Table1[[#This Row],[How many hour do you spent daily on your skill development?]]*10*0.3)</f>
        <v>55</v>
      </c>
    </row>
    <row r="1030" spans="1:34" x14ac:dyDescent="0.25">
      <c r="A1030">
        <v>2020</v>
      </c>
      <c r="B1030" t="s">
        <v>48</v>
      </c>
      <c r="C1030">
        <v>20</v>
      </c>
      <c r="D1030">
        <v>2020</v>
      </c>
      <c r="E1030" t="s">
        <v>35</v>
      </c>
      <c r="F1030">
        <v>10</v>
      </c>
      <c r="G1030" t="s">
        <v>37</v>
      </c>
      <c r="H1030" t="s">
        <v>37</v>
      </c>
      <c r="I1030">
        <v>3</v>
      </c>
      <c r="J1030">
        <v>2</v>
      </c>
      <c r="K1030" t="s">
        <v>44</v>
      </c>
      <c r="L1030" t="s">
        <v>36</v>
      </c>
      <c r="M1030" t="s">
        <v>37</v>
      </c>
      <c r="N1030">
        <v>9</v>
      </c>
      <c r="O1030" t="s">
        <v>53</v>
      </c>
      <c r="P1030">
        <v>100</v>
      </c>
      <c r="Q1030" t="s">
        <v>37</v>
      </c>
      <c r="R1030" t="s">
        <v>37</v>
      </c>
      <c r="S1030" t="s">
        <v>37</v>
      </c>
      <c r="T1030" t="s">
        <v>49</v>
      </c>
      <c r="U1030">
        <v>4</v>
      </c>
      <c r="V1030" t="s">
        <v>59</v>
      </c>
      <c r="W1030" t="s">
        <v>50</v>
      </c>
      <c r="X1030" t="s">
        <v>36</v>
      </c>
      <c r="Y1030" t="s">
        <v>43</v>
      </c>
      <c r="Z1030" t="s">
        <v>37</v>
      </c>
      <c r="AA1030">
        <v>2.09</v>
      </c>
      <c r="AB1030" t="s">
        <v>37</v>
      </c>
      <c r="AC1030">
        <v>3.23</v>
      </c>
      <c r="AD1030">
        <v>119</v>
      </c>
      <c r="AE1030">
        <v>110000</v>
      </c>
      <c r="AF1030" t="str">
        <f>IF(Table1[[#This Row],[What is your current CGPA?]]&gt;=3.5,"High",IF(Table1[[#This Row],[What is your current CGPA?]]&gt;=2.5,"Medium","Low"))</f>
        <v>Medium</v>
      </c>
      <c r="AG1030" t="str">
        <f>IF(AND(Table1[[#This Row],[Average attendance on class]]&lt;75,Table1[[#This Row],[How many hour do you study daily?]]&lt;1),"At Risk","Normal")</f>
        <v>Normal</v>
      </c>
      <c r="AH1030">
        <f>(Table1[[#This Row],[Average attendance on class]]*0.4)+(Table1[[#This Row],[How many hour do you study daily?]]*10*0.3)+(Table1[[#This Row],[How many hour do you spent daily on your skill development?]]*10*0.3)</f>
        <v>61</v>
      </c>
    </row>
    <row r="1031" spans="1:34" x14ac:dyDescent="0.25">
      <c r="A1031">
        <v>2020</v>
      </c>
      <c r="B1031" t="s">
        <v>48</v>
      </c>
      <c r="C1031">
        <v>25</v>
      </c>
      <c r="D1031">
        <v>2018</v>
      </c>
      <c r="E1031" t="s">
        <v>35</v>
      </c>
      <c r="F1031">
        <v>9</v>
      </c>
      <c r="G1031" t="s">
        <v>37</v>
      </c>
      <c r="H1031" t="s">
        <v>37</v>
      </c>
      <c r="I1031">
        <v>2</v>
      </c>
      <c r="J1031">
        <v>3</v>
      </c>
      <c r="K1031" t="s">
        <v>44</v>
      </c>
      <c r="L1031" t="s">
        <v>36</v>
      </c>
      <c r="M1031" t="s">
        <v>36</v>
      </c>
      <c r="N1031">
        <v>3</v>
      </c>
      <c r="O1031" t="s">
        <v>39</v>
      </c>
      <c r="P1031">
        <v>77</v>
      </c>
      <c r="Q1031" t="s">
        <v>36</v>
      </c>
      <c r="R1031" t="s">
        <v>37</v>
      </c>
      <c r="S1031" t="s">
        <v>36</v>
      </c>
      <c r="T1031" t="s">
        <v>51</v>
      </c>
      <c r="U1031">
        <v>2</v>
      </c>
      <c r="V1031" t="s">
        <v>59</v>
      </c>
      <c r="W1031" t="s">
        <v>56</v>
      </c>
      <c r="X1031" t="s">
        <v>36</v>
      </c>
      <c r="Y1031" t="s">
        <v>47</v>
      </c>
      <c r="Z1031" t="s">
        <v>37</v>
      </c>
      <c r="AA1031">
        <v>1.67</v>
      </c>
      <c r="AB1031" t="s">
        <v>37</v>
      </c>
      <c r="AC1031">
        <v>2.73</v>
      </c>
      <c r="AD1031">
        <v>124</v>
      </c>
      <c r="AE1031">
        <v>112000</v>
      </c>
      <c r="AF1031" t="str">
        <f>IF(Table1[[#This Row],[What is your current CGPA?]]&gt;=3.5,"High",IF(Table1[[#This Row],[What is your current CGPA?]]&gt;=2.5,"Medium","Low"))</f>
        <v>Medium</v>
      </c>
      <c r="AG1031" t="str">
        <f>IF(AND(Table1[[#This Row],[Average attendance on class]]&lt;75,Table1[[#This Row],[How many hour do you study daily?]]&lt;1),"At Risk","Normal")</f>
        <v>Normal</v>
      </c>
      <c r="AH1031">
        <f>(Table1[[#This Row],[Average attendance on class]]*0.4)+(Table1[[#This Row],[How many hour do you study daily?]]*10*0.3)+(Table1[[#This Row],[How many hour do you spent daily on your skill development?]]*10*0.3)</f>
        <v>42.8</v>
      </c>
    </row>
    <row r="1032" spans="1:34" x14ac:dyDescent="0.25">
      <c r="A1032">
        <v>2022</v>
      </c>
      <c r="B1032" t="s">
        <v>48</v>
      </c>
      <c r="C1032">
        <v>20</v>
      </c>
      <c r="D1032">
        <v>2021</v>
      </c>
      <c r="E1032" t="s">
        <v>35</v>
      </c>
      <c r="F1032">
        <v>5</v>
      </c>
      <c r="G1032" t="s">
        <v>37</v>
      </c>
      <c r="H1032" t="s">
        <v>37</v>
      </c>
      <c r="I1032">
        <v>1</v>
      </c>
      <c r="J1032">
        <v>1</v>
      </c>
      <c r="K1032" t="s">
        <v>44</v>
      </c>
      <c r="L1032" t="s">
        <v>36</v>
      </c>
      <c r="M1032" t="s">
        <v>36</v>
      </c>
      <c r="N1032">
        <v>10</v>
      </c>
      <c r="O1032" t="s">
        <v>39</v>
      </c>
      <c r="P1032">
        <v>45</v>
      </c>
      <c r="Q1032" t="s">
        <v>36</v>
      </c>
      <c r="R1032" t="s">
        <v>37</v>
      </c>
      <c r="S1032" t="s">
        <v>37</v>
      </c>
      <c r="T1032" t="s">
        <v>61</v>
      </c>
      <c r="U1032">
        <v>1</v>
      </c>
      <c r="V1032" t="s">
        <v>41</v>
      </c>
      <c r="W1032" t="s">
        <v>50</v>
      </c>
      <c r="X1032" t="s">
        <v>36</v>
      </c>
      <c r="Y1032" t="s">
        <v>47</v>
      </c>
      <c r="Z1032" t="s">
        <v>37</v>
      </c>
      <c r="AA1032">
        <v>1.1499999999999999</v>
      </c>
      <c r="AB1032" t="s">
        <v>37</v>
      </c>
      <c r="AC1032">
        <v>2.39</v>
      </c>
      <c r="AD1032">
        <v>75</v>
      </c>
      <c r="AE1032">
        <v>112000</v>
      </c>
      <c r="AF1032" t="str">
        <f>IF(Table1[[#This Row],[What is your current CGPA?]]&gt;=3.5,"High",IF(Table1[[#This Row],[What is your current CGPA?]]&gt;=2.5,"Medium","Low"))</f>
        <v>Low</v>
      </c>
      <c r="AG1032" t="str">
        <f>IF(AND(Table1[[#This Row],[Average attendance on class]]&lt;75,Table1[[#This Row],[How many hour do you study daily?]]&lt;1),"At Risk","Normal")</f>
        <v>Normal</v>
      </c>
      <c r="AH1032">
        <f>(Table1[[#This Row],[Average attendance on class]]*0.4)+(Table1[[#This Row],[How many hour do you study daily?]]*10*0.3)+(Table1[[#This Row],[How many hour do you spent daily on your skill development?]]*10*0.3)</f>
        <v>24</v>
      </c>
    </row>
    <row r="1033" spans="1:34" x14ac:dyDescent="0.25">
      <c r="A1033">
        <v>2022</v>
      </c>
      <c r="B1033" t="s">
        <v>48</v>
      </c>
      <c r="C1033">
        <v>21</v>
      </c>
      <c r="D1033">
        <v>2021</v>
      </c>
      <c r="E1033" t="s">
        <v>35</v>
      </c>
      <c r="F1033">
        <v>5</v>
      </c>
      <c r="G1033" t="s">
        <v>37</v>
      </c>
      <c r="H1033" t="s">
        <v>37</v>
      </c>
      <c r="I1033">
        <v>2</v>
      </c>
      <c r="J1033">
        <v>2</v>
      </c>
      <c r="K1033" t="s">
        <v>38</v>
      </c>
      <c r="L1033" t="s">
        <v>36</v>
      </c>
      <c r="M1033" t="s">
        <v>36</v>
      </c>
      <c r="N1033">
        <v>3</v>
      </c>
      <c r="O1033" t="s">
        <v>53</v>
      </c>
      <c r="P1033">
        <v>100</v>
      </c>
      <c r="Q1033" t="s">
        <v>36</v>
      </c>
      <c r="R1033" t="s">
        <v>37</v>
      </c>
      <c r="S1033" t="s">
        <v>36</v>
      </c>
      <c r="T1033" t="s">
        <v>40</v>
      </c>
      <c r="U1033">
        <v>4</v>
      </c>
      <c r="V1033" t="s">
        <v>40</v>
      </c>
      <c r="W1033" t="s">
        <v>56</v>
      </c>
      <c r="X1033" t="s">
        <v>37</v>
      </c>
      <c r="Y1033" t="s">
        <v>47</v>
      </c>
      <c r="Z1033" t="s">
        <v>37</v>
      </c>
      <c r="AA1033">
        <v>2.56</v>
      </c>
      <c r="AB1033" t="s">
        <v>37</v>
      </c>
      <c r="AC1033">
        <v>3.64</v>
      </c>
      <c r="AD1033">
        <v>68</v>
      </c>
      <c r="AE1033">
        <v>113000</v>
      </c>
      <c r="AF1033" t="str">
        <f>IF(Table1[[#This Row],[What is your current CGPA?]]&gt;=3.5,"High",IF(Table1[[#This Row],[What is your current CGPA?]]&gt;=2.5,"Medium","Low"))</f>
        <v>High</v>
      </c>
      <c r="AG1033" t="str">
        <f>IF(AND(Table1[[#This Row],[Average attendance on class]]&lt;75,Table1[[#This Row],[How many hour do you study daily?]]&lt;1),"At Risk","Normal")</f>
        <v>Normal</v>
      </c>
      <c r="AH1033">
        <f>(Table1[[#This Row],[Average attendance on class]]*0.4)+(Table1[[#This Row],[How many hour do you study daily?]]*10*0.3)+(Table1[[#This Row],[How many hour do you spent daily on your skill development?]]*10*0.3)</f>
        <v>58</v>
      </c>
    </row>
    <row r="1034" spans="1:34" x14ac:dyDescent="0.25">
      <c r="A1034">
        <v>2021</v>
      </c>
      <c r="B1034" t="s">
        <v>34</v>
      </c>
      <c r="C1034">
        <v>20</v>
      </c>
      <c r="D1034">
        <v>2020</v>
      </c>
      <c r="E1034" t="s">
        <v>35</v>
      </c>
      <c r="F1034">
        <v>7</v>
      </c>
      <c r="G1034" t="s">
        <v>37</v>
      </c>
      <c r="H1034" t="s">
        <v>37</v>
      </c>
      <c r="I1034">
        <v>3</v>
      </c>
      <c r="J1034">
        <v>2</v>
      </c>
      <c r="K1034" t="s">
        <v>38</v>
      </c>
      <c r="L1034" t="s">
        <v>36</v>
      </c>
      <c r="M1034" t="s">
        <v>37</v>
      </c>
      <c r="N1034">
        <v>3</v>
      </c>
      <c r="O1034" t="s">
        <v>45</v>
      </c>
      <c r="P1034">
        <v>100</v>
      </c>
      <c r="Q1034" t="s">
        <v>37</v>
      </c>
      <c r="R1034" t="s">
        <v>37</v>
      </c>
      <c r="S1034" t="s">
        <v>37</v>
      </c>
      <c r="T1034" t="s">
        <v>40</v>
      </c>
      <c r="U1034">
        <v>3</v>
      </c>
      <c r="V1034" t="s">
        <v>40</v>
      </c>
      <c r="W1034" t="s">
        <v>42</v>
      </c>
      <c r="X1034" t="s">
        <v>37</v>
      </c>
      <c r="Y1034" t="s">
        <v>43</v>
      </c>
      <c r="Z1034" t="s">
        <v>37</v>
      </c>
      <c r="AA1034">
        <v>1.99</v>
      </c>
      <c r="AB1034" t="s">
        <v>37</v>
      </c>
      <c r="AC1034">
        <v>2.94</v>
      </c>
      <c r="AD1034">
        <v>88</v>
      </c>
      <c r="AE1034">
        <v>120000</v>
      </c>
      <c r="AF1034" t="str">
        <f>IF(Table1[[#This Row],[What is your current CGPA?]]&gt;=3.5,"High",IF(Table1[[#This Row],[What is your current CGPA?]]&gt;=2.5,"Medium","Low"))</f>
        <v>Medium</v>
      </c>
      <c r="AG1034" t="str">
        <f>IF(AND(Table1[[#This Row],[Average attendance on class]]&lt;75,Table1[[#This Row],[How many hour do you study daily?]]&lt;1),"At Risk","Normal")</f>
        <v>Normal</v>
      </c>
      <c r="AH1034">
        <f>(Table1[[#This Row],[Average attendance on class]]*0.4)+(Table1[[#This Row],[How many hour do you study daily?]]*10*0.3)+(Table1[[#This Row],[How many hour do you spent daily on your skill development?]]*10*0.3)</f>
        <v>58</v>
      </c>
    </row>
    <row r="1035" spans="1:34" x14ac:dyDescent="0.25">
      <c r="A1035">
        <v>2023</v>
      </c>
      <c r="B1035" t="s">
        <v>48</v>
      </c>
      <c r="C1035">
        <v>19</v>
      </c>
      <c r="D1035">
        <v>2021</v>
      </c>
      <c r="E1035" t="s">
        <v>35</v>
      </c>
      <c r="F1035">
        <v>2</v>
      </c>
      <c r="G1035" t="s">
        <v>36</v>
      </c>
      <c r="H1035" t="s">
        <v>37</v>
      </c>
      <c r="I1035">
        <v>6</v>
      </c>
      <c r="J1035">
        <v>4</v>
      </c>
      <c r="K1035" t="s">
        <v>38</v>
      </c>
      <c r="L1035" t="s">
        <v>36</v>
      </c>
      <c r="M1035" t="s">
        <v>36</v>
      </c>
      <c r="N1035">
        <v>4</v>
      </c>
      <c r="O1035" t="s">
        <v>39</v>
      </c>
      <c r="P1035">
        <v>100</v>
      </c>
      <c r="Q1035" t="s">
        <v>37</v>
      </c>
      <c r="R1035" t="s">
        <v>36</v>
      </c>
      <c r="S1035" t="s">
        <v>37</v>
      </c>
      <c r="T1035" t="s">
        <v>61</v>
      </c>
      <c r="U1035">
        <v>3</v>
      </c>
      <c r="V1035" t="s">
        <v>41</v>
      </c>
      <c r="W1035" t="s">
        <v>42</v>
      </c>
      <c r="X1035" t="s">
        <v>36</v>
      </c>
      <c r="Y1035" t="s">
        <v>43</v>
      </c>
      <c r="Z1035" t="s">
        <v>37</v>
      </c>
      <c r="AA1035">
        <v>2.78</v>
      </c>
      <c r="AB1035" t="s">
        <v>37</v>
      </c>
      <c r="AC1035">
        <v>3.8</v>
      </c>
      <c r="AD1035">
        <v>29</v>
      </c>
      <c r="AE1035">
        <v>120000</v>
      </c>
      <c r="AF1035" t="str">
        <f>IF(Table1[[#This Row],[What is your current CGPA?]]&gt;=3.5,"High",IF(Table1[[#This Row],[What is your current CGPA?]]&gt;=2.5,"Medium","Low"))</f>
        <v>High</v>
      </c>
      <c r="AG1035" t="str">
        <f>IF(AND(Table1[[#This Row],[Average attendance on class]]&lt;75,Table1[[#This Row],[How many hour do you study daily?]]&lt;1),"At Risk","Normal")</f>
        <v>Normal</v>
      </c>
      <c r="AH1035">
        <f>(Table1[[#This Row],[Average attendance on class]]*0.4)+(Table1[[#This Row],[How many hour do you study daily?]]*10*0.3)+(Table1[[#This Row],[How many hour do you spent daily on your skill development?]]*10*0.3)</f>
        <v>67</v>
      </c>
    </row>
    <row r="1036" spans="1:34" x14ac:dyDescent="0.25">
      <c r="A1036">
        <v>2020</v>
      </c>
      <c r="B1036" t="s">
        <v>34</v>
      </c>
      <c r="C1036">
        <v>20</v>
      </c>
      <c r="D1036">
        <v>2019</v>
      </c>
      <c r="E1036" t="s">
        <v>35</v>
      </c>
      <c r="F1036">
        <v>10</v>
      </c>
      <c r="G1036" t="s">
        <v>37</v>
      </c>
      <c r="H1036" t="s">
        <v>37</v>
      </c>
      <c r="I1036">
        <v>3</v>
      </c>
      <c r="J1036">
        <v>2</v>
      </c>
      <c r="K1036" t="s">
        <v>38</v>
      </c>
      <c r="L1036" t="s">
        <v>36</v>
      </c>
      <c r="M1036" t="s">
        <v>36</v>
      </c>
      <c r="N1036">
        <v>7</v>
      </c>
      <c r="O1036" t="s">
        <v>39</v>
      </c>
      <c r="P1036">
        <v>100</v>
      </c>
      <c r="Q1036" t="s">
        <v>37</v>
      </c>
      <c r="R1036" t="s">
        <v>37</v>
      </c>
      <c r="S1036" t="s">
        <v>37</v>
      </c>
      <c r="T1036" t="s">
        <v>61</v>
      </c>
      <c r="U1036">
        <v>1</v>
      </c>
      <c r="V1036" t="s">
        <v>59</v>
      </c>
      <c r="W1036" t="s">
        <v>50</v>
      </c>
      <c r="X1036" t="s">
        <v>36</v>
      </c>
      <c r="Y1036" t="s">
        <v>43</v>
      </c>
      <c r="Z1036" t="s">
        <v>37</v>
      </c>
      <c r="AA1036">
        <v>2.21</v>
      </c>
      <c r="AB1036" t="s">
        <v>37</v>
      </c>
      <c r="AC1036">
        <v>3.3</v>
      </c>
      <c r="AD1036">
        <v>137</v>
      </c>
      <c r="AE1036">
        <v>122000</v>
      </c>
      <c r="AF1036" t="str">
        <f>IF(Table1[[#This Row],[What is your current CGPA?]]&gt;=3.5,"High",IF(Table1[[#This Row],[What is your current CGPA?]]&gt;=2.5,"Medium","Low"))</f>
        <v>Medium</v>
      </c>
      <c r="AG1036" t="str">
        <f>IF(AND(Table1[[#This Row],[Average attendance on class]]&lt;75,Table1[[#This Row],[How many hour do you study daily?]]&lt;1),"At Risk","Normal")</f>
        <v>Normal</v>
      </c>
      <c r="AH1036">
        <f>(Table1[[#This Row],[Average attendance on class]]*0.4)+(Table1[[#This Row],[How many hour do you study daily?]]*10*0.3)+(Table1[[#This Row],[How many hour do you spent daily on your skill development?]]*10*0.3)</f>
        <v>52</v>
      </c>
    </row>
    <row r="1037" spans="1:34" x14ac:dyDescent="0.25">
      <c r="A1037">
        <v>2020</v>
      </c>
      <c r="B1037" t="s">
        <v>34</v>
      </c>
      <c r="C1037">
        <v>20</v>
      </c>
      <c r="D1037">
        <v>2020</v>
      </c>
      <c r="E1037" t="s">
        <v>35</v>
      </c>
      <c r="F1037">
        <v>11</v>
      </c>
      <c r="G1037" t="s">
        <v>37</v>
      </c>
      <c r="H1037" t="s">
        <v>37</v>
      </c>
      <c r="I1037">
        <v>3</v>
      </c>
      <c r="J1037">
        <v>3</v>
      </c>
      <c r="K1037" t="s">
        <v>38</v>
      </c>
      <c r="L1037" t="s">
        <v>36</v>
      </c>
      <c r="M1037" t="s">
        <v>36</v>
      </c>
      <c r="N1037">
        <v>3</v>
      </c>
      <c r="O1037" t="s">
        <v>53</v>
      </c>
      <c r="P1037">
        <v>100</v>
      </c>
      <c r="Q1037" t="s">
        <v>37</v>
      </c>
      <c r="R1037" t="s">
        <v>37</v>
      </c>
      <c r="S1037" t="s">
        <v>37</v>
      </c>
      <c r="T1037" t="s">
        <v>49</v>
      </c>
      <c r="U1037">
        <v>1</v>
      </c>
      <c r="V1037" t="s">
        <v>41</v>
      </c>
      <c r="W1037" t="s">
        <v>50</v>
      </c>
      <c r="X1037" t="s">
        <v>37</v>
      </c>
      <c r="Y1037" t="s">
        <v>43</v>
      </c>
      <c r="Z1037" t="s">
        <v>37</v>
      </c>
      <c r="AA1037">
        <v>1.46</v>
      </c>
      <c r="AB1037" t="s">
        <v>37</v>
      </c>
      <c r="AC1037">
        <v>2.5099999999999998</v>
      </c>
      <c r="AD1037">
        <v>143</v>
      </c>
      <c r="AE1037">
        <v>122000</v>
      </c>
      <c r="AF1037" t="str">
        <f>IF(Table1[[#This Row],[What is your current CGPA?]]&gt;=3.5,"High",IF(Table1[[#This Row],[What is your current CGPA?]]&gt;=2.5,"Medium","Low"))</f>
        <v>Medium</v>
      </c>
      <c r="AG1037" t="str">
        <f>IF(AND(Table1[[#This Row],[Average attendance on class]]&lt;75,Table1[[#This Row],[How many hour do you study daily?]]&lt;1),"At Risk","Normal")</f>
        <v>Normal</v>
      </c>
      <c r="AH1037">
        <f>(Table1[[#This Row],[Average attendance on class]]*0.4)+(Table1[[#This Row],[How many hour do you study daily?]]*10*0.3)+(Table1[[#This Row],[How many hour do you spent daily on your skill development?]]*10*0.3)</f>
        <v>52</v>
      </c>
    </row>
    <row r="1038" spans="1:34" x14ac:dyDescent="0.25">
      <c r="A1038">
        <v>2020</v>
      </c>
      <c r="B1038" t="s">
        <v>34</v>
      </c>
      <c r="C1038">
        <v>20</v>
      </c>
      <c r="D1038">
        <v>2020</v>
      </c>
      <c r="E1038" t="s">
        <v>35</v>
      </c>
      <c r="F1038">
        <v>10</v>
      </c>
      <c r="G1038" t="s">
        <v>36</v>
      </c>
      <c r="H1038" t="s">
        <v>37</v>
      </c>
      <c r="I1038">
        <v>2</v>
      </c>
      <c r="J1038">
        <v>2</v>
      </c>
      <c r="K1038" t="s">
        <v>38</v>
      </c>
      <c r="L1038" t="s">
        <v>36</v>
      </c>
      <c r="M1038" t="s">
        <v>36</v>
      </c>
      <c r="N1038">
        <v>2</v>
      </c>
      <c r="O1038" t="s">
        <v>39</v>
      </c>
      <c r="P1038">
        <v>64</v>
      </c>
      <c r="Q1038" t="s">
        <v>36</v>
      </c>
      <c r="R1038" t="s">
        <v>37</v>
      </c>
      <c r="S1038" t="s">
        <v>37</v>
      </c>
      <c r="T1038" t="s">
        <v>51</v>
      </c>
      <c r="U1038">
        <v>4</v>
      </c>
      <c r="V1038" t="s">
        <v>59</v>
      </c>
      <c r="W1038" t="s">
        <v>42</v>
      </c>
      <c r="X1038" t="s">
        <v>37</v>
      </c>
      <c r="Y1038" t="s">
        <v>43</v>
      </c>
      <c r="Z1038" t="s">
        <v>36</v>
      </c>
      <c r="AA1038">
        <v>2.67</v>
      </c>
      <c r="AB1038" t="s">
        <v>37</v>
      </c>
      <c r="AC1038">
        <v>3.78</v>
      </c>
      <c r="AD1038">
        <v>136</v>
      </c>
      <c r="AE1038">
        <v>127000</v>
      </c>
      <c r="AF1038" t="str">
        <f>IF(Table1[[#This Row],[What is your current CGPA?]]&gt;=3.5,"High",IF(Table1[[#This Row],[What is your current CGPA?]]&gt;=2.5,"Medium","Low"))</f>
        <v>High</v>
      </c>
      <c r="AG1038" t="str">
        <f>IF(AND(Table1[[#This Row],[Average attendance on class]]&lt;75,Table1[[#This Row],[How many hour do you study daily?]]&lt;1),"At Risk","Normal")</f>
        <v>Normal</v>
      </c>
      <c r="AH1038">
        <f>(Table1[[#This Row],[Average attendance on class]]*0.4)+(Table1[[#This Row],[How many hour do you study daily?]]*10*0.3)+(Table1[[#This Row],[How many hour do you spent daily on your skill development?]]*10*0.3)</f>
        <v>43.6</v>
      </c>
    </row>
    <row r="1039" spans="1:34" x14ac:dyDescent="0.25">
      <c r="A1039">
        <v>2020</v>
      </c>
      <c r="B1039" t="s">
        <v>34</v>
      </c>
      <c r="C1039">
        <v>21</v>
      </c>
      <c r="D1039">
        <v>2018</v>
      </c>
      <c r="E1039" t="s">
        <v>35</v>
      </c>
      <c r="F1039">
        <v>9</v>
      </c>
      <c r="G1039" t="s">
        <v>37</v>
      </c>
      <c r="H1039" t="s">
        <v>37</v>
      </c>
      <c r="I1039">
        <v>5</v>
      </c>
      <c r="J1039">
        <v>3</v>
      </c>
      <c r="K1039" t="s">
        <v>44</v>
      </c>
      <c r="L1039" t="s">
        <v>36</v>
      </c>
      <c r="M1039" t="s">
        <v>37</v>
      </c>
      <c r="N1039">
        <v>7</v>
      </c>
      <c r="O1039" t="s">
        <v>39</v>
      </c>
      <c r="P1039">
        <v>100</v>
      </c>
      <c r="Q1039" t="s">
        <v>37</v>
      </c>
      <c r="R1039" t="s">
        <v>37</v>
      </c>
      <c r="S1039" t="s">
        <v>36</v>
      </c>
      <c r="T1039" t="s">
        <v>51</v>
      </c>
      <c r="U1039">
        <v>2</v>
      </c>
      <c r="V1039" t="s">
        <v>59</v>
      </c>
      <c r="W1039" t="s">
        <v>42</v>
      </c>
      <c r="X1039" t="s">
        <v>37</v>
      </c>
      <c r="Y1039" t="s">
        <v>43</v>
      </c>
      <c r="Z1039" t="s">
        <v>37</v>
      </c>
      <c r="AA1039">
        <v>2.3199999999999998</v>
      </c>
      <c r="AB1039" t="s">
        <v>37</v>
      </c>
      <c r="AC1039">
        <v>3.78</v>
      </c>
      <c r="AD1039">
        <v>123</v>
      </c>
      <c r="AE1039">
        <v>130000</v>
      </c>
      <c r="AF1039" t="str">
        <f>IF(Table1[[#This Row],[What is your current CGPA?]]&gt;=3.5,"High",IF(Table1[[#This Row],[What is your current CGPA?]]&gt;=2.5,"Medium","Low"))</f>
        <v>High</v>
      </c>
      <c r="AG1039" t="str">
        <f>IF(AND(Table1[[#This Row],[Average attendance on class]]&lt;75,Table1[[#This Row],[How many hour do you study daily?]]&lt;1),"At Risk","Normal")</f>
        <v>Normal</v>
      </c>
      <c r="AH1039">
        <f>(Table1[[#This Row],[Average attendance on class]]*0.4)+(Table1[[#This Row],[How many hour do you study daily?]]*10*0.3)+(Table1[[#This Row],[How many hour do you spent daily on your skill development?]]*10*0.3)</f>
        <v>61</v>
      </c>
    </row>
    <row r="1040" spans="1:34" x14ac:dyDescent="0.25">
      <c r="A1040">
        <v>2022</v>
      </c>
      <c r="B1040" t="s">
        <v>48</v>
      </c>
      <c r="C1040">
        <v>21</v>
      </c>
      <c r="D1040">
        <v>2020</v>
      </c>
      <c r="E1040" t="s">
        <v>35</v>
      </c>
      <c r="F1040">
        <v>4</v>
      </c>
      <c r="G1040" t="s">
        <v>37</v>
      </c>
      <c r="H1040" t="s">
        <v>37</v>
      </c>
      <c r="I1040">
        <v>4</v>
      </c>
      <c r="J1040">
        <v>2</v>
      </c>
      <c r="K1040" t="s">
        <v>38</v>
      </c>
      <c r="L1040" t="s">
        <v>36</v>
      </c>
      <c r="M1040" t="s">
        <v>36</v>
      </c>
      <c r="N1040">
        <v>7</v>
      </c>
      <c r="O1040" t="s">
        <v>39</v>
      </c>
      <c r="P1040">
        <v>79</v>
      </c>
      <c r="Q1040" t="s">
        <v>37</v>
      </c>
      <c r="R1040" t="s">
        <v>37</v>
      </c>
      <c r="S1040" t="s">
        <v>37</v>
      </c>
      <c r="T1040" t="s">
        <v>49</v>
      </c>
      <c r="U1040">
        <v>3</v>
      </c>
      <c r="V1040" t="s">
        <v>59</v>
      </c>
      <c r="W1040" t="s">
        <v>56</v>
      </c>
      <c r="X1040" t="s">
        <v>36</v>
      </c>
      <c r="Y1040" t="s">
        <v>47</v>
      </c>
      <c r="Z1040" t="s">
        <v>37</v>
      </c>
      <c r="AA1040">
        <v>2.2200000000000002</v>
      </c>
      <c r="AB1040" t="s">
        <v>37</v>
      </c>
      <c r="AC1040">
        <v>3.41</v>
      </c>
      <c r="AD1040">
        <v>59</v>
      </c>
      <c r="AE1040">
        <v>133000</v>
      </c>
      <c r="AF1040" t="str">
        <f>IF(Table1[[#This Row],[What is your current CGPA?]]&gt;=3.5,"High",IF(Table1[[#This Row],[What is your current CGPA?]]&gt;=2.5,"Medium","Low"))</f>
        <v>Medium</v>
      </c>
      <c r="AG1040" t="str">
        <f>IF(AND(Table1[[#This Row],[Average attendance on class]]&lt;75,Table1[[#This Row],[How many hour do you study daily?]]&lt;1),"At Risk","Normal")</f>
        <v>Normal</v>
      </c>
      <c r="AH1040">
        <f>(Table1[[#This Row],[Average attendance on class]]*0.4)+(Table1[[#This Row],[How many hour do you study daily?]]*10*0.3)+(Table1[[#This Row],[How many hour do you spent daily on your skill development?]]*10*0.3)</f>
        <v>52.6</v>
      </c>
    </row>
    <row r="1041" spans="1:34" x14ac:dyDescent="0.25">
      <c r="A1041">
        <v>2022</v>
      </c>
      <c r="B1041" t="s">
        <v>48</v>
      </c>
      <c r="C1041">
        <v>20</v>
      </c>
      <c r="D1041">
        <v>2020</v>
      </c>
      <c r="E1041" t="s">
        <v>35</v>
      </c>
      <c r="F1041">
        <v>3</v>
      </c>
      <c r="G1041" t="s">
        <v>37</v>
      </c>
      <c r="H1041" t="s">
        <v>37</v>
      </c>
      <c r="I1041">
        <v>4</v>
      </c>
      <c r="J1041">
        <v>2</v>
      </c>
      <c r="K1041" t="s">
        <v>38</v>
      </c>
      <c r="L1041" t="s">
        <v>36</v>
      </c>
      <c r="M1041" t="s">
        <v>36</v>
      </c>
      <c r="N1041">
        <v>7</v>
      </c>
      <c r="O1041" t="s">
        <v>39</v>
      </c>
      <c r="P1041">
        <v>80</v>
      </c>
      <c r="Q1041" t="s">
        <v>37</v>
      </c>
      <c r="R1041" t="s">
        <v>37</v>
      </c>
      <c r="S1041" t="s">
        <v>36</v>
      </c>
      <c r="T1041" t="s">
        <v>40</v>
      </c>
      <c r="U1041">
        <v>1</v>
      </c>
      <c r="V1041" t="s">
        <v>62</v>
      </c>
      <c r="W1041" t="s">
        <v>42</v>
      </c>
      <c r="X1041" t="s">
        <v>37</v>
      </c>
      <c r="Y1041" t="s">
        <v>43</v>
      </c>
      <c r="Z1041" t="s">
        <v>37</v>
      </c>
      <c r="AA1041">
        <v>1.88</v>
      </c>
      <c r="AB1041" t="s">
        <v>37</v>
      </c>
      <c r="AC1041">
        <v>2.97</v>
      </c>
      <c r="AD1041">
        <v>29</v>
      </c>
      <c r="AE1041">
        <v>140000</v>
      </c>
      <c r="AF1041" t="str">
        <f>IF(Table1[[#This Row],[What is your current CGPA?]]&gt;=3.5,"High",IF(Table1[[#This Row],[What is your current CGPA?]]&gt;=2.5,"Medium","Low"))</f>
        <v>Medium</v>
      </c>
      <c r="AG1041" t="str">
        <f>IF(AND(Table1[[#This Row],[Average attendance on class]]&lt;75,Table1[[#This Row],[How many hour do you study daily?]]&lt;1),"At Risk","Normal")</f>
        <v>Normal</v>
      </c>
      <c r="AH1041">
        <f>(Table1[[#This Row],[Average attendance on class]]*0.4)+(Table1[[#This Row],[How many hour do you study daily?]]*10*0.3)+(Table1[[#This Row],[How many hour do you spent daily on your skill development?]]*10*0.3)</f>
        <v>47</v>
      </c>
    </row>
    <row r="1042" spans="1:34" x14ac:dyDescent="0.25">
      <c r="A1042">
        <v>2020</v>
      </c>
      <c r="B1042" t="s">
        <v>34</v>
      </c>
      <c r="C1042">
        <v>20</v>
      </c>
      <c r="D1042">
        <v>2020</v>
      </c>
      <c r="E1042" t="s">
        <v>35</v>
      </c>
      <c r="F1042">
        <v>10</v>
      </c>
      <c r="G1042" t="s">
        <v>37</v>
      </c>
      <c r="H1042" t="s">
        <v>37</v>
      </c>
      <c r="I1042">
        <v>2</v>
      </c>
      <c r="J1042">
        <v>1</v>
      </c>
      <c r="K1042" t="s">
        <v>44</v>
      </c>
      <c r="L1042" t="s">
        <v>36</v>
      </c>
      <c r="M1042" t="s">
        <v>36</v>
      </c>
      <c r="N1042">
        <v>3</v>
      </c>
      <c r="O1042" t="s">
        <v>45</v>
      </c>
      <c r="P1042">
        <v>73</v>
      </c>
      <c r="Q1042" t="s">
        <v>36</v>
      </c>
      <c r="R1042" t="s">
        <v>37</v>
      </c>
      <c r="S1042" t="s">
        <v>37</v>
      </c>
      <c r="T1042" t="s">
        <v>51</v>
      </c>
      <c r="U1042">
        <v>2</v>
      </c>
      <c r="V1042" t="s">
        <v>59</v>
      </c>
      <c r="W1042" t="s">
        <v>56</v>
      </c>
      <c r="X1042" t="s">
        <v>37</v>
      </c>
      <c r="Y1042" t="s">
        <v>43</v>
      </c>
      <c r="Z1042" t="s">
        <v>37</v>
      </c>
      <c r="AA1042">
        <v>1.45</v>
      </c>
      <c r="AB1042" t="s">
        <v>37</v>
      </c>
      <c r="AC1042">
        <v>2.52</v>
      </c>
      <c r="AD1042">
        <v>135</v>
      </c>
      <c r="AE1042">
        <v>140000</v>
      </c>
      <c r="AF1042" t="str">
        <f>IF(Table1[[#This Row],[What is your current CGPA?]]&gt;=3.5,"High",IF(Table1[[#This Row],[What is your current CGPA?]]&gt;=2.5,"Medium","Low"))</f>
        <v>Medium</v>
      </c>
      <c r="AG1042" t="str">
        <f>IF(AND(Table1[[#This Row],[Average attendance on class]]&lt;75,Table1[[#This Row],[How many hour do you study daily?]]&lt;1),"At Risk","Normal")</f>
        <v>Normal</v>
      </c>
      <c r="AH1042">
        <f>(Table1[[#This Row],[Average attendance on class]]*0.4)+(Table1[[#This Row],[How many hour do you study daily?]]*10*0.3)+(Table1[[#This Row],[How many hour do you spent daily on your skill development?]]*10*0.3)</f>
        <v>41.2</v>
      </c>
    </row>
    <row r="1043" spans="1:34" x14ac:dyDescent="0.25">
      <c r="A1043">
        <v>2020</v>
      </c>
      <c r="B1043" t="s">
        <v>34</v>
      </c>
      <c r="C1043">
        <v>25</v>
      </c>
      <c r="D1043">
        <v>2018</v>
      </c>
      <c r="E1043" t="s">
        <v>35</v>
      </c>
      <c r="F1043">
        <v>9</v>
      </c>
      <c r="G1043" t="s">
        <v>37</v>
      </c>
      <c r="H1043" t="s">
        <v>37</v>
      </c>
      <c r="I1043">
        <v>3</v>
      </c>
      <c r="J1043">
        <v>1</v>
      </c>
      <c r="K1043" t="s">
        <v>38</v>
      </c>
      <c r="L1043" t="s">
        <v>36</v>
      </c>
      <c r="M1043" t="s">
        <v>36</v>
      </c>
      <c r="N1043">
        <v>2</v>
      </c>
      <c r="O1043" t="s">
        <v>53</v>
      </c>
      <c r="P1043">
        <v>87</v>
      </c>
      <c r="Q1043" t="s">
        <v>36</v>
      </c>
      <c r="R1043" t="s">
        <v>37</v>
      </c>
      <c r="S1043" t="s">
        <v>37</v>
      </c>
      <c r="T1043" t="s">
        <v>51</v>
      </c>
      <c r="U1043">
        <v>4</v>
      </c>
      <c r="V1043" t="s">
        <v>59</v>
      </c>
      <c r="W1043" t="s">
        <v>42</v>
      </c>
      <c r="X1043" t="s">
        <v>36</v>
      </c>
      <c r="Y1043" t="s">
        <v>47</v>
      </c>
      <c r="Z1043" t="s">
        <v>37</v>
      </c>
      <c r="AA1043">
        <v>1.54</v>
      </c>
      <c r="AB1043" t="s">
        <v>37</v>
      </c>
      <c r="AC1043">
        <v>2.62</v>
      </c>
      <c r="AD1043">
        <v>121</v>
      </c>
      <c r="AE1043">
        <v>144000</v>
      </c>
      <c r="AF1043" t="str">
        <f>IF(Table1[[#This Row],[What is your current CGPA?]]&gt;=3.5,"High",IF(Table1[[#This Row],[What is your current CGPA?]]&gt;=2.5,"Medium","Low"))</f>
        <v>Medium</v>
      </c>
      <c r="AG1043" t="str">
        <f>IF(AND(Table1[[#This Row],[Average attendance on class]]&lt;75,Table1[[#This Row],[How many hour do you study daily?]]&lt;1),"At Risk","Normal")</f>
        <v>Normal</v>
      </c>
      <c r="AH1043">
        <f>(Table1[[#This Row],[Average attendance on class]]*0.4)+(Table1[[#This Row],[How many hour do you study daily?]]*10*0.3)+(Table1[[#This Row],[How many hour do you spent daily on your skill development?]]*10*0.3)</f>
        <v>55.800000000000004</v>
      </c>
    </row>
    <row r="1044" spans="1:34" x14ac:dyDescent="0.25">
      <c r="A1044">
        <v>2021</v>
      </c>
      <c r="B1044" t="s">
        <v>34</v>
      </c>
      <c r="C1044">
        <v>20</v>
      </c>
      <c r="D1044">
        <v>2020</v>
      </c>
      <c r="E1044" t="s">
        <v>35</v>
      </c>
      <c r="F1044">
        <v>8</v>
      </c>
      <c r="G1044" t="s">
        <v>37</v>
      </c>
      <c r="H1044" t="s">
        <v>37</v>
      </c>
      <c r="I1044">
        <v>3</v>
      </c>
      <c r="J1044">
        <v>3</v>
      </c>
      <c r="K1044" t="s">
        <v>38</v>
      </c>
      <c r="L1044" t="s">
        <v>36</v>
      </c>
      <c r="M1044" t="s">
        <v>36</v>
      </c>
      <c r="N1044">
        <v>3</v>
      </c>
      <c r="O1044" t="s">
        <v>39</v>
      </c>
      <c r="P1044">
        <v>100</v>
      </c>
      <c r="Q1044" t="s">
        <v>37</v>
      </c>
      <c r="R1044" t="s">
        <v>37</v>
      </c>
      <c r="S1044" t="s">
        <v>36</v>
      </c>
      <c r="T1044" t="s">
        <v>51</v>
      </c>
      <c r="U1044">
        <v>1</v>
      </c>
      <c r="V1044" t="s">
        <v>59</v>
      </c>
      <c r="W1044" t="s">
        <v>42</v>
      </c>
      <c r="X1044" t="s">
        <v>36</v>
      </c>
      <c r="Y1044" t="s">
        <v>47</v>
      </c>
      <c r="Z1044" t="s">
        <v>37</v>
      </c>
      <c r="AA1044">
        <v>2.78</v>
      </c>
      <c r="AB1044" t="s">
        <v>37</v>
      </c>
      <c r="AC1044">
        <v>3.86</v>
      </c>
      <c r="AD1044">
        <v>89</v>
      </c>
      <c r="AE1044">
        <v>145000</v>
      </c>
      <c r="AF1044" t="str">
        <f>IF(Table1[[#This Row],[What is your current CGPA?]]&gt;=3.5,"High",IF(Table1[[#This Row],[What is your current CGPA?]]&gt;=2.5,"Medium","Low"))</f>
        <v>High</v>
      </c>
      <c r="AG1044" t="str">
        <f>IF(AND(Table1[[#This Row],[Average attendance on class]]&lt;75,Table1[[#This Row],[How many hour do you study daily?]]&lt;1),"At Risk","Normal")</f>
        <v>Normal</v>
      </c>
      <c r="AH1044">
        <f>(Table1[[#This Row],[Average attendance on class]]*0.4)+(Table1[[#This Row],[How many hour do you study daily?]]*10*0.3)+(Table1[[#This Row],[How many hour do you spent daily on your skill development?]]*10*0.3)</f>
        <v>52</v>
      </c>
    </row>
    <row r="1045" spans="1:34" x14ac:dyDescent="0.25">
      <c r="A1045">
        <v>2019</v>
      </c>
      <c r="B1045" t="s">
        <v>34</v>
      </c>
      <c r="C1045">
        <v>21</v>
      </c>
      <c r="D1045">
        <v>2018</v>
      </c>
      <c r="E1045" t="s">
        <v>35</v>
      </c>
      <c r="F1045">
        <v>11</v>
      </c>
      <c r="G1045" t="s">
        <v>37</v>
      </c>
      <c r="H1045" t="s">
        <v>37</v>
      </c>
      <c r="I1045">
        <v>2</v>
      </c>
      <c r="J1045">
        <v>2</v>
      </c>
      <c r="K1045" t="s">
        <v>38</v>
      </c>
      <c r="L1045" t="s">
        <v>36</v>
      </c>
      <c r="M1045" t="s">
        <v>36</v>
      </c>
      <c r="N1045">
        <v>3</v>
      </c>
      <c r="O1045" t="s">
        <v>39</v>
      </c>
      <c r="P1045">
        <v>80</v>
      </c>
      <c r="Q1045" t="s">
        <v>37</v>
      </c>
      <c r="R1045" t="s">
        <v>37</v>
      </c>
      <c r="S1045" t="s">
        <v>37</v>
      </c>
      <c r="T1045" t="s">
        <v>40</v>
      </c>
      <c r="U1045">
        <v>4</v>
      </c>
      <c r="V1045" t="s">
        <v>62</v>
      </c>
      <c r="W1045" t="s">
        <v>42</v>
      </c>
      <c r="X1045" t="s">
        <v>37</v>
      </c>
      <c r="Y1045" t="s">
        <v>43</v>
      </c>
      <c r="Z1045" t="s">
        <v>37</v>
      </c>
      <c r="AA1045">
        <v>2.1</v>
      </c>
      <c r="AB1045" t="s">
        <v>37</v>
      </c>
      <c r="AC1045">
        <v>3.41</v>
      </c>
      <c r="AD1045">
        <v>139</v>
      </c>
      <c r="AE1045">
        <v>150000</v>
      </c>
      <c r="AF1045" t="str">
        <f>IF(Table1[[#This Row],[What is your current CGPA?]]&gt;=3.5,"High",IF(Table1[[#This Row],[What is your current CGPA?]]&gt;=2.5,"Medium","Low"))</f>
        <v>Medium</v>
      </c>
      <c r="AG1045" t="str">
        <f>IF(AND(Table1[[#This Row],[Average attendance on class]]&lt;75,Table1[[#This Row],[How many hour do you study daily?]]&lt;1),"At Risk","Normal")</f>
        <v>Normal</v>
      </c>
      <c r="AH1045">
        <f>(Table1[[#This Row],[Average attendance on class]]*0.4)+(Table1[[#This Row],[How many hour do you study daily?]]*10*0.3)+(Table1[[#This Row],[How many hour do you spent daily on your skill development?]]*10*0.3)</f>
        <v>50</v>
      </c>
    </row>
    <row r="1046" spans="1:34" x14ac:dyDescent="0.25">
      <c r="A1046">
        <v>2020</v>
      </c>
      <c r="B1046" t="s">
        <v>34</v>
      </c>
      <c r="C1046">
        <v>24</v>
      </c>
      <c r="D1046">
        <v>2019</v>
      </c>
      <c r="E1046" t="s">
        <v>35</v>
      </c>
      <c r="F1046">
        <v>11</v>
      </c>
      <c r="G1046" t="s">
        <v>37</v>
      </c>
      <c r="H1046" t="s">
        <v>37</v>
      </c>
      <c r="I1046">
        <v>5</v>
      </c>
      <c r="J1046">
        <v>3</v>
      </c>
      <c r="K1046" t="s">
        <v>38</v>
      </c>
      <c r="L1046" t="s">
        <v>36</v>
      </c>
      <c r="M1046" t="s">
        <v>37</v>
      </c>
      <c r="N1046">
        <v>2</v>
      </c>
      <c r="O1046" t="s">
        <v>53</v>
      </c>
      <c r="P1046">
        <v>100</v>
      </c>
      <c r="Q1046" t="s">
        <v>36</v>
      </c>
      <c r="R1046" t="s">
        <v>37</v>
      </c>
      <c r="S1046" t="s">
        <v>36</v>
      </c>
      <c r="T1046" t="s">
        <v>51</v>
      </c>
      <c r="U1046">
        <v>1</v>
      </c>
      <c r="V1046" t="s">
        <v>59</v>
      </c>
      <c r="W1046" t="s">
        <v>42</v>
      </c>
      <c r="X1046" t="s">
        <v>37</v>
      </c>
      <c r="Y1046" t="s">
        <v>47</v>
      </c>
      <c r="Z1046" t="s">
        <v>37</v>
      </c>
      <c r="AA1046">
        <v>2.57</v>
      </c>
      <c r="AB1046" t="s">
        <v>37</v>
      </c>
      <c r="AC1046">
        <v>3.63</v>
      </c>
      <c r="AD1046">
        <v>144</v>
      </c>
      <c r="AE1046">
        <v>150000</v>
      </c>
      <c r="AF1046" t="str">
        <f>IF(Table1[[#This Row],[What is your current CGPA?]]&gt;=3.5,"High",IF(Table1[[#This Row],[What is your current CGPA?]]&gt;=2.5,"Medium","Low"))</f>
        <v>High</v>
      </c>
      <c r="AG1046" t="str">
        <f>IF(AND(Table1[[#This Row],[Average attendance on class]]&lt;75,Table1[[#This Row],[How many hour do you study daily?]]&lt;1),"At Risk","Normal")</f>
        <v>Normal</v>
      </c>
      <c r="AH1046">
        <f>(Table1[[#This Row],[Average attendance on class]]*0.4)+(Table1[[#This Row],[How many hour do you study daily?]]*10*0.3)+(Table1[[#This Row],[How many hour do you spent daily on your skill development?]]*10*0.3)</f>
        <v>58</v>
      </c>
    </row>
    <row r="1047" spans="1:34" x14ac:dyDescent="0.25">
      <c r="A1047">
        <v>2022</v>
      </c>
      <c r="B1047" t="s">
        <v>48</v>
      </c>
      <c r="C1047">
        <v>19</v>
      </c>
      <c r="D1047">
        <v>2021</v>
      </c>
      <c r="E1047" t="s">
        <v>35</v>
      </c>
      <c r="F1047">
        <v>4</v>
      </c>
      <c r="G1047" t="s">
        <v>37</v>
      </c>
      <c r="H1047" t="s">
        <v>37</v>
      </c>
      <c r="I1047">
        <v>2</v>
      </c>
      <c r="J1047">
        <v>2</v>
      </c>
      <c r="K1047" t="s">
        <v>38</v>
      </c>
      <c r="L1047" t="s">
        <v>36</v>
      </c>
      <c r="M1047" t="s">
        <v>36</v>
      </c>
      <c r="N1047">
        <v>4</v>
      </c>
      <c r="O1047" t="s">
        <v>39</v>
      </c>
      <c r="P1047">
        <v>100</v>
      </c>
      <c r="Q1047" t="s">
        <v>37</v>
      </c>
      <c r="R1047" t="s">
        <v>37</v>
      </c>
      <c r="S1047" t="s">
        <v>37</v>
      </c>
      <c r="T1047" t="s">
        <v>49</v>
      </c>
      <c r="U1047">
        <v>1</v>
      </c>
      <c r="V1047" t="s">
        <v>40</v>
      </c>
      <c r="W1047" t="s">
        <v>50</v>
      </c>
      <c r="X1047" t="s">
        <v>36</v>
      </c>
      <c r="Y1047" t="s">
        <v>47</v>
      </c>
      <c r="Z1047" t="s">
        <v>37</v>
      </c>
      <c r="AA1047">
        <v>2.44</v>
      </c>
      <c r="AB1047" t="s">
        <v>37</v>
      </c>
      <c r="AC1047">
        <v>3.59</v>
      </c>
      <c r="AD1047">
        <v>68</v>
      </c>
      <c r="AE1047">
        <v>155000</v>
      </c>
      <c r="AF1047" t="str">
        <f>IF(Table1[[#This Row],[What is your current CGPA?]]&gt;=3.5,"High",IF(Table1[[#This Row],[What is your current CGPA?]]&gt;=2.5,"Medium","Low"))</f>
        <v>High</v>
      </c>
      <c r="AG1047" t="str">
        <f>IF(AND(Table1[[#This Row],[Average attendance on class]]&lt;75,Table1[[#This Row],[How many hour do you study daily?]]&lt;1),"At Risk","Normal")</f>
        <v>Normal</v>
      </c>
      <c r="AH1047">
        <f>(Table1[[#This Row],[Average attendance on class]]*0.4)+(Table1[[#This Row],[How many hour do you study daily?]]*10*0.3)+(Table1[[#This Row],[How many hour do you spent daily on your skill development?]]*10*0.3)</f>
        <v>49</v>
      </c>
    </row>
    <row r="1048" spans="1:34" x14ac:dyDescent="0.25">
      <c r="A1048">
        <v>2019</v>
      </c>
      <c r="B1048" t="s">
        <v>34</v>
      </c>
      <c r="C1048">
        <v>23</v>
      </c>
      <c r="D1048">
        <v>2019</v>
      </c>
      <c r="E1048" t="s">
        <v>35</v>
      </c>
      <c r="F1048">
        <v>10</v>
      </c>
      <c r="G1048" t="s">
        <v>37</v>
      </c>
      <c r="H1048" t="s">
        <v>37</v>
      </c>
      <c r="I1048">
        <v>3</v>
      </c>
      <c r="J1048">
        <v>1</v>
      </c>
      <c r="K1048" t="s">
        <v>44</v>
      </c>
      <c r="L1048" t="s">
        <v>36</v>
      </c>
      <c r="M1048" t="s">
        <v>36</v>
      </c>
      <c r="N1048">
        <v>2</v>
      </c>
      <c r="O1048" t="s">
        <v>45</v>
      </c>
      <c r="P1048">
        <v>78</v>
      </c>
      <c r="Q1048" t="s">
        <v>36</v>
      </c>
      <c r="R1048" t="s">
        <v>36</v>
      </c>
      <c r="S1048" t="s">
        <v>37</v>
      </c>
      <c r="T1048" t="s">
        <v>51</v>
      </c>
      <c r="U1048">
        <v>1</v>
      </c>
      <c r="V1048" t="s">
        <v>59</v>
      </c>
      <c r="W1048" t="s">
        <v>56</v>
      </c>
      <c r="X1048" t="s">
        <v>37</v>
      </c>
      <c r="Y1048" t="s">
        <v>47</v>
      </c>
      <c r="Z1048" t="s">
        <v>37</v>
      </c>
      <c r="AA1048">
        <v>1.67</v>
      </c>
      <c r="AB1048" t="s">
        <v>37</v>
      </c>
      <c r="AC1048">
        <v>2.77</v>
      </c>
      <c r="AD1048">
        <v>139</v>
      </c>
      <c r="AE1048">
        <v>160000</v>
      </c>
      <c r="AF1048" t="str">
        <f>IF(Table1[[#This Row],[What is your current CGPA?]]&gt;=3.5,"High",IF(Table1[[#This Row],[What is your current CGPA?]]&gt;=2.5,"Medium","Low"))</f>
        <v>Medium</v>
      </c>
      <c r="AG1048" t="str">
        <f>IF(AND(Table1[[#This Row],[Average attendance on class]]&lt;75,Table1[[#This Row],[How many hour do you study daily?]]&lt;1),"At Risk","Normal")</f>
        <v>Normal</v>
      </c>
      <c r="AH1048">
        <f>(Table1[[#This Row],[Average attendance on class]]*0.4)+(Table1[[#This Row],[How many hour do you study daily?]]*10*0.3)+(Table1[[#This Row],[How many hour do you spent daily on your skill development?]]*10*0.3)</f>
        <v>43.2</v>
      </c>
    </row>
    <row r="1049" spans="1:34" x14ac:dyDescent="0.25">
      <c r="A1049">
        <v>2021</v>
      </c>
      <c r="B1049" t="s">
        <v>48</v>
      </c>
      <c r="C1049">
        <v>21</v>
      </c>
      <c r="D1049">
        <v>2020</v>
      </c>
      <c r="E1049" t="s">
        <v>35</v>
      </c>
      <c r="F1049">
        <v>6</v>
      </c>
      <c r="G1049" t="s">
        <v>37</v>
      </c>
      <c r="H1049" t="s">
        <v>37</v>
      </c>
      <c r="I1049">
        <v>3</v>
      </c>
      <c r="J1049">
        <v>3</v>
      </c>
      <c r="K1049" t="s">
        <v>44</v>
      </c>
      <c r="L1049" t="s">
        <v>36</v>
      </c>
      <c r="M1049" t="s">
        <v>36</v>
      </c>
      <c r="N1049">
        <v>5</v>
      </c>
      <c r="O1049" t="s">
        <v>53</v>
      </c>
      <c r="P1049">
        <v>100</v>
      </c>
      <c r="Q1049" t="s">
        <v>37</v>
      </c>
      <c r="R1049" t="s">
        <v>37</v>
      </c>
      <c r="S1049" t="s">
        <v>37</v>
      </c>
      <c r="T1049" t="s">
        <v>49</v>
      </c>
      <c r="U1049">
        <v>1</v>
      </c>
      <c r="V1049" t="s">
        <v>59</v>
      </c>
      <c r="W1049" t="s">
        <v>50</v>
      </c>
      <c r="X1049" t="s">
        <v>36</v>
      </c>
      <c r="Y1049" t="s">
        <v>43</v>
      </c>
      <c r="Z1049" t="s">
        <v>37</v>
      </c>
      <c r="AA1049">
        <v>1.55</v>
      </c>
      <c r="AB1049" t="s">
        <v>37</v>
      </c>
      <c r="AC1049">
        <v>2.61</v>
      </c>
      <c r="AD1049">
        <v>92</v>
      </c>
      <c r="AE1049">
        <v>165000</v>
      </c>
      <c r="AF1049" t="str">
        <f>IF(Table1[[#This Row],[What is your current CGPA?]]&gt;=3.5,"High",IF(Table1[[#This Row],[What is your current CGPA?]]&gt;=2.5,"Medium","Low"))</f>
        <v>Medium</v>
      </c>
      <c r="AG1049" t="str">
        <f>IF(AND(Table1[[#This Row],[Average attendance on class]]&lt;75,Table1[[#This Row],[How many hour do you study daily?]]&lt;1),"At Risk","Normal")</f>
        <v>Normal</v>
      </c>
      <c r="AH1049">
        <f>(Table1[[#This Row],[Average attendance on class]]*0.4)+(Table1[[#This Row],[How many hour do you study daily?]]*10*0.3)+(Table1[[#This Row],[How many hour do you spent daily on your skill development?]]*10*0.3)</f>
        <v>52</v>
      </c>
    </row>
    <row r="1050" spans="1:34" x14ac:dyDescent="0.25">
      <c r="A1050">
        <v>2021</v>
      </c>
      <c r="B1050" t="s">
        <v>48</v>
      </c>
      <c r="C1050">
        <v>20</v>
      </c>
      <c r="D1050">
        <v>2020</v>
      </c>
      <c r="E1050" t="s">
        <v>35</v>
      </c>
      <c r="F1050">
        <v>9</v>
      </c>
      <c r="G1050" t="s">
        <v>37</v>
      </c>
      <c r="H1050" t="s">
        <v>37</v>
      </c>
      <c r="I1050">
        <v>2</v>
      </c>
      <c r="J1050">
        <v>1</v>
      </c>
      <c r="K1050" t="s">
        <v>38</v>
      </c>
      <c r="L1050" t="s">
        <v>36</v>
      </c>
      <c r="M1050" t="s">
        <v>36</v>
      </c>
      <c r="N1050">
        <v>2</v>
      </c>
      <c r="O1050" t="s">
        <v>39</v>
      </c>
      <c r="P1050">
        <v>100</v>
      </c>
      <c r="Q1050" t="s">
        <v>36</v>
      </c>
      <c r="R1050" t="s">
        <v>37</v>
      </c>
      <c r="S1050" t="s">
        <v>37</v>
      </c>
      <c r="T1050" t="s">
        <v>61</v>
      </c>
      <c r="U1050">
        <v>1</v>
      </c>
      <c r="V1050" t="s">
        <v>41</v>
      </c>
      <c r="W1050" t="s">
        <v>42</v>
      </c>
      <c r="X1050" t="s">
        <v>36</v>
      </c>
      <c r="Y1050" t="s">
        <v>47</v>
      </c>
      <c r="Z1050" t="s">
        <v>36</v>
      </c>
      <c r="AA1050">
        <v>2.34</v>
      </c>
      <c r="AB1050" t="s">
        <v>37</v>
      </c>
      <c r="AC1050">
        <v>3.42</v>
      </c>
      <c r="AD1050">
        <v>103</v>
      </c>
      <c r="AE1050">
        <v>165000</v>
      </c>
      <c r="AF1050" t="str">
        <f>IF(Table1[[#This Row],[What is your current CGPA?]]&gt;=3.5,"High",IF(Table1[[#This Row],[What is your current CGPA?]]&gt;=2.5,"Medium","Low"))</f>
        <v>Medium</v>
      </c>
      <c r="AG1050" t="str">
        <f>IF(AND(Table1[[#This Row],[Average attendance on class]]&lt;75,Table1[[#This Row],[How many hour do you study daily?]]&lt;1),"At Risk","Normal")</f>
        <v>Normal</v>
      </c>
      <c r="AH1050">
        <f>(Table1[[#This Row],[Average attendance on class]]*0.4)+(Table1[[#This Row],[How many hour do you study daily?]]*10*0.3)+(Table1[[#This Row],[How many hour do you spent daily on your skill development?]]*10*0.3)</f>
        <v>49</v>
      </c>
    </row>
    <row r="1051" spans="1:34" x14ac:dyDescent="0.25">
      <c r="A1051">
        <v>2021</v>
      </c>
      <c r="B1051" t="s">
        <v>34</v>
      </c>
      <c r="C1051">
        <v>20</v>
      </c>
      <c r="D1051">
        <v>2020</v>
      </c>
      <c r="E1051" t="s">
        <v>35</v>
      </c>
      <c r="F1051">
        <v>7</v>
      </c>
      <c r="G1051" t="s">
        <v>37</v>
      </c>
      <c r="H1051" t="s">
        <v>37</v>
      </c>
      <c r="I1051">
        <v>2</v>
      </c>
      <c r="J1051">
        <v>1</v>
      </c>
      <c r="K1051" t="s">
        <v>38</v>
      </c>
      <c r="L1051" t="s">
        <v>36</v>
      </c>
      <c r="M1051" t="s">
        <v>36</v>
      </c>
      <c r="N1051">
        <v>6</v>
      </c>
      <c r="O1051" t="s">
        <v>45</v>
      </c>
      <c r="P1051">
        <v>80</v>
      </c>
      <c r="Q1051" t="s">
        <v>36</v>
      </c>
      <c r="R1051" t="s">
        <v>37</v>
      </c>
      <c r="S1051" t="s">
        <v>37</v>
      </c>
      <c r="T1051" t="s">
        <v>40</v>
      </c>
      <c r="U1051">
        <v>2</v>
      </c>
      <c r="V1051" t="s">
        <v>59</v>
      </c>
      <c r="W1051" t="s">
        <v>42</v>
      </c>
      <c r="X1051" t="s">
        <v>36</v>
      </c>
      <c r="Y1051" t="s">
        <v>47</v>
      </c>
      <c r="Z1051" t="s">
        <v>37</v>
      </c>
      <c r="AA1051">
        <v>1.54</v>
      </c>
      <c r="AB1051" t="s">
        <v>37</v>
      </c>
      <c r="AC1051">
        <v>2.95</v>
      </c>
      <c r="AD1051">
        <v>90</v>
      </c>
      <c r="AE1051">
        <v>169000</v>
      </c>
      <c r="AF1051" t="str">
        <f>IF(Table1[[#This Row],[What is your current CGPA?]]&gt;=3.5,"High",IF(Table1[[#This Row],[What is your current CGPA?]]&gt;=2.5,"Medium","Low"))</f>
        <v>Medium</v>
      </c>
      <c r="AG1051" t="str">
        <f>IF(AND(Table1[[#This Row],[Average attendance on class]]&lt;75,Table1[[#This Row],[How many hour do you study daily?]]&lt;1),"At Risk","Normal")</f>
        <v>Normal</v>
      </c>
      <c r="AH1051">
        <f>(Table1[[#This Row],[Average attendance on class]]*0.4)+(Table1[[#This Row],[How many hour do you study daily?]]*10*0.3)+(Table1[[#This Row],[How many hour do you spent daily on your skill development?]]*10*0.3)</f>
        <v>44</v>
      </c>
    </row>
    <row r="1052" spans="1:34" x14ac:dyDescent="0.25">
      <c r="A1052">
        <v>2020</v>
      </c>
      <c r="B1052" t="s">
        <v>34</v>
      </c>
      <c r="C1052">
        <v>21</v>
      </c>
      <c r="D1052">
        <v>2020</v>
      </c>
      <c r="E1052" t="s">
        <v>35</v>
      </c>
      <c r="F1052">
        <v>5</v>
      </c>
      <c r="G1052" t="s">
        <v>37</v>
      </c>
      <c r="H1052" t="s">
        <v>37</v>
      </c>
      <c r="I1052">
        <v>4</v>
      </c>
      <c r="J1052">
        <v>3</v>
      </c>
      <c r="K1052" t="s">
        <v>38</v>
      </c>
      <c r="L1052" t="s">
        <v>36</v>
      </c>
      <c r="M1052" t="s">
        <v>36</v>
      </c>
      <c r="N1052">
        <v>5</v>
      </c>
      <c r="O1052" t="s">
        <v>45</v>
      </c>
      <c r="P1052">
        <v>70</v>
      </c>
      <c r="Q1052" t="s">
        <v>37</v>
      </c>
      <c r="R1052" t="s">
        <v>37</v>
      </c>
      <c r="S1052" t="s">
        <v>36</v>
      </c>
      <c r="T1052" t="s">
        <v>40</v>
      </c>
      <c r="U1052">
        <v>2</v>
      </c>
      <c r="V1052" t="s">
        <v>40</v>
      </c>
      <c r="W1052" t="s">
        <v>50</v>
      </c>
      <c r="X1052" t="s">
        <v>37</v>
      </c>
      <c r="Y1052" t="s">
        <v>47</v>
      </c>
      <c r="Z1052" t="s">
        <v>37</v>
      </c>
      <c r="AA1052">
        <v>2</v>
      </c>
      <c r="AB1052" t="s">
        <v>37</v>
      </c>
      <c r="AC1052">
        <v>3.03</v>
      </c>
      <c r="AD1052">
        <v>71</v>
      </c>
      <c r="AE1052">
        <v>170000</v>
      </c>
      <c r="AF1052" t="str">
        <f>IF(Table1[[#This Row],[What is your current CGPA?]]&gt;=3.5,"High",IF(Table1[[#This Row],[What is your current CGPA?]]&gt;=2.5,"Medium","Low"))</f>
        <v>Medium</v>
      </c>
      <c r="AG1052" t="str">
        <f>IF(AND(Table1[[#This Row],[Average attendance on class]]&lt;75,Table1[[#This Row],[How many hour do you study daily?]]&lt;1),"At Risk","Normal")</f>
        <v>Normal</v>
      </c>
      <c r="AH1052">
        <f>(Table1[[#This Row],[Average attendance on class]]*0.4)+(Table1[[#This Row],[How many hour do you study daily?]]*10*0.3)+(Table1[[#This Row],[How many hour do you spent daily on your skill development?]]*10*0.3)</f>
        <v>46</v>
      </c>
    </row>
    <row r="1053" spans="1:34" x14ac:dyDescent="0.25">
      <c r="A1053">
        <v>2020</v>
      </c>
      <c r="B1053" t="s">
        <v>48</v>
      </c>
      <c r="C1053">
        <v>21</v>
      </c>
      <c r="D1053">
        <v>2018</v>
      </c>
      <c r="E1053" t="s">
        <v>35</v>
      </c>
      <c r="F1053">
        <v>9</v>
      </c>
      <c r="G1053" t="s">
        <v>37</v>
      </c>
      <c r="H1053" t="s">
        <v>37</v>
      </c>
      <c r="I1053">
        <v>2</v>
      </c>
      <c r="J1053">
        <v>1</v>
      </c>
      <c r="K1053" t="s">
        <v>44</v>
      </c>
      <c r="L1053" t="s">
        <v>36</v>
      </c>
      <c r="M1053" t="s">
        <v>36</v>
      </c>
      <c r="N1053">
        <v>10</v>
      </c>
      <c r="O1053" t="s">
        <v>39</v>
      </c>
      <c r="P1053">
        <v>50</v>
      </c>
      <c r="Q1053" t="s">
        <v>36</v>
      </c>
      <c r="R1053" t="s">
        <v>37</v>
      </c>
      <c r="S1053" t="s">
        <v>36</v>
      </c>
      <c r="T1053" t="s">
        <v>61</v>
      </c>
      <c r="U1053">
        <v>2</v>
      </c>
      <c r="V1053" t="s">
        <v>59</v>
      </c>
      <c r="W1053" t="s">
        <v>50</v>
      </c>
      <c r="X1053" t="s">
        <v>37</v>
      </c>
      <c r="Y1053" t="s">
        <v>47</v>
      </c>
      <c r="Z1053" t="s">
        <v>37</v>
      </c>
      <c r="AA1053">
        <v>1.35</v>
      </c>
      <c r="AB1053" t="s">
        <v>37</v>
      </c>
      <c r="AC1053">
        <v>2.66</v>
      </c>
      <c r="AD1053">
        <v>105</v>
      </c>
      <c r="AE1053">
        <v>200000</v>
      </c>
      <c r="AF1053" t="str">
        <f>IF(Table1[[#This Row],[What is your current CGPA?]]&gt;=3.5,"High",IF(Table1[[#This Row],[What is your current CGPA?]]&gt;=2.5,"Medium","Low"))</f>
        <v>Medium</v>
      </c>
      <c r="AG1053" t="str">
        <f>IF(AND(Table1[[#This Row],[Average attendance on class]]&lt;75,Table1[[#This Row],[How many hour do you study daily?]]&lt;1),"At Risk","Normal")</f>
        <v>Normal</v>
      </c>
      <c r="AH1053">
        <f>(Table1[[#This Row],[Average attendance on class]]*0.4)+(Table1[[#This Row],[How many hour do you study daily?]]*10*0.3)+(Table1[[#This Row],[How many hour do you spent daily on your skill development?]]*10*0.3)</f>
        <v>32</v>
      </c>
    </row>
    <row r="1054" spans="1:34" x14ac:dyDescent="0.25">
      <c r="A1054">
        <v>2020</v>
      </c>
      <c r="B1054" t="s">
        <v>48</v>
      </c>
      <c r="C1054">
        <v>20</v>
      </c>
      <c r="D1054">
        <v>2019</v>
      </c>
      <c r="E1054" t="s">
        <v>35</v>
      </c>
      <c r="F1054">
        <v>7</v>
      </c>
      <c r="G1054" t="s">
        <v>37</v>
      </c>
      <c r="H1054" t="s">
        <v>37</v>
      </c>
      <c r="I1054">
        <v>6</v>
      </c>
      <c r="J1054">
        <v>5</v>
      </c>
      <c r="K1054" t="s">
        <v>38</v>
      </c>
      <c r="L1054" t="s">
        <v>36</v>
      </c>
      <c r="M1054" t="s">
        <v>36</v>
      </c>
      <c r="N1054">
        <v>3</v>
      </c>
      <c r="O1054" t="s">
        <v>45</v>
      </c>
      <c r="P1054">
        <v>100</v>
      </c>
      <c r="Q1054" t="s">
        <v>37</v>
      </c>
      <c r="R1054" t="s">
        <v>37</v>
      </c>
      <c r="S1054" t="s">
        <v>36</v>
      </c>
      <c r="T1054" t="s">
        <v>40</v>
      </c>
      <c r="U1054">
        <v>4</v>
      </c>
      <c r="V1054" t="s">
        <v>40</v>
      </c>
      <c r="W1054" t="s">
        <v>42</v>
      </c>
      <c r="X1054" t="s">
        <v>37</v>
      </c>
      <c r="Y1054" t="s">
        <v>47</v>
      </c>
      <c r="Z1054" t="s">
        <v>37</v>
      </c>
      <c r="AA1054">
        <v>2.64</v>
      </c>
      <c r="AB1054" t="s">
        <v>36</v>
      </c>
      <c r="AC1054">
        <v>3.34</v>
      </c>
      <c r="AD1054">
        <v>70</v>
      </c>
      <c r="AE1054">
        <v>200000</v>
      </c>
      <c r="AF1054" t="str">
        <f>IF(Table1[[#This Row],[What is your current CGPA?]]&gt;=3.5,"High",IF(Table1[[#This Row],[What is your current CGPA?]]&gt;=2.5,"Medium","Low"))</f>
        <v>Medium</v>
      </c>
      <c r="AG1054" t="str">
        <f>IF(AND(Table1[[#This Row],[Average attendance on class]]&lt;75,Table1[[#This Row],[How many hour do you study daily?]]&lt;1),"At Risk","Normal")</f>
        <v>Normal</v>
      </c>
      <c r="AH1054">
        <f>(Table1[[#This Row],[Average attendance on class]]*0.4)+(Table1[[#This Row],[How many hour do you study daily?]]*10*0.3)+(Table1[[#This Row],[How many hour do you spent daily on your skill development?]]*10*0.3)</f>
        <v>70</v>
      </c>
    </row>
    <row r="1055" spans="1:34" x14ac:dyDescent="0.25">
      <c r="A1055">
        <v>2020</v>
      </c>
      <c r="B1055" t="s">
        <v>48</v>
      </c>
      <c r="C1055">
        <v>22</v>
      </c>
      <c r="D1055">
        <v>2019</v>
      </c>
      <c r="E1055" t="s">
        <v>35</v>
      </c>
      <c r="F1055">
        <v>9</v>
      </c>
      <c r="G1055" t="s">
        <v>37</v>
      </c>
      <c r="H1055" t="s">
        <v>37</v>
      </c>
      <c r="I1055">
        <v>3</v>
      </c>
      <c r="J1055">
        <v>4</v>
      </c>
      <c r="K1055" t="s">
        <v>38</v>
      </c>
      <c r="L1055" t="s">
        <v>36</v>
      </c>
      <c r="M1055" t="s">
        <v>36</v>
      </c>
      <c r="N1055">
        <v>8</v>
      </c>
      <c r="O1055" t="s">
        <v>39</v>
      </c>
      <c r="P1055">
        <v>50</v>
      </c>
      <c r="Q1055" t="s">
        <v>36</v>
      </c>
      <c r="R1055" t="s">
        <v>37</v>
      </c>
      <c r="S1055" t="s">
        <v>37</v>
      </c>
      <c r="T1055" t="s">
        <v>61</v>
      </c>
      <c r="U1055">
        <v>1</v>
      </c>
      <c r="V1055" t="s">
        <v>62</v>
      </c>
      <c r="W1055" t="s">
        <v>50</v>
      </c>
      <c r="X1055" t="s">
        <v>37</v>
      </c>
      <c r="Y1055" t="s">
        <v>43</v>
      </c>
      <c r="Z1055" t="s">
        <v>37</v>
      </c>
      <c r="AA1055">
        <v>1.7</v>
      </c>
      <c r="AB1055" t="s">
        <v>37</v>
      </c>
      <c r="AC1055">
        <v>3</v>
      </c>
      <c r="AD1055">
        <v>95</v>
      </c>
      <c r="AE1055">
        <v>200000</v>
      </c>
      <c r="AF1055" t="str">
        <f>IF(Table1[[#This Row],[What is your current CGPA?]]&gt;=3.5,"High",IF(Table1[[#This Row],[What is your current CGPA?]]&gt;=2.5,"Medium","Low"))</f>
        <v>Medium</v>
      </c>
      <c r="AG1055" t="str">
        <f>IF(AND(Table1[[#This Row],[Average attendance on class]]&lt;75,Table1[[#This Row],[How many hour do you study daily?]]&lt;1),"At Risk","Normal")</f>
        <v>Normal</v>
      </c>
      <c r="AH1055">
        <f>(Table1[[#This Row],[Average attendance on class]]*0.4)+(Table1[[#This Row],[How many hour do you study daily?]]*10*0.3)+(Table1[[#This Row],[How many hour do you spent daily on your skill development?]]*10*0.3)</f>
        <v>32</v>
      </c>
    </row>
    <row r="1056" spans="1:34" x14ac:dyDescent="0.25">
      <c r="A1056">
        <v>2020</v>
      </c>
      <c r="B1056" t="s">
        <v>48</v>
      </c>
      <c r="C1056">
        <v>22</v>
      </c>
      <c r="D1056">
        <v>2019</v>
      </c>
      <c r="E1056" t="s">
        <v>35</v>
      </c>
      <c r="F1056">
        <v>10</v>
      </c>
      <c r="G1056" t="s">
        <v>37</v>
      </c>
      <c r="H1056" t="s">
        <v>37</v>
      </c>
      <c r="I1056">
        <v>3</v>
      </c>
      <c r="J1056">
        <v>2</v>
      </c>
      <c r="K1056" t="s">
        <v>44</v>
      </c>
      <c r="L1056" t="s">
        <v>36</v>
      </c>
      <c r="M1056" t="s">
        <v>36</v>
      </c>
      <c r="N1056">
        <v>7</v>
      </c>
      <c r="O1056" t="s">
        <v>39</v>
      </c>
      <c r="P1056">
        <v>88</v>
      </c>
      <c r="Q1056" t="s">
        <v>37</v>
      </c>
      <c r="R1056" t="s">
        <v>37</v>
      </c>
      <c r="S1056" t="s">
        <v>37</v>
      </c>
      <c r="T1056" t="s">
        <v>40</v>
      </c>
      <c r="U1056">
        <v>5</v>
      </c>
      <c r="V1056" t="s">
        <v>51</v>
      </c>
      <c r="W1056" t="s">
        <v>50</v>
      </c>
      <c r="X1056" t="s">
        <v>37</v>
      </c>
      <c r="Y1056" t="s">
        <v>47</v>
      </c>
      <c r="Z1056" t="s">
        <v>37</v>
      </c>
      <c r="AA1056">
        <v>2.9</v>
      </c>
      <c r="AB1056" t="s">
        <v>37</v>
      </c>
      <c r="AC1056">
        <v>3.93</v>
      </c>
      <c r="AD1056">
        <v>125</v>
      </c>
      <c r="AE1056">
        <v>200000</v>
      </c>
      <c r="AF1056" t="str">
        <f>IF(Table1[[#This Row],[What is your current CGPA?]]&gt;=3.5,"High",IF(Table1[[#This Row],[What is your current CGPA?]]&gt;=2.5,"Medium","Low"))</f>
        <v>High</v>
      </c>
      <c r="AG1056" t="str">
        <f>IF(AND(Table1[[#This Row],[Average attendance on class]]&lt;75,Table1[[#This Row],[How many hour do you study daily?]]&lt;1),"At Risk","Normal")</f>
        <v>Normal</v>
      </c>
      <c r="AH1056">
        <f>(Table1[[#This Row],[Average attendance on class]]*0.4)+(Table1[[#This Row],[How many hour do you study daily?]]*10*0.3)+(Table1[[#This Row],[How many hour do you spent daily on your skill development?]]*10*0.3)</f>
        <v>59.2</v>
      </c>
    </row>
    <row r="1057" spans="1:34" x14ac:dyDescent="0.25">
      <c r="A1057">
        <v>2020</v>
      </c>
      <c r="B1057" t="s">
        <v>48</v>
      </c>
      <c r="C1057">
        <v>21</v>
      </c>
      <c r="D1057">
        <v>2020</v>
      </c>
      <c r="E1057" t="s">
        <v>35</v>
      </c>
      <c r="F1057">
        <v>10</v>
      </c>
      <c r="G1057" t="s">
        <v>37</v>
      </c>
      <c r="H1057" t="s">
        <v>37</v>
      </c>
      <c r="I1057">
        <v>5</v>
      </c>
      <c r="J1057">
        <v>2</v>
      </c>
      <c r="K1057" t="s">
        <v>38</v>
      </c>
      <c r="L1057" t="s">
        <v>36</v>
      </c>
      <c r="M1057" t="s">
        <v>36</v>
      </c>
      <c r="N1057">
        <v>6</v>
      </c>
      <c r="O1057" t="s">
        <v>53</v>
      </c>
      <c r="P1057">
        <v>80</v>
      </c>
      <c r="Q1057" t="s">
        <v>37</v>
      </c>
      <c r="R1057" t="s">
        <v>37</v>
      </c>
      <c r="S1057" t="s">
        <v>36</v>
      </c>
      <c r="T1057" t="s">
        <v>40</v>
      </c>
      <c r="U1057">
        <v>3</v>
      </c>
      <c r="V1057" t="s">
        <v>62</v>
      </c>
      <c r="W1057" t="s">
        <v>42</v>
      </c>
      <c r="X1057" t="s">
        <v>37</v>
      </c>
      <c r="Y1057" t="s">
        <v>43</v>
      </c>
      <c r="Z1057" t="s">
        <v>37</v>
      </c>
      <c r="AA1057">
        <v>1.9</v>
      </c>
      <c r="AB1057" t="s">
        <v>37</v>
      </c>
      <c r="AC1057">
        <v>3.1</v>
      </c>
      <c r="AD1057">
        <v>99</v>
      </c>
      <c r="AE1057">
        <v>200000</v>
      </c>
      <c r="AF1057" t="str">
        <f>IF(Table1[[#This Row],[What is your current CGPA?]]&gt;=3.5,"High",IF(Table1[[#This Row],[What is your current CGPA?]]&gt;=2.5,"Medium","Low"))</f>
        <v>Medium</v>
      </c>
      <c r="AG1057" t="str">
        <f>IF(AND(Table1[[#This Row],[Average attendance on class]]&lt;75,Table1[[#This Row],[How many hour do you study daily?]]&lt;1),"At Risk","Normal")</f>
        <v>Normal</v>
      </c>
      <c r="AH1057">
        <f>(Table1[[#This Row],[Average attendance on class]]*0.4)+(Table1[[#This Row],[How many hour do you study daily?]]*10*0.3)+(Table1[[#This Row],[How many hour do you spent daily on your skill development?]]*10*0.3)</f>
        <v>56</v>
      </c>
    </row>
    <row r="1058" spans="1:34" x14ac:dyDescent="0.25">
      <c r="A1058">
        <v>2020</v>
      </c>
      <c r="B1058" t="s">
        <v>34</v>
      </c>
      <c r="C1058">
        <v>22</v>
      </c>
      <c r="D1058">
        <v>2019</v>
      </c>
      <c r="E1058" t="s">
        <v>35</v>
      </c>
      <c r="F1058">
        <v>10</v>
      </c>
      <c r="G1058" t="s">
        <v>37</v>
      </c>
      <c r="H1058" t="s">
        <v>37</v>
      </c>
      <c r="I1058">
        <v>3</v>
      </c>
      <c r="J1058">
        <v>2</v>
      </c>
      <c r="K1058" t="s">
        <v>38</v>
      </c>
      <c r="L1058" t="s">
        <v>36</v>
      </c>
      <c r="M1058" t="s">
        <v>36</v>
      </c>
      <c r="N1058">
        <v>9</v>
      </c>
      <c r="O1058" t="s">
        <v>39</v>
      </c>
      <c r="P1058">
        <v>75</v>
      </c>
      <c r="Q1058" t="s">
        <v>37</v>
      </c>
      <c r="R1058" t="s">
        <v>37</v>
      </c>
      <c r="S1058" t="s">
        <v>37</v>
      </c>
      <c r="T1058" t="s">
        <v>61</v>
      </c>
      <c r="U1058">
        <v>2</v>
      </c>
      <c r="V1058" t="s">
        <v>59</v>
      </c>
      <c r="W1058" t="s">
        <v>42</v>
      </c>
      <c r="X1058" t="s">
        <v>37</v>
      </c>
      <c r="Y1058" t="s">
        <v>43</v>
      </c>
      <c r="Z1058" t="s">
        <v>37</v>
      </c>
      <c r="AA1058">
        <v>2.0099999999999998</v>
      </c>
      <c r="AB1058" t="s">
        <v>37</v>
      </c>
      <c r="AC1058">
        <v>3.08</v>
      </c>
      <c r="AD1058">
        <v>126</v>
      </c>
      <c r="AE1058">
        <v>250000</v>
      </c>
      <c r="AF1058" t="str">
        <f>IF(Table1[[#This Row],[What is your current CGPA?]]&gt;=3.5,"High",IF(Table1[[#This Row],[What is your current CGPA?]]&gt;=2.5,"Medium","Low"))</f>
        <v>Medium</v>
      </c>
      <c r="AG1058" t="str">
        <f>IF(AND(Table1[[#This Row],[Average attendance on class]]&lt;75,Table1[[#This Row],[How many hour do you study daily?]]&lt;1),"At Risk","Normal")</f>
        <v>Normal</v>
      </c>
      <c r="AH1058">
        <f>(Table1[[#This Row],[Average attendance on class]]*0.4)+(Table1[[#This Row],[How many hour do you study daily?]]*10*0.3)+(Table1[[#This Row],[How many hour do you spent daily on your skill development?]]*10*0.3)</f>
        <v>45</v>
      </c>
    </row>
    <row r="1059" spans="1:34" x14ac:dyDescent="0.25">
      <c r="A1059">
        <v>2021</v>
      </c>
      <c r="B1059" t="s">
        <v>48</v>
      </c>
      <c r="C1059">
        <v>20</v>
      </c>
      <c r="D1059">
        <v>2021</v>
      </c>
      <c r="E1059" t="s">
        <v>35</v>
      </c>
      <c r="F1059">
        <v>7</v>
      </c>
      <c r="G1059" t="s">
        <v>36</v>
      </c>
      <c r="H1059" t="s">
        <v>37</v>
      </c>
      <c r="I1059">
        <v>5</v>
      </c>
      <c r="J1059">
        <v>4</v>
      </c>
      <c r="K1059" t="s">
        <v>38</v>
      </c>
      <c r="L1059" t="s">
        <v>36</v>
      </c>
      <c r="M1059" t="s">
        <v>36</v>
      </c>
      <c r="N1059">
        <v>2</v>
      </c>
      <c r="O1059" t="s">
        <v>53</v>
      </c>
      <c r="P1059">
        <v>100</v>
      </c>
      <c r="Q1059" t="s">
        <v>37</v>
      </c>
      <c r="R1059" t="s">
        <v>37</v>
      </c>
      <c r="S1059" t="s">
        <v>36</v>
      </c>
      <c r="T1059" t="s">
        <v>40</v>
      </c>
      <c r="U1059">
        <v>4</v>
      </c>
      <c r="V1059" t="s">
        <v>62</v>
      </c>
      <c r="W1059" t="s">
        <v>42</v>
      </c>
      <c r="X1059" t="s">
        <v>37</v>
      </c>
      <c r="Y1059" t="s">
        <v>47</v>
      </c>
      <c r="Z1059" t="s">
        <v>37</v>
      </c>
      <c r="AA1059">
        <v>2.33</v>
      </c>
      <c r="AB1059" t="s">
        <v>37</v>
      </c>
      <c r="AC1059">
        <v>3.89</v>
      </c>
      <c r="AD1059">
        <v>104</v>
      </c>
      <c r="AE1059">
        <v>277000</v>
      </c>
      <c r="AF1059" t="str">
        <f>IF(Table1[[#This Row],[What is your current CGPA?]]&gt;=3.5,"High",IF(Table1[[#This Row],[What is your current CGPA?]]&gt;=2.5,"Medium","Low"))</f>
        <v>High</v>
      </c>
      <c r="AG1059" t="str">
        <f>IF(AND(Table1[[#This Row],[Average attendance on class]]&lt;75,Table1[[#This Row],[How many hour do you study daily?]]&lt;1),"At Risk","Normal")</f>
        <v>Normal</v>
      </c>
      <c r="AH1059">
        <f>(Table1[[#This Row],[Average attendance on class]]*0.4)+(Table1[[#This Row],[How many hour do you study daily?]]*10*0.3)+(Table1[[#This Row],[How many hour do you spent daily on your skill development?]]*10*0.3)</f>
        <v>67</v>
      </c>
    </row>
    <row r="1060" spans="1:34" x14ac:dyDescent="0.25">
      <c r="A1060">
        <v>2020</v>
      </c>
      <c r="B1060" t="s">
        <v>34</v>
      </c>
      <c r="C1060">
        <v>20</v>
      </c>
      <c r="D1060">
        <v>2020</v>
      </c>
      <c r="E1060" t="s">
        <v>35</v>
      </c>
      <c r="F1060">
        <v>7</v>
      </c>
      <c r="G1060" t="s">
        <v>36</v>
      </c>
      <c r="H1060" t="s">
        <v>36</v>
      </c>
      <c r="I1060">
        <v>6</v>
      </c>
      <c r="J1060">
        <v>2</v>
      </c>
      <c r="K1060" t="s">
        <v>44</v>
      </c>
      <c r="L1060" t="s">
        <v>36</v>
      </c>
      <c r="M1060" t="s">
        <v>36</v>
      </c>
      <c r="N1060">
        <v>4</v>
      </c>
      <c r="O1060" t="s">
        <v>53</v>
      </c>
      <c r="P1060">
        <v>70</v>
      </c>
      <c r="Q1060" t="s">
        <v>37</v>
      </c>
      <c r="R1060" t="s">
        <v>37</v>
      </c>
      <c r="S1060" t="s">
        <v>37</v>
      </c>
      <c r="T1060" t="s">
        <v>40</v>
      </c>
      <c r="U1060">
        <v>3</v>
      </c>
      <c r="V1060" t="s">
        <v>40</v>
      </c>
      <c r="W1060" t="s">
        <v>42</v>
      </c>
      <c r="X1060" t="s">
        <v>37</v>
      </c>
      <c r="Y1060" t="s">
        <v>47</v>
      </c>
      <c r="Z1060" t="s">
        <v>37</v>
      </c>
      <c r="AA1060">
        <v>1.6</v>
      </c>
      <c r="AB1060" t="s">
        <v>37</v>
      </c>
      <c r="AC1060">
        <v>2.9</v>
      </c>
      <c r="AD1060">
        <v>30</v>
      </c>
      <c r="AE1060">
        <v>20000</v>
      </c>
      <c r="AF1060" t="str">
        <f>IF(Table1[[#This Row],[What is your current CGPA?]]&gt;=3.5,"High",IF(Table1[[#This Row],[What is your current CGPA?]]&gt;=2.5,"Medium","Low"))</f>
        <v>Medium</v>
      </c>
      <c r="AG1060" t="str">
        <f>IF(AND(Table1[[#This Row],[Average attendance on class]]&lt;75,Table1[[#This Row],[How many hour do you study daily?]]&lt;1),"At Risk","Normal")</f>
        <v>Normal</v>
      </c>
      <c r="AH1060">
        <f>(Table1[[#This Row],[Average attendance on class]]*0.4)+(Table1[[#This Row],[How many hour do you study daily?]]*10*0.3)+(Table1[[#This Row],[How many hour do you spent daily on your skill development?]]*10*0.3)</f>
        <v>55</v>
      </c>
    </row>
    <row r="1061" spans="1:34" x14ac:dyDescent="0.25">
      <c r="A1061">
        <v>2020</v>
      </c>
      <c r="B1061" t="s">
        <v>34</v>
      </c>
      <c r="C1061">
        <v>23</v>
      </c>
      <c r="D1061">
        <v>2019</v>
      </c>
      <c r="E1061" t="s">
        <v>35</v>
      </c>
      <c r="F1061">
        <v>11</v>
      </c>
      <c r="G1061" t="s">
        <v>36</v>
      </c>
      <c r="H1061" t="s">
        <v>36</v>
      </c>
      <c r="I1061">
        <v>4</v>
      </c>
      <c r="J1061">
        <v>2</v>
      </c>
      <c r="K1061" t="s">
        <v>44</v>
      </c>
      <c r="L1061" t="s">
        <v>36</v>
      </c>
      <c r="M1061" t="s">
        <v>36</v>
      </c>
      <c r="N1061">
        <v>3</v>
      </c>
      <c r="O1061" t="s">
        <v>39</v>
      </c>
      <c r="P1061">
        <v>96</v>
      </c>
      <c r="Q1061" t="s">
        <v>37</v>
      </c>
      <c r="R1061" t="s">
        <v>37</v>
      </c>
      <c r="S1061" t="s">
        <v>37</v>
      </c>
      <c r="T1061" t="s">
        <v>51</v>
      </c>
      <c r="U1061">
        <v>3</v>
      </c>
      <c r="V1061" t="s">
        <v>41</v>
      </c>
      <c r="W1061" t="s">
        <v>42</v>
      </c>
      <c r="X1061" t="s">
        <v>37</v>
      </c>
      <c r="Y1061" t="s">
        <v>47</v>
      </c>
      <c r="Z1061" t="s">
        <v>37</v>
      </c>
      <c r="AA1061">
        <v>2.67</v>
      </c>
      <c r="AB1061" t="s">
        <v>37</v>
      </c>
      <c r="AC1061">
        <v>3.4</v>
      </c>
      <c r="AD1061">
        <v>140</v>
      </c>
      <c r="AE1061">
        <v>30000</v>
      </c>
      <c r="AF1061" t="str">
        <f>IF(Table1[[#This Row],[What is your current CGPA?]]&gt;=3.5,"High",IF(Table1[[#This Row],[What is your current CGPA?]]&gt;=2.5,"Medium","Low"))</f>
        <v>Medium</v>
      </c>
      <c r="AG1061" t="str">
        <f>IF(AND(Table1[[#This Row],[Average attendance on class]]&lt;75,Table1[[#This Row],[How many hour do you study daily?]]&lt;1),"At Risk","Normal")</f>
        <v>Normal</v>
      </c>
      <c r="AH1061">
        <f>(Table1[[#This Row],[Average attendance on class]]*0.4)+(Table1[[#This Row],[How many hour do you study daily?]]*10*0.3)+(Table1[[#This Row],[How many hour do you spent daily on your skill development?]]*10*0.3)</f>
        <v>59.400000000000006</v>
      </c>
    </row>
    <row r="1062" spans="1:34" x14ac:dyDescent="0.25">
      <c r="A1062">
        <v>2022</v>
      </c>
      <c r="B1062" t="s">
        <v>34</v>
      </c>
      <c r="C1062">
        <v>21</v>
      </c>
      <c r="D1062">
        <v>2021</v>
      </c>
      <c r="E1062" t="s">
        <v>35</v>
      </c>
      <c r="F1062">
        <v>5</v>
      </c>
      <c r="G1062" t="s">
        <v>37</v>
      </c>
      <c r="H1062" t="s">
        <v>36</v>
      </c>
      <c r="I1062">
        <v>2</v>
      </c>
      <c r="J1062">
        <v>1</v>
      </c>
      <c r="K1062" t="s">
        <v>44</v>
      </c>
      <c r="L1062" t="s">
        <v>36</v>
      </c>
      <c r="M1062" t="s">
        <v>36</v>
      </c>
      <c r="N1062">
        <v>1</v>
      </c>
      <c r="O1062" t="s">
        <v>39</v>
      </c>
      <c r="P1062">
        <v>95</v>
      </c>
      <c r="Q1062" t="s">
        <v>37</v>
      </c>
      <c r="R1062" t="s">
        <v>37</v>
      </c>
      <c r="S1062" t="s">
        <v>36</v>
      </c>
      <c r="T1062" t="s">
        <v>40</v>
      </c>
      <c r="U1062">
        <v>4</v>
      </c>
      <c r="V1062" t="s">
        <v>40</v>
      </c>
      <c r="W1062" t="s">
        <v>42</v>
      </c>
      <c r="X1062" t="s">
        <v>36</v>
      </c>
      <c r="Y1062" t="s">
        <v>43</v>
      </c>
      <c r="Z1062" t="s">
        <v>37</v>
      </c>
      <c r="AA1062">
        <v>1.05</v>
      </c>
      <c r="AB1062" t="s">
        <v>37</v>
      </c>
      <c r="AC1062">
        <v>2.8</v>
      </c>
      <c r="AD1062">
        <v>18</v>
      </c>
      <c r="AE1062">
        <v>30000</v>
      </c>
      <c r="AF1062" t="str">
        <f>IF(Table1[[#This Row],[What is your current CGPA?]]&gt;=3.5,"High",IF(Table1[[#This Row],[What is your current CGPA?]]&gt;=2.5,"Medium","Low"))</f>
        <v>Medium</v>
      </c>
      <c r="AG1062" t="str">
        <f>IF(AND(Table1[[#This Row],[Average attendance on class]]&lt;75,Table1[[#This Row],[How many hour do you study daily?]]&lt;1),"At Risk","Normal")</f>
        <v>Normal</v>
      </c>
      <c r="AH1062">
        <f>(Table1[[#This Row],[Average attendance on class]]*0.4)+(Table1[[#This Row],[How many hour do you study daily?]]*10*0.3)+(Table1[[#This Row],[How many hour do you spent daily on your skill development?]]*10*0.3)</f>
        <v>56</v>
      </c>
    </row>
    <row r="1063" spans="1:34" x14ac:dyDescent="0.25">
      <c r="A1063">
        <v>2022</v>
      </c>
      <c r="B1063" t="s">
        <v>48</v>
      </c>
      <c r="C1063">
        <v>21</v>
      </c>
      <c r="D1063">
        <v>2021</v>
      </c>
      <c r="E1063" t="s">
        <v>35</v>
      </c>
      <c r="F1063">
        <v>6</v>
      </c>
      <c r="G1063" t="s">
        <v>37</v>
      </c>
      <c r="H1063" t="s">
        <v>36</v>
      </c>
      <c r="I1063">
        <v>7</v>
      </c>
      <c r="J1063">
        <v>2</v>
      </c>
      <c r="K1063" t="s">
        <v>38</v>
      </c>
      <c r="L1063" t="s">
        <v>36</v>
      </c>
      <c r="M1063" t="s">
        <v>37</v>
      </c>
      <c r="N1063">
        <v>3</v>
      </c>
      <c r="O1063" t="s">
        <v>53</v>
      </c>
      <c r="P1063">
        <v>100</v>
      </c>
      <c r="Q1063" t="s">
        <v>36</v>
      </c>
      <c r="R1063" t="s">
        <v>37</v>
      </c>
      <c r="S1063" t="s">
        <v>36</v>
      </c>
      <c r="T1063" t="s">
        <v>40</v>
      </c>
      <c r="U1063">
        <v>2</v>
      </c>
      <c r="V1063" t="s">
        <v>62</v>
      </c>
      <c r="W1063" t="s">
        <v>50</v>
      </c>
      <c r="X1063" t="s">
        <v>36</v>
      </c>
      <c r="Y1063" t="s">
        <v>43</v>
      </c>
      <c r="Z1063" t="s">
        <v>37</v>
      </c>
      <c r="AA1063">
        <v>1.47</v>
      </c>
      <c r="AB1063" t="s">
        <v>37</v>
      </c>
      <c r="AC1063">
        <v>2.54</v>
      </c>
      <c r="AD1063">
        <v>88</v>
      </c>
      <c r="AE1063">
        <v>32000</v>
      </c>
      <c r="AF1063" t="str">
        <f>IF(Table1[[#This Row],[What is your current CGPA?]]&gt;=3.5,"High",IF(Table1[[#This Row],[What is your current CGPA?]]&gt;=2.5,"Medium","Low"))</f>
        <v>Medium</v>
      </c>
      <c r="AG1063" t="str">
        <f>IF(AND(Table1[[#This Row],[Average attendance on class]]&lt;75,Table1[[#This Row],[How many hour do you study daily?]]&lt;1),"At Risk","Normal")</f>
        <v>Normal</v>
      </c>
      <c r="AH1063">
        <f>(Table1[[#This Row],[Average attendance on class]]*0.4)+(Table1[[#This Row],[How many hour do you study daily?]]*10*0.3)+(Table1[[#This Row],[How many hour do you spent daily on your skill development?]]*10*0.3)</f>
        <v>67</v>
      </c>
    </row>
    <row r="1064" spans="1:34" x14ac:dyDescent="0.25">
      <c r="A1064">
        <v>2022</v>
      </c>
      <c r="B1064" t="s">
        <v>34</v>
      </c>
      <c r="C1064">
        <v>23</v>
      </c>
      <c r="D1064">
        <v>2020</v>
      </c>
      <c r="E1064" t="s">
        <v>35</v>
      </c>
      <c r="F1064">
        <v>5</v>
      </c>
      <c r="G1064" t="s">
        <v>37</v>
      </c>
      <c r="H1064" t="s">
        <v>36</v>
      </c>
      <c r="I1064">
        <v>2</v>
      </c>
      <c r="J1064">
        <v>2</v>
      </c>
      <c r="K1064" t="s">
        <v>38</v>
      </c>
      <c r="L1064" t="s">
        <v>36</v>
      </c>
      <c r="M1064" t="s">
        <v>36</v>
      </c>
      <c r="N1064">
        <v>1</v>
      </c>
      <c r="O1064" t="s">
        <v>45</v>
      </c>
      <c r="P1064">
        <v>100</v>
      </c>
      <c r="Q1064" t="s">
        <v>36</v>
      </c>
      <c r="R1064" t="s">
        <v>37</v>
      </c>
      <c r="S1064" t="s">
        <v>36</v>
      </c>
      <c r="T1064" t="s">
        <v>40</v>
      </c>
      <c r="U1064">
        <v>3</v>
      </c>
      <c r="V1064" t="s">
        <v>40</v>
      </c>
      <c r="W1064" t="s">
        <v>42</v>
      </c>
      <c r="X1064" t="s">
        <v>36</v>
      </c>
      <c r="Y1064" t="s">
        <v>43</v>
      </c>
      <c r="Z1064" t="s">
        <v>37</v>
      </c>
      <c r="AA1064">
        <v>1.58</v>
      </c>
      <c r="AB1064" t="s">
        <v>36</v>
      </c>
      <c r="AC1064">
        <v>1.42</v>
      </c>
      <c r="AD1064">
        <v>14</v>
      </c>
      <c r="AE1064">
        <v>35000</v>
      </c>
      <c r="AF1064" t="str">
        <f>IF(Table1[[#This Row],[What is your current CGPA?]]&gt;=3.5,"High",IF(Table1[[#This Row],[What is your current CGPA?]]&gt;=2.5,"Medium","Low"))</f>
        <v>Low</v>
      </c>
      <c r="AG1064" t="str">
        <f>IF(AND(Table1[[#This Row],[Average attendance on class]]&lt;75,Table1[[#This Row],[How many hour do you study daily?]]&lt;1),"At Risk","Normal")</f>
        <v>Normal</v>
      </c>
      <c r="AH1064">
        <f>(Table1[[#This Row],[Average attendance on class]]*0.4)+(Table1[[#This Row],[How many hour do you study daily?]]*10*0.3)+(Table1[[#This Row],[How many hour do you spent daily on your skill development?]]*10*0.3)</f>
        <v>55</v>
      </c>
    </row>
    <row r="1065" spans="1:34" x14ac:dyDescent="0.25">
      <c r="A1065">
        <v>2021</v>
      </c>
      <c r="B1065" t="s">
        <v>34</v>
      </c>
      <c r="C1065">
        <v>23</v>
      </c>
      <c r="D1065">
        <v>2020</v>
      </c>
      <c r="E1065" t="s">
        <v>35</v>
      </c>
      <c r="F1065">
        <v>5</v>
      </c>
      <c r="G1065" t="s">
        <v>37</v>
      </c>
      <c r="H1065" t="s">
        <v>36</v>
      </c>
      <c r="I1065">
        <v>6</v>
      </c>
      <c r="J1065">
        <v>2</v>
      </c>
      <c r="K1065" t="s">
        <v>38</v>
      </c>
      <c r="L1065" t="s">
        <v>36</v>
      </c>
      <c r="M1065" t="s">
        <v>36</v>
      </c>
      <c r="N1065">
        <v>4</v>
      </c>
      <c r="O1065" t="s">
        <v>45</v>
      </c>
      <c r="P1065">
        <v>90</v>
      </c>
      <c r="Q1065" t="s">
        <v>37</v>
      </c>
      <c r="R1065" t="s">
        <v>37</v>
      </c>
      <c r="S1065" t="s">
        <v>37</v>
      </c>
      <c r="T1065" t="s">
        <v>40</v>
      </c>
      <c r="U1065">
        <v>5</v>
      </c>
      <c r="V1065" t="s">
        <v>40</v>
      </c>
      <c r="W1065" t="s">
        <v>42</v>
      </c>
      <c r="X1065" t="s">
        <v>36</v>
      </c>
      <c r="Y1065" t="s">
        <v>43</v>
      </c>
      <c r="Z1065" t="s">
        <v>37</v>
      </c>
      <c r="AA1065">
        <v>2.4500000000000002</v>
      </c>
      <c r="AB1065" t="s">
        <v>37</v>
      </c>
      <c r="AC1065">
        <v>2.39</v>
      </c>
      <c r="AD1065">
        <v>40</v>
      </c>
      <c r="AE1065">
        <v>35000</v>
      </c>
      <c r="AF1065" t="str">
        <f>IF(Table1[[#This Row],[What is your current CGPA?]]&gt;=3.5,"High",IF(Table1[[#This Row],[What is your current CGPA?]]&gt;=2.5,"Medium","Low"))</f>
        <v>Low</v>
      </c>
      <c r="AG1065" t="str">
        <f>IF(AND(Table1[[#This Row],[Average attendance on class]]&lt;75,Table1[[#This Row],[How many hour do you study daily?]]&lt;1),"At Risk","Normal")</f>
        <v>Normal</v>
      </c>
      <c r="AH1065">
        <f>(Table1[[#This Row],[Average attendance on class]]*0.4)+(Table1[[#This Row],[How many hour do you study daily?]]*10*0.3)+(Table1[[#This Row],[How many hour do you spent daily on your skill development?]]*10*0.3)</f>
        <v>69</v>
      </c>
    </row>
    <row r="1066" spans="1:34" x14ac:dyDescent="0.25">
      <c r="A1066">
        <v>2021</v>
      </c>
      <c r="B1066" t="s">
        <v>34</v>
      </c>
      <c r="C1066">
        <v>19</v>
      </c>
      <c r="D1066">
        <v>2021</v>
      </c>
      <c r="E1066" t="s">
        <v>35</v>
      </c>
      <c r="F1066">
        <v>8</v>
      </c>
      <c r="G1066" t="s">
        <v>37</v>
      </c>
      <c r="H1066" t="s">
        <v>36</v>
      </c>
      <c r="I1066">
        <v>3</v>
      </c>
      <c r="J1066">
        <v>3</v>
      </c>
      <c r="K1066" t="s">
        <v>44</v>
      </c>
      <c r="L1066" t="s">
        <v>36</v>
      </c>
      <c r="M1066" t="s">
        <v>36</v>
      </c>
      <c r="N1066">
        <v>2</v>
      </c>
      <c r="O1066" t="s">
        <v>53</v>
      </c>
      <c r="P1066">
        <v>89</v>
      </c>
      <c r="Q1066" t="s">
        <v>37</v>
      </c>
      <c r="R1066" t="s">
        <v>37</v>
      </c>
      <c r="S1066" t="s">
        <v>37</v>
      </c>
      <c r="T1066" t="s">
        <v>61</v>
      </c>
      <c r="U1066">
        <v>4</v>
      </c>
      <c r="V1066" t="s">
        <v>41</v>
      </c>
      <c r="W1066" t="s">
        <v>42</v>
      </c>
      <c r="X1066" t="s">
        <v>37</v>
      </c>
      <c r="Y1066" t="s">
        <v>47</v>
      </c>
      <c r="Z1066" t="s">
        <v>37</v>
      </c>
      <c r="AA1066">
        <v>1.87</v>
      </c>
      <c r="AB1066" t="s">
        <v>37</v>
      </c>
      <c r="AC1066">
        <v>2.8</v>
      </c>
      <c r="AD1066">
        <v>136</v>
      </c>
      <c r="AE1066">
        <v>35000</v>
      </c>
      <c r="AF1066" t="str">
        <f>IF(Table1[[#This Row],[What is your current CGPA?]]&gt;=3.5,"High",IF(Table1[[#This Row],[What is your current CGPA?]]&gt;=2.5,"Medium","Low"))</f>
        <v>Medium</v>
      </c>
      <c r="AG1066" t="str">
        <f>IF(AND(Table1[[#This Row],[Average attendance on class]]&lt;75,Table1[[#This Row],[How many hour do you study daily?]]&lt;1),"At Risk","Normal")</f>
        <v>Normal</v>
      </c>
      <c r="AH1066">
        <f>(Table1[[#This Row],[Average attendance on class]]*0.4)+(Table1[[#This Row],[How many hour do you study daily?]]*10*0.3)+(Table1[[#This Row],[How many hour do you spent daily on your skill development?]]*10*0.3)</f>
        <v>56.6</v>
      </c>
    </row>
    <row r="1067" spans="1:34" x14ac:dyDescent="0.25">
      <c r="A1067">
        <v>2020</v>
      </c>
      <c r="B1067" t="s">
        <v>34</v>
      </c>
      <c r="C1067">
        <v>21</v>
      </c>
      <c r="D1067">
        <v>2019</v>
      </c>
      <c r="E1067" t="s">
        <v>35</v>
      </c>
      <c r="F1067">
        <v>9</v>
      </c>
      <c r="G1067" t="s">
        <v>37</v>
      </c>
      <c r="H1067" t="s">
        <v>36</v>
      </c>
      <c r="I1067">
        <v>3</v>
      </c>
      <c r="J1067">
        <v>2</v>
      </c>
      <c r="K1067" t="s">
        <v>44</v>
      </c>
      <c r="L1067" t="s">
        <v>36</v>
      </c>
      <c r="M1067" t="s">
        <v>36</v>
      </c>
      <c r="N1067">
        <v>8</v>
      </c>
      <c r="O1067" t="s">
        <v>39</v>
      </c>
      <c r="P1067">
        <v>70</v>
      </c>
      <c r="Q1067" t="s">
        <v>37</v>
      </c>
      <c r="R1067" t="s">
        <v>37</v>
      </c>
      <c r="S1067" t="s">
        <v>37</v>
      </c>
      <c r="T1067" t="s">
        <v>40</v>
      </c>
      <c r="U1067">
        <v>1</v>
      </c>
      <c r="V1067" t="s">
        <v>40</v>
      </c>
      <c r="W1067" t="s">
        <v>42</v>
      </c>
      <c r="X1067" t="s">
        <v>37</v>
      </c>
      <c r="Y1067" t="s">
        <v>47</v>
      </c>
      <c r="Z1067" t="s">
        <v>37</v>
      </c>
      <c r="AA1067">
        <v>2.33</v>
      </c>
      <c r="AB1067" t="s">
        <v>37</v>
      </c>
      <c r="AC1067">
        <v>3.47</v>
      </c>
      <c r="AD1067">
        <v>128</v>
      </c>
      <c r="AE1067">
        <v>37000</v>
      </c>
      <c r="AF1067" t="str">
        <f>IF(Table1[[#This Row],[What is your current CGPA?]]&gt;=3.5,"High",IF(Table1[[#This Row],[What is your current CGPA?]]&gt;=2.5,"Medium","Low"))</f>
        <v>Medium</v>
      </c>
      <c r="AG1067" t="str">
        <f>IF(AND(Table1[[#This Row],[Average attendance on class]]&lt;75,Table1[[#This Row],[How many hour do you study daily?]]&lt;1),"At Risk","Normal")</f>
        <v>Normal</v>
      </c>
      <c r="AH1067">
        <f>(Table1[[#This Row],[Average attendance on class]]*0.4)+(Table1[[#This Row],[How many hour do you study daily?]]*10*0.3)+(Table1[[#This Row],[How many hour do you spent daily on your skill development?]]*10*0.3)</f>
        <v>40</v>
      </c>
    </row>
    <row r="1068" spans="1:34" x14ac:dyDescent="0.25">
      <c r="A1068">
        <v>2020</v>
      </c>
      <c r="B1068" t="s">
        <v>34</v>
      </c>
      <c r="C1068">
        <v>24</v>
      </c>
      <c r="D1068">
        <v>2019</v>
      </c>
      <c r="E1068" t="s">
        <v>35</v>
      </c>
      <c r="F1068">
        <v>11</v>
      </c>
      <c r="G1068" t="s">
        <v>37</v>
      </c>
      <c r="H1068" t="s">
        <v>36</v>
      </c>
      <c r="I1068">
        <v>1</v>
      </c>
      <c r="J1068">
        <v>3</v>
      </c>
      <c r="K1068" t="s">
        <v>38</v>
      </c>
      <c r="L1068" t="s">
        <v>36</v>
      </c>
      <c r="M1068" t="s">
        <v>36</v>
      </c>
      <c r="N1068">
        <v>2</v>
      </c>
      <c r="O1068" t="s">
        <v>53</v>
      </c>
      <c r="P1068">
        <v>100</v>
      </c>
      <c r="Q1068" t="s">
        <v>36</v>
      </c>
      <c r="R1068" t="s">
        <v>37</v>
      </c>
      <c r="S1068" t="s">
        <v>37</v>
      </c>
      <c r="T1068" t="s">
        <v>61</v>
      </c>
      <c r="U1068">
        <v>2</v>
      </c>
      <c r="V1068" t="s">
        <v>41</v>
      </c>
      <c r="W1068" t="s">
        <v>50</v>
      </c>
      <c r="X1068" t="s">
        <v>37</v>
      </c>
      <c r="Y1068" t="s">
        <v>43</v>
      </c>
      <c r="Z1068" t="s">
        <v>37</v>
      </c>
      <c r="AA1068">
        <v>2.9</v>
      </c>
      <c r="AB1068" t="s">
        <v>37</v>
      </c>
      <c r="AC1068">
        <v>3.92</v>
      </c>
      <c r="AD1068">
        <v>144</v>
      </c>
      <c r="AE1068">
        <v>37000</v>
      </c>
      <c r="AF1068" t="str">
        <f>IF(Table1[[#This Row],[What is your current CGPA?]]&gt;=3.5,"High",IF(Table1[[#This Row],[What is your current CGPA?]]&gt;=2.5,"Medium","Low"))</f>
        <v>High</v>
      </c>
      <c r="AG1068" t="str">
        <f>IF(AND(Table1[[#This Row],[Average attendance on class]]&lt;75,Table1[[#This Row],[How many hour do you study daily?]]&lt;1),"At Risk","Normal")</f>
        <v>Normal</v>
      </c>
      <c r="AH1068">
        <f>(Table1[[#This Row],[Average attendance on class]]*0.4)+(Table1[[#This Row],[How many hour do you study daily?]]*10*0.3)+(Table1[[#This Row],[How many hour do you spent daily on your skill development?]]*10*0.3)</f>
        <v>49</v>
      </c>
    </row>
    <row r="1069" spans="1:34" x14ac:dyDescent="0.25">
      <c r="A1069">
        <v>2021</v>
      </c>
      <c r="B1069" t="s">
        <v>48</v>
      </c>
      <c r="C1069">
        <v>19</v>
      </c>
      <c r="D1069">
        <v>2021</v>
      </c>
      <c r="E1069" t="s">
        <v>35</v>
      </c>
      <c r="F1069">
        <v>6</v>
      </c>
      <c r="G1069" t="s">
        <v>37</v>
      </c>
      <c r="H1069" t="s">
        <v>36</v>
      </c>
      <c r="I1069">
        <v>3</v>
      </c>
      <c r="J1069">
        <v>1</v>
      </c>
      <c r="K1069" t="s">
        <v>38</v>
      </c>
      <c r="L1069" t="s">
        <v>36</v>
      </c>
      <c r="M1069" t="s">
        <v>36</v>
      </c>
      <c r="N1069">
        <v>5</v>
      </c>
      <c r="O1069" t="s">
        <v>53</v>
      </c>
      <c r="P1069">
        <v>60</v>
      </c>
      <c r="Q1069" t="s">
        <v>36</v>
      </c>
      <c r="R1069" t="s">
        <v>37</v>
      </c>
      <c r="S1069" t="s">
        <v>37</v>
      </c>
      <c r="T1069" t="s">
        <v>61</v>
      </c>
      <c r="U1069">
        <v>3</v>
      </c>
      <c r="V1069" t="s">
        <v>41</v>
      </c>
      <c r="W1069" t="s">
        <v>42</v>
      </c>
      <c r="X1069" t="s">
        <v>37</v>
      </c>
      <c r="Y1069" t="s">
        <v>43</v>
      </c>
      <c r="Z1069" t="s">
        <v>37</v>
      </c>
      <c r="AA1069">
        <v>1.78</v>
      </c>
      <c r="AB1069" t="s">
        <v>37</v>
      </c>
      <c r="AC1069">
        <v>2.63</v>
      </c>
      <c r="AD1069">
        <v>97</v>
      </c>
      <c r="AE1069">
        <v>37000</v>
      </c>
      <c r="AF1069" t="str">
        <f>IF(Table1[[#This Row],[What is your current CGPA?]]&gt;=3.5,"High",IF(Table1[[#This Row],[What is your current CGPA?]]&gt;=2.5,"Medium","Low"))</f>
        <v>Medium</v>
      </c>
      <c r="AG1069" t="str">
        <f>IF(AND(Table1[[#This Row],[Average attendance on class]]&lt;75,Table1[[#This Row],[How many hour do you study daily?]]&lt;1),"At Risk","Normal")</f>
        <v>Normal</v>
      </c>
      <c r="AH1069">
        <f>(Table1[[#This Row],[Average attendance on class]]*0.4)+(Table1[[#This Row],[How many hour do you study daily?]]*10*0.3)+(Table1[[#This Row],[How many hour do you spent daily on your skill development?]]*10*0.3)</f>
        <v>42</v>
      </c>
    </row>
    <row r="1070" spans="1:34" x14ac:dyDescent="0.25">
      <c r="A1070">
        <v>2020</v>
      </c>
      <c r="B1070" t="s">
        <v>48</v>
      </c>
      <c r="C1070">
        <v>21</v>
      </c>
      <c r="D1070">
        <v>2019</v>
      </c>
      <c r="E1070" t="s">
        <v>35</v>
      </c>
      <c r="F1070">
        <v>11</v>
      </c>
      <c r="G1070" t="s">
        <v>37</v>
      </c>
      <c r="H1070" t="s">
        <v>36</v>
      </c>
      <c r="I1070">
        <v>4</v>
      </c>
      <c r="J1070">
        <v>2</v>
      </c>
      <c r="K1070" t="s">
        <v>38</v>
      </c>
      <c r="L1070" t="s">
        <v>36</v>
      </c>
      <c r="M1070" t="s">
        <v>36</v>
      </c>
      <c r="N1070">
        <v>7</v>
      </c>
      <c r="O1070" t="s">
        <v>53</v>
      </c>
      <c r="P1070">
        <v>100</v>
      </c>
      <c r="Q1070" t="s">
        <v>37</v>
      </c>
      <c r="R1070" t="s">
        <v>37</v>
      </c>
      <c r="S1070" t="s">
        <v>37</v>
      </c>
      <c r="T1070" t="s">
        <v>61</v>
      </c>
      <c r="U1070">
        <v>2</v>
      </c>
      <c r="V1070" t="s">
        <v>40</v>
      </c>
      <c r="W1070" t="s">
        <v>42</v>
      </c>
      <c r="X1070" t="s">
        <v>37</v>
      </c>
      <c r="Y1070" t="s">
        <v>47</v>
      </c>
      <c r="Z1070" t="s">
        <v>37</v>
      </c>
      <c r="AA1070">
        <v>2.77</v>
      </c>
      <c r="AB1070" t="s">
        <v>37</v>
      </c>
      <c r="AC1070">
        <v>3.91</v>
      </c>
      <c r="AD1070">
        <v>139</v>
      </c>
      <c r="AE1070">
        <v>38000</v>
      </c>
      <c r="AF1070" t="str">
        <f>IF(Table1[[#This Row],[What is your current CGPA?]]&gt;=3.5,"High",IF(Table1[[#This Row],[What is your current CGPA?]]&gt;=2.5,"Medium","Low"))</f>
        <v>High</v>
      </c>
      <c r="AG1070" t="str">
        <f>IF(AND(Table1[[#This Row],[Average attendance on class]]&lt;75,Table1[[#This Row],[How many hour do you study daily?]]&lt;1),"At Risk","Normal")</f>
        <v>Normal</v>
      </c>
      <c r="AH1070">
        <f>(Table1[[#This Row],[Average attendance on class]]*0.4)+(Table1[[#This Row],[How many hour do you study daily?]]*10*0.3)+(Table1[[#This Row],[How many hour do you spent daily on your skill development?]]*10*0.3)</f>
        <v>58</v>
      </c>
    </row>
    <row r="1071" spans="1:34" x14ac:dyDescent="0.25">
      <c r="A1071">
        <v>2021</v>
      </c>
      <c r="B1071" t="s">
        <v>48</v>
      </c>
      <c r="C1071">
        <v>22</v>
      </c>
      <c r="D1071">
        <v>2021</v>
      </c>
      <c r="E1071" t="s">
        <v>35</v>
      </c>
      <c r="F1071">
        <v>7</v>
      </c>
      <c r="G1071" t="s">
        <v>37</v>
      </c>
      <c r="H1071" t="s">
        <v>36</v>
      </c>
      <c r="I1071">
        <v>4</v>
      </c>
      <c r="J1071">
        <v>2</v>
      </c>
      <c r="K1071" t="s">
        <v>38</v>
      </c>
      <c r="L1071" t="s">
        <v>36</v>
      </c>
      <c r="M1071" t="s">
        <v>36</v>
      </c>
      <c r="N1071">
        <v>5</v>
      </c>
      <c r="O1071" t="s">
        <v>53</v>
      </c>
      <c r="P1071">
        <v>100</v>
      </c>
      <c r="Q1071" t="s">
        <v>37</v>
      </c>
      <c r="R1071" t="s">
        <v>37</v>
      </c>
      <c r="S1071" t="s">
        <v>37</v>
      </c>
      <c r="T1071" t="s">
        <v>61</v>
      </c>
      <c r="U1071">
        <v>2</v>
      </c>
      <c r="V1071" t="s">
        <v>59</v>
      </c>
      <c r="W1071" t="s">
        <v>50</v>
      </c>
      <c r="X1071" t="s">
        <v>37</v>
      </c>
      <c r="Y1071" t="s">
        <v>47</v>
      </c>
      <c r="Z1071" t="s">
        <v>37</v>
      </c>
      <c r="AA1071">
        <v>1.98</v>
      </c>
      <c r="AB1071" t="s">
        <v>37</v>
      </c>
      <c r="AC1071">
        <v>3.03</v>
      </c>
      <c r="AD1071">
        <v>111</v>
      </c>
      <c r="AE1071">
        <v>39000</v>
      </c>
      <c r="AF1071" t="str">
        <f>IF(Table1[[#This Row],[What is your current CGPA?]]&gt;=3.5,"High",IF(Table1[[#This Row],[What is your current CGPA?]]&gt;=2.5,"Medium","Low"))</f>
        <v>Medium</v>
      </c>
      <c r="AG1071" t="str">
        <f>IF(AND(Table1[[#This Row],[Average attendance on class]]&lt;75,Table1[[#This Row],[How many hour do you study daily?]]&lt;1),"At Risk","Normal")</f>
        <v>Normal</v>
      </c>
      <c r="AH1071">
        <f>(Table1[[#This Row],[Average attendance on class]]*0.4)+(Table1[[#This Row],[How many hour do you study daily?]]*10*0.3)+(Table1[[#This Row],[How many hour do you spent daily on your skill development?]]*10*0.3)</f>
        <v>58</v>
      </c>
    </row>
    <row r="1072" spans="1:34" x14ac:dyDescent="0.25">
      <c r="A1072">
        <v>2020</v>
      </c>
      <c r="B1072" t="s">
        <v>34</v>
      </c>
      <c r="C1072">
        <v>23</v>
      </c>
      <c r="D1072">
        <v>2018</v>
      </c>
      <c r="E1072" t="s">
        <v>35</v>
      </c>
      <c r="F1072">
        <v>11</v>
      </c>
      <c r="G1072" t="s">
        <v>37</v>
      </c>
      <c r="H1072" t="s">
        <v>36</v>
      </c>
      <c r="I1072">
        <v>5</v>
      </c>
      <c r="J1072">
        <v>2</v>
      </c>
      <c r="K1072" t="s">
        <v>44</v>
      </c>
      <c r="L1072" t="s">
        <v>36</v>
      </c>
      <c r="M1072" t="s">
        <v>36</v>
      </c>
      <c r="N1072">
        <v>11</v>
      </c>
      <c r="O1072" t="s">
        <v>45</v>
      </c>
      <c r="P1072">
        <v>35</v>
      </c>
      <c r="Q1072" t="s">
        <v>37</v>
      </c>
      <c r="R1072" t="s">
        <v>37</v>
      </c>
      <c r="S1072" t="s">
        <v>36</v>
      </c>
      <c r="T1072" t="s">
        <v>40</v>
      </c>
      <c r="U1072">
        <v>2</v>
      </c>
      <c r="V1072" t="s">
        <v>40</v>
      </c>
      <c r="W1072" t="s">
        <v>50</v>
      </c>
      <c r="X1072" t="s">
        <v>36</v>
      </c>
      <c r="Y1072" t="s">
        <v>43</v>
      </c>
      <c r="Z1072" t="s">
        <v>37</v>
      </c>
      <c r="AA1072">
        <v>1.43</v>
      </c>
      <c r="AB1072" t="s">
        <v>37</v>
      </c>
      <c r="AC1072">
        <v>2.65</v>
      </c>
      <c r="AD1072">
        <v>107</v>
      </c>
      <c r="AE1072">
        <v>40000</v>
      </c>
      <c r="AF1072" t="str">
        <f>IF(Table1[[#This Row],[What is your current CGPA?]]&gt;=3.5,"High",IF(Table1[[#This Row],[What is your current CGPA?]]&gt;=2.5,"Medium","Low"))</f>
        <v>Medium</v>
      </c>
      <c r="AG1072" t="str">
        <f>IF(AND(Table1[[#This Row],[Average attendance on class]]&lt;75,Table1[[#This Row],[How many hour do you study daily?]]&lt;1),"At Risk","Normal")</f>
        <v>Normal</v>
      </c>
      <c r="AH1072">
        <f>(Table1[[#This Row],[Average attendance on class]]*0.4)+(Table1[[#This Row],[How many hour do you study daily?]]*10*0.3)+(Table1[[#This Row],[How many hour do you spent daily on your skill development?]]*10*0.3)</f>
        <v>35</v>
      </c>
    </row>
    <row r="1073" spans="1:34" x14ac:dyDescent="0.25">
      <c r="A1073">
        <v>2021</v>
      </c>
      <c r="B1073" t="s">
        <v>34</v>
      </c>
      <c r="C1073">
        <v>20</v>
      </c>
      <c r="D1073">
        <v>2020</v>
      </c>
      <c r="E1073" t="s">
        <v>35</v>
      </c>
      <c r="F1073">
        <v>9</v>
      </c>
      <c r="G1073" t="s">
        <v>36</v>
      </c>
      <c r="H1073" t="s">
        <v>36</v>
      </c>
      <c r="I1073">
        <v>5</v>
      </c>
      <c r="J1073">
        <v>2</v>
      </c>
      <c r="K1073" t="s">
        <v>38</v>
      </c>
      <c r="L1073" t="s">
        <v>36</v>
      </c>
      <c r="M1073" t="s">
        <v>36</v>
      </c>
      <c r="N1073">
        <v>3</v>
      </c>
      <c r="O1073" t="s">
        <v>53</v>
      </c>
      <c r="P1073">
        <v>100</v>
      </c>
      <c r="Q1073" t="s">
        <v>37</v>
      </c>
      <c r="R1073" t="s">
        <v>37</v>
      </c>
      <c r="S1073" t="s">
        <v>37</v>
      </c>
      <c r="T1073" t="s">
        <v>61</v>
      </c>
      <c r="U1073">
        <v>3</v>
      </c>
      <c r="V1073" t="s">
        <v>40</v>
      </c>
      <c r="W1073" t="s">
        <v>42</v>
      </c>
      <c r="X1073" t="s">
        <v>37</v>
      </c>
      <c r="Y1073" t="s">
        <v>47</v>
      </c>
      <c r="Z1073" t="s">
        <v>37</v>
      </c>
      <c r="AA1073">
        <v>2.77</v>
      </c>
      <c r="AB1073" t="s">
        <v>37</v>
      </c>
      <c r="AC1073">
        <v>3.96</v>
      </c>
      <c r="AD1073">
        <v>129</v>
      </c>
      <c r="AE1073">
        <v>42000</v>
      </c>
      <c r="AF1073" t="str">
        <f>IF(Table1[[#This Row],[What is your current CGPA?]]&gt;=3.5,"High",IF(Table1[[#This Row],[What is your current CGPA?]]&gt;=2.5,"Medium","Low"))</f>
        <v>High</v>
      </c>
      <c r="AG1073" t="str">
        <f>IF(AND(Table1[[#This Row],[Average attendance on class]]&lt;75,Table1[[#This Row],[How many hour do you study daily?]]&lt;1),"At Risk","Normal")</f>
        <v>Normal</v>
      </c>
      <c r="AH1073">
        <f>(Table1[[#This Row],[Average attendance on class]]*0.4)+(Table1[[#This Row],[How many hour do you study daily?]]*10*0.3)+(Table1[[#This Row],[How many hour do you spent daily on your skill development?]]*10*0.3)</f>
        <v>64</v>
      </c>
    </row>
    <row r="1074" spans="1:34" x14ac:dyDescent="0.25">
      <c r="A1074">
        <v>2020</v>
      </c>
      <c r="B1074" t="s">
        <v>48</v>
      </c>
      <c r="C1074">
        <v>20</v>
      </c>
      <c r="D1074">
        <v>2020</v>
      </c>
      <c r="E1074" t="s">
        <v>35</v>
      </c>
      <c r="F1074">
        <v>11</v>
      </c>
      <c r="G1074" t="s">
        <v>36</v>
      </c>
      <c r="H1074" t="s">
        <v>36</v>
      </c>
      <c r="I1074">
        <v>2</v>
      </c>
      <c r="J1074">
        <v>2</v>
      </c>
      <c r="K1074" t="s">
        <v>44</v>
      </c>
      <c r="L1074" t="s">
        <v>36</v>
      </c>
      <c r="M1074" t="s">
        <v>36</v>
      </c>
      <c r="N1074">
        <v>3</v>
      </c>
      <c r="O1074" t="s">
        <v>53</v>
      </c>
      <c r="P1074">
        <v>43</v>
      </c>
      <c r="Q1074" t="s">
        <v>36</v>
      </c>
      <c r="R1074" t="s">
        <v>37</v>
      </c>
      <c r="S1074" t="s">
        <v>37</v>
      </c>
      <c r="T1074" t="s">
        <v>51</v>
      </c>
      <c r="U1074">
        <v>4</v>
      </c>
      <c r="V1074" t="s">
        <v>59</v>
      </c>
      <c r="W1074" t="s">
        <v>56</v>
      </c>
      <c r="X1074" t="s">
        <v>37</v>
      </c>
      <c r="Y1074" t="s">
        <v>47</v>
      </c>
      <c r="Z1074" t="s">
        <v>37</v>
      </c>
      <c r="AA1074">
        <v>2.81</v>
      </c>
      <c r="AB1074" t="s">
        <v>37</v>
      </c>
      <c r="AC1074">
        <v>3.9</v>
      </c>
      <c r="AD1074">
        <v>144</v>
      </c>
      <c r="AE1074">
        <v>43000</v>
      </c>
      <c r="AF1074" t="str">
        <f>IF(Table1[[#This Row],[What is your current CGPA?]]&gt;=3.5,"High",IF(Table1[[#This Row],[What is your current CGPA?]]&gt;=2.5,"Medium","Low"))</f>
        <v>High</v>
      </c>
      <c r="AG1074" t="str">
        <f>IF(AND(Table1[[#This Row],[Average attendance on class]]&lt;75,Table1[[#This Row],[How many hour do you study daily?]]&lt;1),"At Risk","Normal")</f>
        <v>Normal</v>
      </c>
      <c r="AH1074">
        <f>(Table1[[#This Row],[Average attendance on class]]*0.4)+(Table1[[#This Row],[How many hour do you study daily?]]*10*0.3)+(Table1[[#This Row],[How many hour do you spent daily on your skill development?]]*10*0.3)</f>
        <v>35.200000000000003</v>
      </c>
    </row>
    <row r="1075" spans="1:34" x14ac:dyDescent="0.25">
      <c r="A1075">
        <v>2020</v>
      </c>
      <c r="B1075" t="s">
        <v>48</v>
      </c>
      <c r="C1075">
        <v>21</v>
      </c>
      <c r="D1075">
        <v>2019</v>
      </c>
      <c r="E1075" t="s">
        <v>35</v>
      </c>
      <c r="F1075">
        <v>11</v>
      </c>
      <c r="G1075" t="s">
        <v>37</v>
      </c>
      <c r="H1075" t="s">
        <v>36</v>
      </c>
      <c r="I1075">
        <v>3</v>
      </c>
      <c r="J1075">
        <v>1</v>
      </c>
      <c r="K1075" t="s">
        <v>44</v>
      </c>
      <c r="L1075" t="s">
        <v>36</v>
      </c>
      <c r="M1075" t="s">
        <v>36</v>
      </c>
      <c r="N1075">
        <v>3</v>
      </c>
      <c r="O1075" t="s">
        <v>39</v>
      </c>
      <c r="P1075">
        <v>70</v>
      </c>
      <c r="Q1075" t="s">
        <v>37</v>
      </c>
      <c r="R1075" t="s">
        <v>37</v>
      </c>
      <c r="S1075" t="s">
        <v>37</v>
      </c>
      <c r="T1075" t="s">
        <v>40</v>
      </c>
      <c r="U1075">
        <v>2</v>
      </c>
      <c r="V1075" t="s">
        <v>40</v>
      </c>
      <c r="W1075" t="s">
        <v>50</v>
      </c>
      <c r="X1075" t="s">
        <v>37</v>
      </c>
      <c r="Y1075" t="s">
        <v>43</v>
      </c>
      <c r="Z1075" t="s">
        <v>36</v>
      </c>
      <c r="AA1075">
        <v>2.1</v>
      </c>
      <c r="AB1075" t="s">
        <v>37</v>
      </c>
      <c r="AC1075">
        <v>3.2</v>
      </c>
      <c r="AD1075">
        <v>137</v>
      </c>
      <c r="AE1075">
        <v>45000</v>
      </c>
      <c r="AF1075" t="str">
        <f>IF(Table1[[#This Row],[What is your current CGPA?]]&gt;=3.5,"High",IF(Table1[[#This Row],[What is your current CGPA?]]&gt;=2.5,"Medium","Low"))</f>
        <v>Medium</v>
      </c>
      <c r="AG1075" t="str">
        <f>IF(AND(Table1[[#This Row],[Average attendance on class]]&lt;75,Table1[[#This Row],[How many hour do you study daily?]]&lt;1),"At Risk","Normal")</f>
        <v>Normal</v>
      </c>
      <c r="AH1075">
        <f>(Table1[[#This Row],[Average attendance on class]]*0.4)+(Table1[[#This Row],[How many hour do you study daily?]]*10*0.3)+(Table1[[#This Row],[How many hour do you spent daily on your skill development?]]*10*0.3)</f>
        <v>43</v>
      </c>
    </row>
    <row r="1076" spans="1:34" x14ac:dyDescent="0.25">
      <c r="A1076">
        <v>2020</v>
      </c>
      <c r="B1076" t="s">
        <v>48</v>
      </c>
      <c r="C1076">
        <v>25</v>
      </c>
      <c r="D1076">
        <v>2019</v>
      </c>
      <c r="E1076" t="s">
        <v>35</v>
      </c>
      <c r="F1076">
        <v>11</v>
      </c>
      <c r="G1076" t="s">
        <v>37</v>
      </c>
      <c r="H1076" t="s">
        <v>36</v>
      </c>
      <c r="I1076">
        <v>2</v>
      </c>
      <c r="J1076">
        <v>2</v>
      </c>
      <c r="K1076" t="s">
        <v>38</v>
      </c>
      <c r="L1076" t="s">
        <v>36</v>
      </c>
      <c r="M1076" t="s">
        <v>36</v>
      </c>
      <c r="N1076">
        <v>2</v>
      </c>
      <c r="O1076" t="s">
        <v>39</v>
      </c>
      <c r="P1076">
        <v>67</v>
      </c>
      <c r="Q1076" t="s">
        <v>36</v>
      </c>
      <c r="R1076" t="s">
        <v>37</v>
      </c>
      <c r="S1076" t="s">
        <v>37</v>
      </c>
      <c r="T1076" t="s">
        <v>52</v>
      </c>
      <c r="U1076">
        <v>4</v>
      </c>
      <c r="V1076" t="s">
        <v>41</v>
      </c>
      <c r="W1076" t="s">
        <v>50</v>
      </c>
      <c r="X1076" t="s">
        <v>36</v>
      </c>
      <c r="Y1076" t="s">
        <v>43</v>
      </c>
      <c r="Z1076" t="s">
        <v>37</v>
      </c>
      <c r="AA1076">
        <v>1.87</v>
      </c>
      <c r="AB1076" t="s">
        <v>37</v>
      </c>
      <c r="AC1076">
        <v>2.92</v>
      </c>
      <c r="AD1076">
        <v>144</v>
      </c>
      <c r="AE1076">
        <v>45000</v>
      </c>
      <c r="AF1076" t="str">
        <f>IF(Table1[[#This Row],[What is your current CGPA?]]&gt;=3.5,"High",IF(Table1[[#This Row],[What is your current CGPA?]]&gt;=2.5,"Medium","Low"))</f>
        <v>Medium</v>
      </c>
      <c r="AG1076" t="str">
        <f>IF(AND(Table1[[#This Row],[Average attendance on class]]&lt;75,Table1[[#This Row],[How many hour do you study daily?]]&lt;1),"At Risk","Normal")</f>
        <v>Normal</v>
      </c>
      <c r="AH1076">
        <f>(Table1[[#This Row],[Average attendance on class]]*0.4)+(Table1[[#This Row],[How many hour do you study daily?]]*10*0.3)+(Table1[[#This Row],[How many hour do you spent daily on your skill development?]]*10*0.3)</f>
        <v>44.8</v>
      </c>
    </row>
    <row r="1077" spans="1:34" x14ac:dyDescent="0.25">
      <c r="A1077">
        <v>2022</v>
      </c>
      <c r="B1077" t="s">
        <v>48</v>
      </c>
      <c r="C1077">
        <v>22</v>
      </c>
      <c r="D1077">
        <v>2020</v>
      </c>
      <c r="E1077" t="s">
        <v>35</v>
      </c>
      <c r="F1077">
        <v>5</v>
      </c>
      <c r="G1077" t="s">
        <v>36</v>
      </c>
      <c r="H1077" t="s">
        <v>36</v>
      </c>
      <c r="I1077">
        <v>1</v>
      </c>
      <c r="J1077">
        <v>2</v>
      </c>
      <c r="K1077" t="s">
        <v>38</v>
      </c>
      <c r="L1077" t="s">
        <v>36</v>
      </c>
      <c r="M1077" t="s">
        <v>36</v>
      </c>
      <c r="N1077">
        <v>7</v>
      </c>
      <c r="O1077" t="s">
        <v>39</v>
      </c>
      <c r="P1077">
        <v>100</v>
      </c>
      <c r="Q1077" t="s">
        <v>37</v>
      </c>
      <c r="R1077" t="s">
        <v>37</v>
      </c>
      <c r="S1077" t="s">
        <v>36</v>
      </c>
      <c r="T1077" t="s">
        <v>40</v>
      </c>
      <c r="U1077">
        <v>1</v>
      </c>
      <c r="V1077" t="s">
        <v>40</v>
      </c>
      <c r="W1077" t="s">
        <v>42</v>
      </c>
      <c r="X1077" t="s">
        <v>36</v>
      </c>
      <c r="Y1077" t="s">
        <v>47</v>
      </c>
      <c r="Z1077" t="s">
        <v>36</v>
      </c>
      <c r="AA1077">
        <v>2.58</v>
      </c>
      <c r="AB1077" t="s">
        <v>37</v>
      </c>
      <c r="AC1077">
        <v>3.74</v>
      </c>
      <c r="AD1077">
        <v>39</v>
      </c>
      <c r="AE1077">
        <v>45000</v>
      </c>
      <c r="AF1077" t="str">
        <f>IF(Table1[[#This Row],[What is your current CGPA?]]&gt;=3.5,"High",IF(Table1[[#This Row],[What is your current CGPA?]]&gt;=2.5,"Medium","Low"))</f>
        <v>High</v>
      </c>
      <c r="AG1077" t="str">
        <f>IF(AND(Table1[[#This Row],[Average attendance on class]]&lt;75,Table1[[#This Row],[How many hour do you study daily?]]&lt;1),"At Risk","Normal")</f>
        <v>Normal</v>
      </c>
      <c r="AH1077">
        <f>(Table1[[#This Row],[Average attendance on class]]*0.4)+(Table1[[#This Row],[How many hour do you study daily?]]*10*0.3)+(Table1[[#This Row],[How many hour do you spent daily on your skill development?]]*10*0.3)</f>
        <v>46</v>
      </c>
    </row>
    <row r="1078" spans="1:34" x14ac:dyDescent="0.25">
      <c r="A1078">
        <v>2021</v>
      </c>
      <c r="B1078" t="s">
        <v>48</v>
      </c>
      <c r="C1078">
        <v>22</v>
      </c>
      <c r="D1078">
        <v>2021</v>
      </c>
      <c r="E1078" t="s">
        <v>35</v>
      </c>
      <c r="F1078">
        <v>6</v>
      </c>
      <c r="G1078" t="s">
        <v>37</v>
      </c>
      <c r="H1078" t="s">
        <v>36</v>
      </c>
      <c r="I1078">
        <v>3</v>
      </c>
      <c r="J1078">
        <v>1</v>
      </c>
      <c r="K1078" t="s">
        <v>38</v>
      </c>
      <c r="L1078" t="s">
        <v>36</v>
      </c>
      <c r="M1078" t="s">
        <v>36</v>
      </c>
      <c r="N1078">
        <v>7</v>
      </c>
      <c r="O1078" t="s">
        <v>39</v>
      </c>
      <c r="P1078">
        <v>80</v>
      </c>
      <c r="Q1078" t="s">
        <v>36</v>
      </c>
      <c r="R1078" t="s">
        <v>37</v>
      </c>
      <c r="S1078" t="s">
        <v>36</v>
      </c>
      <c r="T1078" t="s">
        <v>61</v>
      </c>
      <c r="U1078">
        <v>2</v>
      </c>
      <c r="V1078" t="s">
        <v>59</v>
      </c>
      <c r="W1078" t="s">
        <v>50</v>
      </c>
      <c r="X1078" t="s">
        <v>37</v>
      </c>
      <c r="Y1078" t="s">
        <v>43</v>
      </c>
      <c r="Z1078" t="s">
        <v>37</v>
      </c>
      <c r="AA1078">
        <v>1.77</v>
      </c>
      <c r="AB1078" t="s">
        <v>37</v>
      </c>
      <c r="AC1078">
        <v>2.82</v>
      </c>
      <c r="AD1078">
        <v>109</v>
      </c>
      <c r="AE1078">
        <v>45000</v>
      </c>
      <c r="AF1078" t="str">
        <f>IF(Table1[[#This Row],[What is your current CGPA?]]&gt;=3.5,"High",IF(Table1[[#This Row],[What is your current CGPA?]]&gt;=2.5,"Medium","Low"))</f>
        <v>Medium</v>
      </c>
      <c r="AG1078" t="str">
        <f>IF(AND(Table1[[#This Row],[Average attendance on class]]&lt;75,Table1[[#This Row],[How many hour do you study daily?]]&lt;1),"At Risk","Normal")</f>
        <v>Normal</v>
      </c>
      <c r="AH1078">
        <f>(Table1[[#This Row],[Average attendance on class]]*0.4)+(Table1[[#This Row],[How many hour do you study daily?]]*10*0.3)+(Table1[[#This Row],[How many hour do you spent daily on your skill development?]]*10*0.3)</f>
        <v>47</v>
      </c>
    </row>
    <row r="1079" spans="1:34" x14ac:dyDescent="0.25">
      <c r="A1079">
        <v>2018</v>
      </c>
      <c r="B1079" t="s">
        <v>34</v>
      </c>
      <c r="C1079">
        <v>24</v>
      </c>
      <c r="D1079">
        <v>2018</v>
      </c>
      <c r="E1079" t="s">
        <v>35</v>
      </c>
      <c r="F1079">
        <v>11</v>
      </c>
      <c r="G1079" t="s">
        <v>37</v>
      </c>
      <c r="H1079" t="s">
        <v>36</v>
      </c>
      <c r="I1079">
        <v>3</v>
      </c>
      <c r="J1079">
        <v>1</v>
      </c>
      <c r="K1079" t="s">
        <v>38</v>
      </c>
      <c r="L1079" t="s">
        <v>36</v>
      </c>
      <c r="M1079" t="s">
        <v>36</v>
      </c>
      <c r="N1079">
        <v>7</v>
      </c>
      <c r="O1079" t="s">
        <v>39</v>
      </c>
      <c r="P1079">
        <v>88</v>
      </c>
      <c r="Q1079" t="s">
        <v>36</v>
      </c>
      <c r="R1079" t="s">
        <v>37</v>
      </c>
      <c r="S1079" t="s">
        <v>36</v>
      </c>
      <c r="T1079" t="s">
        <v>49</v>
      </c>
      <c r="U1079">
        <v>3</v>
      </c>
      <c r="V1079" t="s">
        <v>59</v>
      </c>
      <c r="W1079" t="s">
        <v>42</v>
      </c>
      <c r="X1079" t="s">
        <v>37</v>
      </c>
      <c r="Y1079" t="s">
        <v>47</v>
      </c>
      <c r="Z1079" t="s">
        <v>37</v>
      </c>
      <c r="AA1079">
        <v>2.16</v>
      </c>
      <c r="AB1079" t="s">
        <v>37</v>
      </c>
      <c r="AC1079">
        <v>3.33</v>
      </c>
      <c r="AD1079">
        <v>143</v>
      </c>
      <c r="AE1079">
        <v>46000</v>
      </c>
      <c r="AF1079" t="str">
        <f>IF(Table1[[#This Row],[What is your current CGPA?]]&gt;=3.5,"High",IF(Table1[[#This Row],[What is your current CGPA?]]&gt;=2.5,"Medium","Low"))</f>
        <v>Medium</v>
      </c>
      <c r="AG1079" t="str">
        <f>IF(AND(Table1[[#This Row],[Average attendance on class]]&lt;75,Table1[[#This Row],[How many hour do you study daily?]]&lt;1),"At Risk","Normal")</f>
        <v>Normal</v>
      </c>
      <c r="AH1079">
        <f>(Table1[[#This Row],[Average attendance on class]]*0.4)+(Table1[[#This Row],[How many hour do you study daily?]]*10*0.3)+(Table1[[#This Row],[How many hour do you spent daily on your skill development?]]*10*0.3)</f>
        <v>53.2</v>
      </c>
    </row>
    <row r="1080" spans="1:34" x14ac:dyDescent="0.25">
      <c r="A1080">
        <v>2020</v>
      </c>
      <c r="B1080" t="s">
        <v>48</v>
      </c>
      <c r="C1080">
        <v>23</v>
      </c>
      <c r="D1080">
        <v>2018</v>
      </c>
      <c r="E1080" t="s">
        <v>35</v>
      </c>
      <c r="F1080">
        <v>11</v>
      </c>
      <c r="G1080" t="s">
        <v>36</v>
      </c>
      <c r="H1080" t="s">
        <v>36</v>
      </c>
      <c r="I1080">
        <v>1</v>
      </c>
      <c r="J1080">
        <v>1</v>
      </c>
      <c r="K1080" t="s">
        <v>38</v>
      </c>
      <c r="L1080" t="s">
        <v>36</v>
      </c>
      <c r="M1080" t="s">
        <v>37</v>
      </c>
      <c r="N1080">
        <v>2</v>
      </c>
      <c r="O1080" t="s">
        <v>53</v>
      </c>
      <c r="P1080">
        <v>100</v>
      </c>
      <c r="Q1080" t="s">
        <v>37</v>
      </c>
      <c r="R1080" t="s">
        <v>37</v>
      </c>
      <c r="S1080" t="s">
        <v>37</v>
      </c>
      <c r="T1080" t="s">
        <v>40</v>
      </c>
      <c r="U1080">
        <v>3</v>
      </c>
      <c r="V1080" t="s">
        <v>59</v>
      </c>
      <c r="W1080" t="s">
        <v>42</v>
      </c>
      <c r="X1080" t="s">
        <v>36</v>
      </c>
      <c r="Y1080" t="s">
        <v>47</v>
      </c>
      <c r="Z1080" t="s">
        <v>36</v>
      </c>
      <c r="AA1080">
        <v>2.5299999999999998</v>
      </c>
      <c r="AB1080" t="s">
        <v>37</v>
      </c>
      <c r="AC1080">
        <v>3.81</v>
      </c>
      <c r="AD1080">
        <v>132</v>
      </c>
      <c r="AE1080">
        <v>50000</v>
      </c>
      <c r="AF1080" t="str">
        <f>IF(Table1[[#This Row],[What is your current CGPA?]]&gt;=3.5,"High",IF(Table1[[#This Row],[What is your current CGPA?]]&gt;=2.5,"Medium","Low"))</f>
        <v>High</v>
      </c>
      <c r="AG1080" t="str">
        <f>IF(AND(Table1[[#This Row],[Average attendance on class]]&lt;75,Table1[[#This Row],[How many hour do you study daily?]]&lt;1),"At Risk","Normal")</f>
        <v>Normal</v>
      </c>
      <c r="AH1080">
        <f>(Table1[[#This Row],[Average attendance on class]]*0.4)+(Table1[[#This Row],[How many hour do you study daily?]]*10*0.3)+(Table1[[#This Row],[How many hour do you spent daily on your skill development?]]*10*0.3)</f>
        <v>52</v>
      </c>
    </row>
    <row r="1081" spans="1:34" x14ac:dyDescent="0.25">
      <c r="A1081">
        <v>2022</v>
      </c>
      <c r="B1081" t="s">
        <v>34</v>
      </c>
      <c r="C1081">
        <v>23</v>
      </c>
      <c r="D1081">
        <v>2020</v>
      </c>
      <c r="E1081" t="s">
        <v>35</v>
      </c>
      <c r="F1081">
        <v>8</v>
      </c>
      <c r="G1081" t="s">
        <v>37</v>
      </c>
      <c r="H1081" t="s">
        <v>36</v>
      </c>
      <c r="I1081">
        <v>3</v>
      </c>
      <c r="J1081">
        <v>2</v>
      </c>
      <c r="K1081" t="s">
        <v>38</v>
      </c>
      <c r="L1081" t="s">
        <v>36</v>
      </c>
      <c r="M1081" t="s">
        <v>36</v>
      </c>
      <c r="N1081">
        <v>3</v>
      </c>
      <c r="O1081" t="s">
        <v>53</v>
      </c>
      <c r="P1081">
        <v>98</v>
      </c>
      <c r="Q1081" t="s">
        <v>37</v>
      </c>
      <c r="R1081" t="s">
        <v>37</v>
      </c>
      <c r="S1081" t="s">
        <v>36</v>
      </c>
      <c r="T1081" t="s">
        <v>40</v>
      </c>
      <c r="U1081">
        <v>2</v>
      </c>
      <c r="V1081" t="s">
        <v>40</v>
      </c>
      <c r="W1081" t="s">
        <v>50</v>
      </c>
      <c r="X1081" t="s">
        <v>37</v>
      </c>
      <c r="Y1081" t="s">
        <v>47</v>
      </c>
      <c r="Z1081" t="s">
        <v>37</v>
      </c>
      <c r="AA1081">
        <v>2.75</v>
      </c>
      <c r="AB1081" t="s">
        <v>37</v>
      </c>
      <c r="AC1081">
        <v>3.64</v>
      </c>
      <c r="AD1081">
        <v>18</v>
      </c>
      <c r="AE1081">
        <v>50000</v>
      </c>
      <c r="AF1081" t="str">
        <f>IF(Table1[[#This Row],[What is your current CGPA?]]&gt;=3.5,"High",IF(Table1[[#This Row],[What is your current CGPA?]]&gt;=2.5,"Medium","Low"))</f>
        <v>High</v>
      </c>
      <c r="AG1081" t="str">
        <f>IF(AND(Table1[[#This Row],[Average attendance on class]]&lt;75,Table1[[#This Row],[How many hour do you study daily?]]&lt;1),"At Risk","Normal")</f>
        <v>Normal</v>
      </c>
      <c r="AH1081">
        <f>(Table1[[#This Row],[Average attendance on class]]*0.4)+(Table1[[#This Row],[How many hour do you study daily?]]*10*0.3)+(Table1[[#This Row],[How many hour do you spent daily on your skill development?]]*10*0.3)</f>
        <v>54.2</v>
      </c>
    </row>
    <row r="1082" spans="1:34" x14ac:dyDescent="0.25">
      <c r="A1082">
        <v>2020</v>
      </c>
      <c r="B1082" t="s">
        <v>48</v>
      </c>
      <c r="C1082">
        <v>20</v>
      </c>
      <c r="D1082">
        <v>2020</v>
      </c>
      <c r="E1082" t="s">
        <v>35</v>
      </c>
      <c r="F1082">
        <v>9</v>
      </c>
      <c r="G1082" t="s">
        <v>37</v>
      </c>
      <c r="H1082" t="s">
        <v>36</v>
      </c>
      <c r="I1082">
        <v>3</v>
      </c>
      <c r="J1082">
        <v>2</v>
      </c>
      <c r="K1082" t="s">
        <v>44</v>
      </c>
      <c r="L1082" t="s">
        <v>36</v>
      </c>
      <c r="M1082" t="s">
        <v>36</v>
      </c>
      <c r="N1082">
        <v>7</v>
      </c>
      <c r="O1082" t="s">
        <v>53</v>
      </c>
      <c r="P1082">
        <v>70</v>
      </c>
      <c r="Q1082" t="s">
        <v>37</v>
      </c>
      <c r="R1082" t="s">
        <v>37</v>
      </c>
      <c r="S1082" t="s">
        <v>36</v>
      </c>
      <c r="T1082" t="s">
        <v>40</v>
      </c>
      <c r="U1082">
        <v>1</v>
      </c>
      <c r="V1082" t="s">
        <v>62</v>
      </c>
      <c r="W1082" t="s">
        <v>42</v>
      </c>
      <c r="X1082" t="s">
        <v>36</v>
      </c>
      <c r="Y1082" t="s">
        <v>47</v>
      </c>
      <c r="Z1082" t="s">
        <v>37</v>
      </c>
      <c r="AA1082">
        <v>2.0099999999999998</v>
      </c>
      <c r="AB1082" t="s">
        <v>37</v>
      </c>
      <c r="AC1082">
        <v>3.15</v>
      </c>
      <c r="AD1082">
        <v>131</v>
      </c>
      <c r="AE1082">
        <v>50000</v>
      </c>
      <c r="AF1082" t="str">
        <f>IF(Table1[[#This Row],[What is your current CGPA?]]&gt;=3.5,"High",IF(Table1[[#This Row],[What is your current CGPA?]]&gt;=2.5,"Medium","Low"))</f>
        <v>Medium</v>
      </c>
      <c r="AG1082" t="str">
        <f>IF(AND(Table1[[#This Row],[Average attendance on class]]&lt;75,Table1[[#This Row],[How many hour do you study daily?]]&lt;1),"At Risk","Normal")</f>
        <v>Normal</v>
      </c>
      <c r="AH1082">
        <f>(Table1[[#This Row],[Average attendance on class]]*0.4)+(Table1[[#This Row],[How many hour do you study daily?]]*10*0.3)+(Table1[[#This Row],[How many hour do you spent daily on your skill development?]]*10*0.3)</f>
        <v>40</v>
      </c>
    </row>
    <row r="1083" spans="1:34" x14ac:dyDescent="0.25">
      <c r="A1083">
        <v>2021</v>
      </c>
      <c r="B1083" t="s">
        <v>48</v>
      </c>
      <c r="C1083">
        <v>20</v>
      </c>
      <c r="D1083">
        <v>2020</v>
      </c>
      <c r="E1083" t="s">
        <v>35</v>
      </c>
      <c r="F1083">
        <v>9</v>
      </c>
      <c r="G1083" t="s">
        <v>36</v>
      </c>
      <c r="H1083" t="s">
        <v>36</v>
      </c>
      <c r="I1083">
        <v>3</v>
      </c>
      <c r="J1083">
        <v>2</v>
      </c>
      <c r="K1083" t="s">
        <v>44</v>
      </c>
      <c r="L1083" t="s">
        <v>36</v>
      </c>
      <c r="M1083" t="s">
        <v>36</v>
      </c>
      <c r="N1083">
        <v>3</v>
      </c>
      <c r="O1083" t="s">
        <v>39</v>
      </c>
      <c r="P1083">
        <v>76</v>
      </c>
      <c r="Q1083" t="s">
        <v>37</v>
      </c>
      <c r="R1083" t="s">
        <v>37</v>
      </c>
      <c r="S1083" t="s">
        <v>36</v>
      </c>
      <c r="T1083" t="s">
        <v>49</v>
      </c>
      <c r="U1083">
        <v>3</v>
      </c>
      <c r="V1083" t="s">
        <v>59</v>
      </c>
      <c r="W1083" t="s">
        <v>42</v>
      </c>
      <c r="X1083" t="s">
        <v>36</v>
      </c>
      <c r="Y1083" t="s">
        <v>47</v>
      </c>
      <c r="Z1083" t="s">
        <v>37</v>
      </c>
      <c r="AA1083">
        <v>2.77</v>
      </c>
      <c r="AB1083" t="s">
        <v>37</v>
      </c>
      <c r="AC1083">
        <v>3.8</v>
      </c>
      <c r="AD1083">
        <v>129</v>
      </c>
      <c r="AE1083">
        <v>50000</v>
      </c>
      <c r="AF1083" t="str">
        <f>IF(Table1[[#This Row],[What is your current CGPA?]]&gt;=3.5,"High",IF(Table1[[#This Row],[What is your current CGPA?]]&gt;=2.5,"Medium","Low"))</f>
        <v>High</v>
      </c>
      <c r="AG1083" t="str">
        <f>IF(AND(Table1[[#This Row],[Average attendance on class]]&lt;75,Table1[[#This Row],[How many hour do you study daily?]]&lt;1),"At Risk","Normal")</f>
        <v>Normal</v>
      </c>
      <c r="AH1083">
        <f>(Table1[[#This Row],[Average attendance on class]]*0.4)+(Table1[[#This Row],[How many hour do you study daily?]]*10*0.3)+(Table1[[#This Row],[How many hour do you spent daily on your skill development?]]*10*0.3)</f>
        <v>48.400000000000006</v>
      </c>
    </row>
    <row r="1084" spans="1:34" x14ac:dyDescent="0.25">
      <c r="A1084">
        <v>2019</v>
      </c>
      <c r="B1084" t="s">
        <v>48</v>
      </c>
      <c r="C1084">
        <v>22</v>
      </c>
      <c r="D1084">
        <v>2018</v>
      </c>
      <c r="E1084" t="s">
        <v>35</v>
      </c>
      <c r="F1084">
        <v>11</v>
      </c>
      <c r="G1084" t="s">
        <v>37</v>
      </c>
      <c r="H1084" t="s">
        <v>36</v>
      </c>
      <c r="I1084">
        <v>5</v>
      </c>
      <c r="J1084">
        <v>3</v>
      </c>
      <c r="K1084" t="s">
        <v>44</v>
      </c>
      <c r="L1084" t="s">
        <v>36</v>
      </c>
      <c r="M1084" t="s">
        <v>36</v>
      </c>
      <c r="N1084">
        <v>11</v>
      </c>
      <c r="O1084" t="s">
        <v>39</v>
      </c>
      <c r="P1084">
        <v>80</v>
      </c>
      <c r="Q1084" t="s">
        <v>37</v>
      </c>
      <c r="R1084" t="s">
        <v>37</v>
      </c>
      <c r="S1084" t="s">
        <v>37</v>
      </c>
      <c r="T1084" t="s">
        <v>40</v>
      </c>
      <c r="U1084">
        <v>2</v>
      </c>
      <c r="V1084" t="s">
        <v>62</v>
      </c>
      <c r="W1084" t="s">
        <v>42</v>
      </c>
      <c r="X1084" t="s">
        <v>37</v>
      </c>
      <c r="Y1084" t="s">
        <v>43</v>
      </c>
      <c r="Z1084" t="s">
        <v>37</v>
      </c>
      <c r="AA1084">
        <v>2.04</v>
      </c>
      <c r="AB1084" t="s">
        <v>37</v>
      </c>
      <c r="AC1084">
        <v>3.16</v>
      </c>
      <c r="AD1084">
        <v>143</v>
      </c>
      <c r="AE1084">
        <v>51000</v>
      </c>
      <c r="AF1084" t="str">
        <f>IF(Table1[[#This Row],[What is your current CGPA?]]&gt;=3.5,"High",IF(Table1[[#This Row],[What is your current CGPA?]]&gt;=2.5,"Medium","Low"))</f>
        <v>Medium</v>
      </c>
      <c r="AG1084" t="str">
        <f>IF(AND(Table1[[#This Row],[Average attendance on class]]&lt;75,Table1[[#This Row],[How many hour do you study daily?]]&lt;1),"At Risk","Normal")</f>
        <v>Normal</v>
      </c>
      <c r="AH1084">
        <f>(Table1[[#This Row],[Average attendance on class]]*0.4)+(Table1[[#This Row],[How many hour do you study daily?]]*10*0.3)+(Table1[[#This Row],[How many hour do you spent daily on your skill development?]]*10*0.3)</f>
        <v>53</v>
      </c>
    </row>
    <row r="1085" spans="1:34" x14ac:dyDescent="0.25">
      <c r="A1085">
        <v>2021</v>
      </c>
      <c r="B1085" t="s">
        <v>34</v>
      </c>
      <c r="C1085">
        <v>20</v>
      </c>
      <c r="D1085">
        <v>2020</v>
      </c>
      <c r="E1085" t="s">
        <v>35</v>
      </c>
      <c r="F1085">
        <v>7</v>
      </c>
      <c r="G1085" t="s">
        <v>36</v>
      </c>
      <c r="H1085" t="s">
        <v>36</v>
      </c>
      <c r="I1085">
        <v>5</v>
      </c>
      <c r="J1085">
        <v>3</v>
      </c>
      <c r="K1085" t="s">
        <v>44</v>
      </c>
      <c r="L1085" t="s">
        <v>36</v>
      </c>
      <c r="M1085" t="s">
        <v>36</v>
      </c>
      <c r="N1085">
        <v>4</v>
      </c>
      <c r="O1085" t="s">
        <v>39</v>
      </c>
      <c r="P1085">
        <v>55</v>
      </c>
      <c r="Q1085" t="s">
        <v>37</v>
      </c>
      <c r="R1085" t="s">
        <v>37</v>
      </c>
      <c r="S1085" t="s">
        <v>36</v>
      </c>
      <c r="T1085" t="s">
        <v>61</v>
      </c>
      <c r="U1085">
        <v>2</v>
      </c>
      <c r="V1085" t="s">
        <v>41</v>
      </c>
      <c r="W1085" t="s">
        <v>42</v>
      </c>
      <c r="X1085" t="s">
        <v>37</v>
      </c>
      <c r="Y1085" t="s">
        <v>47</v>
      </c>
      <c r="Z1085" t="s">
        <v>37</v>
      </c>
      <c r="AA1085">
        <v>2.0099999999999998</v>
      </c>
      <c r="AB1085" t="s">
        <v>37</v>
      </c>
      <c r="AC1085">
        <v>3.13</v>
      </c>
      <c r="AD1085">
        <v>101</v>
      </c>
      <c r="AE1085">
        <v>51000</v>
      </c>
      <c r="AF1085" t="str">
        <f>IF(Table1[[#This Row],[What is your current CGPA?]]&gt;=3.5,"High",IF(Table1[[#This Row],[What is your current CGPA?]]&gt;=2.5,"Medium","Low"))</f>
        <v>Medium</v>
      </c>
      <c r="AG1085" t="str">
        <f>IF(AND(Table1[[#This Row],[Average attendance on class]]&lt;75,Table1[[#This Row],[How many hour do you study daily?]]&lt;1),"At Risk","Normal")</f>
        <v>Normal</v>
      </c>
      <c r="AH1085">
        <f>(Table1[[#This Row],[Average attendance on class]]*0.4)+(Table1[[#This Row],[How many hour do you study daily?]]*10*0.3)+(Table1[[#This Row],[How many hour do you spent daily on your skill development?]]*10*0.3)</f>
        <v>43</v>
      </c>
    </row>
    <row r="1086" spans="1:34" x14ac:dyDescent="0.25">
      <c r="A1086">
        <v>2021</v>
      </c>
      <c r="B1086" t="s">
        <v>48</v>
      </c>
      <c r="C1086">
        <v>20</v>
      </c>
      <c r="D1086">
        <v>2020</v>
      </c>
      <c r="E1086" t="s">
        <v>35</v>
      </c>
      <c r="F1086">
        <v>8</v>
      </c>
      <c r="G1086" t="s">
        <v>37</v>
      </c>
      <c r="H1086" t="s">
        <v>36</v>
      </c>
      <c r="I1086">
        <v>3</v>
      </c>
      <c r="J1086">
        <v>2</v>
      </c>
      <c r="K1086" t="s">
        <v>44</v>
      </c>
      <c r="L1086" t="s">
        <v>36</v>
      </c>
      <c r="M1086" t="s">
        <v>36</v>
      </c>
      <c r="N1086">
        <v>3</v>
      </c>
      <c r="O1086" t="s">
        <v>45</v>
      </c>
      <c r="P1086">
        <v>24</v>
      </c>
      <c r="Q1086" t="s">
        <v>37</v>
      </c>
      <c r="R1086" t="s">
        <v>37</v>
      </c>
      <c r="S1086" t="s">
        <v>36</v>
      </c>
      <c r="T1086" t="s">
        <v>40</v>
      </c>
      <c r="U1086">
        <v>4</v>
      </c>
      <c r="V1086" t="s">
        <v>62</v>
      </c>
      <c r="W1086" t="s">
        <v>50</v>
      </c>
      <c r="X1086" t="s">
        <v>36</v>
      </c>
      <c r="Y1086" t="s">
        <v>43</v>
      </c>
      <c r="Z1086" t="s">
        <v>37</v>
      </c>
      <c r="AA1086">
        <v>1.87</v>
      </c>
      <c r="AB1086" t="s">
        <v>37</v>
      </c>
      <c r="AC1086">
        <v>2.93</v>
      </c>
      <c r="AD1086">
        <v>117</v>
      </c>
      <c r="AE1086">
        <v>52000</v>
      </c>
      <c r="AF1086" t="str">
        <f>IF(Table1[[#This Row],[What is your current CGPA?]]&gt;=3.5,"High",IF(Table1[[#This Row],[What is your current CGPA?]]&gt;=2.5,"Medium","Low"))</f>
        <v>Medium</v>
      </c>
      <c r="AG1086" t="str">
        <f>IF(AND(Table1[[#This Row],[Average attendance on class]]&lt;75,Table1[[#This Row],[How many hour do you study daily?]]&lt;1),"At Risk","Normal")</f>
        <v>Normal</v>
      </c>
      <c r="AH1086">
        <f>(Table1[[#This Row],[Average attendance on class]]*0.4)+(Table1[[#This Row],[How many hour do you study daily?]]*10*0.3)+(Table1[[#This Row],[How many hour do you spent daily on your skill development?]]*10*0.3)</f>
        <v>30.6</v>
      </c>
    </row>
    <row r="1087" spans="1:34" x14ac:dyDescent="0.25">
      <c r="A1087">
        <v>2020</v>
      </c>
      <c r="B1087" t="s">
        <v>34</v>
      </c>
      <c r="C1087">
        <v>24</v>
      </c>
      <c r="D1087">
        <v>2019</v>
      </c>
      <c r="E1087" t="s">
        <v>35</v>
      </c>
      <c r="F1087">
        <v>10</v>
      </c>
      <c r="G1087" t="s">
        <v>36</v>
      </c>
      <c r="H1087" t="s">
        <v>36</v>
      </c>
      <c r="I1087">
        <v>6</v>
      </c>
      <c r="J1087">
        <v>2</v>
      </c>
      <c r="K1087" t="s">
        <v>38</v>
      </c>
      <c r="L1087" t="s">
        <v>36</v>
      </c>
      <c r="M1087" t="s">
        <v>36</v>
      </c>
      <c r="N1087">
        <v>3</v>
      </c>
      <c r="O1087" t="s">
        <v>53</v>
      </c>
      <c r="P1087">
        <v>100</v>
      </c>
      <c r="Q1087" t="s">
        <v>37</v>
      </c>
      <c r="R1087" t="s">
        <v>37</v>
      </c>
      <c r="S1087" t="s">
        <v>37</v>
      </c>
      <c r="T1087" t="s">
        <v>61</v>
      </c>
      <c r="U1087">
        <v>1</v>
      </c>
      <c r="V1087" t="s">
        <v>41</v>
      </c>
      <c r="W1087" t="s">
        <v>56</v>
      </c>
      <c r="X1087" t="s">
        <v>36</v>
      </c>
      <c r="Y1087" t="s">
        <v>47</v>
      </c>
      <c r="Z1087" t="s">
        <v>37</v>
      </c>
      <c r="AA1087">
        <v>2.02</v>
      </c>
      <c r="AB1087" t="s">
        <v>37</v>
      </c>
      <c r="AC1087">
        <v>3.11</v>
      </c>
      <c r="AD1087">
        <v>134</v>
      </c>
      <c r="AE1087">
        <v>53000</v>
      </c>
      <c r="AF1087" t="str">
        <f>IF(Table1[[#This Row],[What is your current CGPA?]]&gt;=3.5,"High",IF(Table1[[#This Row],[What is your current CGPA?]]&gt;=2.5,"Medium","Low"))</f>
        <v>Medium</v>
      </c>
      <c r="AG1087" t="str">
        <f>IF(AND(Table1[[#This Row],[Average attendance on class]]&lt;75,Table1[[#This Row],[How many hour do you study daily?]]&lt;1),"At Risk","Normal")</f>
        <v>Normal</v>
      </c>
      <c r="AH1087">
        <f>(Table1[[#This Row],[Average attendance on class]]*0.4)+(Table1[[#This Row],[How many hour do you study daily?]]*10*0.3)+(Table1[[#This Row],[How many hour do you spent daily on your skill development?]]*10*0.3)</f>
        <v>61</v>
      </c>
    </row>
    <row r="1088" spans="1:34" x14ac:dyDescent="0.25">
      <c r="A1088">
        <v>2021</v>
      </c>
      <c r="B1088" t="s">
        <v>34</v>
      </c>
      <c r="C1088">
        <v>21</v>
      </c>
      <c r="D1088">
        <v>2021</v>
      </c>
      <c r="E1088" t="s">
        <v>35</v>
      </c>
      <c r="F1088">
        <v>9</v>
      </c>
      <c r="G1088" t="s">
        <v>37</v>
      </c>
      <c r="H1088" t="s">
        <v>36</v>
      </c>
      <c r="I1088">
        <v>3</v>
      </c>
      <c r="J1088">
        <v>2</v>
      </c>
      <c r="K1088" t="s">
        <v>38</v>
      </c>
      <c r="L1088" t="s">
        <v>36</v>
      </c>
      <c r="M1088" t="s">
        <v>36</v>
      </c>
      <c r="N1088">
        <v>6</v>
      </c>
      <c r="O1088" t="s">
        <v>39</v>
      </c>
      <c r="P1088">
        <v>70</v>
      </c>
      <c r="Q1088" t="s">
        <v>37</v>
      </c>
      <c r="R1088" t="s">
        <v>37</v>
      </c>
      <c r="S1088" t="s">
        <v>36</v>
      </c>
      <c r="T1088" t="s">
        <v>40</v>
      </c>
      <c r="U1088">
        <v>2</v>
      </c>
      <c r="V1088" t="s">
        <v>62</v>
      </c>
      <c r="W1088" t="s">
        <v>50</v>
      </c>
      <c r="X1088" t="s">
        <v>36</v>
      </c>
      <c r="Y1088" t="s">
        <v>43</v>
      </c>
      <c r="Z1088" t="s">
        <v>37</v>
      </c>
      <c r="AA1088">
        <v>1.98</v>
      </c>
      <c r="AB1088" t="s">
        <v>37</v>
      </c>
      <c r="AC1088">
        <v>2.97</v>
      </c>
      <c r="AD1088">
        <v>105</v>
      </c>
      <c r="AE1088">
        <v>53000</v>
      </c>
      <c r="AF1088" t="str">
        <f>IF(Table1[[#This Row],[What is your current CGPA?]]&gt;=3.5,"High",IF(Table1[[#This Row],[What is your current CGPA?]]&gt;=2.5,"Medium","Low"))</f>
        <v>Medium</v>
      </c>
      <c r="AG1088" t="str">
        <f>IF(AND(Table1[[#This Row],[Average attendance on class]]&lt;75,Table1[[#This Row],[How many hour do you study daily?]]&lt;1),"At Risk","Normal")</f>
        <v>Normal</v>
      </c>
      <c r="AH1088">
        <f>(Table1[[#This Row],[Average attendance on class]]*0.4)+(Table1[[#This Row],[How many hour do you study daily?]]*10*0.3)+(Table1[[#This Row],[How many hour do you spent daily on your skill development?]]*10*0.3)</f>
        <v>43</v>
      </c>
    </row>
    <row r="1089" spans="1:34" x14ac:dyDescent="0.25">
      <c r="A1089">
        <v>2020</v>
      </c>
      <c r="B1089" t="s">
        <v>34</v>
      </c>
      <c r="C1089">
        <v>21</v>
      </c>
      <c r="D1089">
        <v>2019</v>
      </c>
      <c r="E1089" t="s">
        <v>35</v>
      </c>
      <c r="F1089">
        <v>9</v>
      </c>
      <c r="G1089" t="s">
        <v>37</v>
      </c>
      <c r="H1089" t="s">
        <v>36</v>
      </c>
      <c r="I1089">
        <v>4</v>
      </c>
      <c r="J1089">
        <v>2</v>
      </c>
      <c r="K1089" t="s">
        <v>44</v>
      </c>
      <c r="L1089" t="s">
        <v>36</v>
      </c>
      <c r="M1089" t="s">
        <v>36</v>
      </c>
      <c r="N1089">
        <v>5</v>
      </c>
      <c r="O1089" t="s">
        <v>53</v>
      </c>
      <c r="P1089">
        <v>100</v>
      </c>
      <c r="Q1089" t="s">
        <v>37</v>
      </c>
      <c r="R1089" t="s">
        <v>37</v>
      </c>
      <c r="S1089" t="s">
        <v>37</v>
      </c>
      <c r="T1089" t="s">
        <v>61</v>
      </c>
      <c r="U1089">
        <v>1</v>
      </c>
      <c r="V1089" t="s">
        <v>40</v>
      </c>
      <c r="W1089" t="s">
        <v>42</v>
      </c>
      <c r="X1089" t="s">
        <v>36</v>
      </c>
      <c r="Y1089" t="s">
        <v>47</v>
      </c>
      <c r="Z1089" t="s">
        <v>37</v>
      </c>
      <c r="AA1089">
        <v>2.56</v>
      </c>
      <c r="AB1089" t="s">
        <v>37</v>
      </c>
      <c r="AC1089">
        <v>3.79</v>
      </c>
      <c r="AD1089">
        <v>132</v>
      </c>
      <c r="AE1089">
        <v>55000</v>
      </c>
      <c r="AF1089" t="str">
        <f>IF(Table1[[#This Row],[What is your current CGPA?]]&gt;=3.5,"High",IF(Table1[[#This Row],[What is your current CGPA?]]&gt;=2.5,"Medium","Low"))</f>
        <v>High</v>
      </c>
      <c r="AG1089" t="str">
        <f>IF(AND(Table1[[#This Row],[Average attendance on class]]&lt;75,Table1[[#This Row],[How many hour do you study daily?]]&lt;1),"At Risk","Normal")</f>
        <v>Normal</v>
      </c>
      <c r="AH1089">
        <f>(Table1[[#This Row],[Average attendance on class]]*0.4)+(Table1[[#This Row],[How many hour do you study daily?]]*10*0.3)+(Table1[[#This Row],[How many hour do you spent daily on your skill development?]]*10*0.3)</f>
        <v>55</v>
      </c>
    </row>
    <row r="1090" spans="1:34" x14ac:dyDescent="0.25">
      <c r="A1090">
        <v>2019</v>
      </c>
      <c r="B1090" t="s">
        <v>34</v>
      </c>
      <c r="C1090">
        <v>23</v>
      </c>
      <c r="D1090">
        <v>2019</v>
      </c>
      <c r="E1090" t="s">
        <v>35</v>
      </c>
      <c r="F1090">
        <v>11</v>
      </c>
      <c r="G1090" t="s">
        <v>37</v>
      </c>
      <c r="H1090" t="s">
        <v>36</v>
      </c>
      <c r="I1090">
        <v>3</v>
      </c>
      <c r="J1090">
        <v>1</v>
      </c>
      <c r="K1090" t="s">
        <v>44</v>
      </c>
      <c r="L1090" t="s">
        <v>36</v>
      </c>
      <c r="M1090" t="s">
        <v>36</v>
      </c>
      <c r="N1090">
        <v>2</v>
      </c>
      <c r="O1090" t="s">
        <v>39</v>
      </c>
      <c r="P1090">
        <v>100</v>
      </c>
      <c r="Q1090" t="s">
        <v>36</v>
      </c>
      <c r="R1090" t="s">
        <v>37</v>
      </c>
      <c r="S1090" t="s">
        <v>37</v>
      </c>
      <c r="T1090" t="s">
        <v>51</v>
      </c>
      <c r="U1090">
        <v>1</v>
      </c>
      <c r="V1090" t="s">
        <v>59</v>
      </c>
      <c r="W1090" t="s">
        <v>56</v>
      </c>
      <c r="X1090" t="s">
        <v>36</v>
      </c>
      <c r="Y1090" t="s">
        <v>47</v>
      </c>
      <c r="Z1090" t="s">
        <v>37</v>
      </c>
      <c r="AA1090">
        <v>1.54</v>
      </c>
      <c r="AB1090" t="s">
        <v>37</v>
      </c>
      <c r="AC1090">
        <v>2.66</v>
      </c>
      <c r="AD1090">
        <v>136</v>
      </c>
      <c r="AE1090">
        <v>55000</v>
      </c>
      <c r="AF1090" t="str">
        <f>IF(Table1[[#This Row],[What is your current CGPA?]]&gt;=3.5,"High",IF(Table1[[#This Row],[What is your current CGPA?]]&gt;=2.5,"Medium","Low"))</f>
        <v>Medium</v>
      </c>
      <c r="AG1090" t="str">
        <f>IF(AND(Table1[[#This Row],[Average attendance on class]]&lt;75,Table1[[#This Row],[How many hour do you study daily?]]&lt;1),"At Risk","Normal")</f>
        <v>Normal</v>
      </c>
      <c r="AH1090">
        <f>(Table1[[#This Row],[Average attendance on class]]*0.4)+(Table1[[#This Row],[How many hour do you study daily?]]*10*0.3)+(Table1[[#This Row],[How many hour do you spent daily on your skill development?]]*10*0.3)</f>
        <v>52</v>
      </c>
    </row>
    <row r="1091" spans="1:34" x14ac:dyDescent="0.25">
      <c r="A1091">
        <v>2020</v>
      </c>
      <c r="B1091" t="s">
        <v>34</v>
      </c>
      <c r="C1091">
        <v>23</v>
      </c>
      <c r="D1091">
        <v>2019</v>
      </c>
      <c r="E1091" t="s">
        <v>35</v>
      </c>
      <c r="F1091">
        <v>11</v>
      </c>
      <c r="G1091" t="s">
        <v>37</v>
      </c>
      <c r="H1091" t="s">
        <v>36</v>
      </c>
      <c r="I1091">
        <v>3</v>
      </c>
      <c r="J1091">
        <v>3</v>
      </c>
      <c r="K1091" t="s">
        <v>38</v>
      </c>
      <c r="L1091" t="s">
        <v>36</v>
      </c>
      <c r="M1091" t="s">
        <v>36</v>
      </c>
      <c r="N1091">
        <v>1</v>
      </c>
      <c r="O1091" t="s">
        <v>39</v>
      </c>
      <c r="P1091">
        <v>100</v>
      </c>
      <c r="Q1091" t="s">
        <v>37</v>
      </c>
      <c r="R1091" t="s">
        <v>37</v>
      </c>
      <c r="S1091" t="s">
        <v>37</v>
      </c>
      <c r="T1091" t="s">
        <v>40</v>
      </c>
      <c r="U1091">
        <v>1</v>
      </c>
      <c r="V1091" t="s">
        <v>40</v>
      </c>
      <c r="W1091" t="s">
        <v>42</v>
      </c>
      <c r="X1091" t="s">
        <v>36</v>
      </c>
      <c r="Y1091" t="s">
        <v>43</v>
      </c>
      <c r="Z1091" t="s">
        <v>37</v>
      </c>
      <c r="AA1091">
        <v>1.56</v>
      </c>
      <c r="AB1091" t="s">
        <v>37</v>
      </c>
      <c r="AC1091">
        <v>2.65</v>
      </c>
      <c r="AD1091">
        <v>143</v>
      </c>
      <c r="AE1091">
        <v>55000</v>
      </c>
      <c r="AF1091" t="str">
        <f>IF(Table1[[#This Row],[What is your current CGPA?]]&gt;=3.5,"High",IF(Table1[[#This Row],[What is your current CGPA?]]&gt;=2.5,"Medium","Low"))</f>
        <v>Medium</v>
      </c>
      <c r="AG1091" t="str">
        <f>IF(AND(Table1[[#This Row],[Average attendance on class]]&lt;75,Table1[[#This Row],[How many hour do you study daily?]]&lt;1),"At Risk","Normal")</f>
        <v>Normal</v>
      </c>
      <c r="AH1091">
        <f>(Table1[[#This Row],[Average attendance on class]]*0.4)+(Table1[[#This Row],[How many hour do you study daily?]]*10*0.3)+(Table1[[#This Row],[How many hour do you spent daily on your skill development?]]*10*0.3)</f>
        <v>52</v>
      </c>
    </row>
    <row r="1092" spans="1:34" x14ac:dyDescent="0.25">
      <c r="A1092">
        <v>2022</v>
      </c>
      <c r="B1092" t="s">
        <v>48</v>
      </c>
      <c r="C1092">
        <v>20</v>
      </c>
      <c r="D1092">
        <v>2020</v>
      </c>
      <c r="E1092" t="s">
        <v>35</v>
      </c>
      <c r="F1092">
        <v>6</v>
      </c>
      <c r="G1092" t="s">
        <v>37</v>
      </c>
      <c r="H1092" t="s">
        <v>36</v>
      </c>
      <c r="I1092">
        <v>3</v>
      </c>
      <c r="J1092">
        <v>2</v>
      </c>
      <c r="K1092" t="s">
        <v>38</v>
      </c>
      <c r="L1092" t="s">
        <v>36</v>
      </c>
      <c r="M1092" t="s">
        <v>36</v>
      </c>
      <c r="N1092">
        <v>3</v>
      </c>
      <c r="O1092" t="s">
        <v>45</v>
      </c>
      <c r="P1092">
        <v>30</v>
      </c>
      <c r="Q1092" t="s">
        <v>37</v>
      </c>
      <c r="R1092" t="s">
        <v>37</v>
      </c>
      <c r="S1092" t="s">
        <v>36</v>
      </c>
      <c r="T1092" t="s">
        <v>51</v>
      </c>
      <c r="U1092">
        <v>1</v>
      </c>
      <c r="V1092" t="s">
        <v>59</v>
      </c>
      <c r="W1092" t="s">
        <v>50</v>
      </c>
      <c r="X1092" t="s">
        <v>36</v>
      </c>
      <c r="Y1092" t="s">
        <v>47</v>
      </c>
      <c r="Z1092" t="s">
        <v>37</v>
      </c>
      <c r="AA1092">
        <v>1.88</v>
      </c>
      <c r="AB1092" t="s">
        <v>37</v>
      </c>
      <c r="AC1092">
        <v>2.98</v>
      </c>
      <c r="AD1092">
        <v>77</v>
      </c>
      <c r="AE1092">
        <v>55000</v>
      </c>
      <c r="AF1092" t="str">
        <f>IF(Table1[[#This Row],[What is your current CGPA?]]&gt;=3.5,"High",IF(Table1[[#This Row],[What is your current CGPA?]]&gt;=2.5,"Medium","Low"))</f>
        <v>Medium</v>
      </c>
      <c r="AG1092" t="str">
        <f>IF(AND(Table1[[#This Row],[Average attendance on class]]&lt;75,Table1[[#This Row],[How many hour do you study daily?]]&lt;1),"At Risk","Normal")</f>
        <v>Normal</v>
      </c>
      <c r="AH1092">
        <f>(Table1[[#This Row],[Average attendance on class]]*0.4)+(Table1[[#This Row],[How many hour do you study daily?]]*10*0.3)+(Table1[[#This Row],[How many hour do you spent daily on your skill development?]]*10*0.3)</f>
        <v>24</v>
      </c>
    </row>
    <row r="1093" spans="1:34" x14ac:dyDescent="0.25">
      <c r="A1093">
        <v>2020</v>
      </c>
      <c r="B1093" t="s">
        <v>34</v>
      </c>
      <c r="C1093">
        <v>22</v>
      </c>
      <c r="D1093">
        <v>2020</v>
      </c>
      <c r="E1093" t="s">
        <v>35</v>
      </c>
      <c r="F1093">
        <v>10</v>
      </c>
      <c r="G1093" t="s">
        <v>37</v>
      </c>
      <c r="H1093" t="s">
        <v>36</v>
      </c>
      <c r="I1093">
        <v>1</v>
      </c>
      <c r="J1093">
        <v>2</v>
      </c>
      <c r="K1093" t="s">
        <v>38</v>
      </c>
      <c r="L1093" t="s">
        <v>36</v>
      </c>
      <c r="M1093" t="s">
        <v>37</v>
      </c>
      <c r="N1093">
        <v>2</v>
      </c>
      <c r="O1093" t="s">
        <v>39</v>
      </c>
      <c r="P1093">
        <v>100</v>
      </c>
      <c r="Q1093" t="s">
        <v>37</v>
      </c>
      <c r="R1093" t="s">
        <v>37</v>
      </c>
      <c r="S1093" t="s">
        <v>37</v>
      </c>
      <c r="T1093" t="s">
        <v>40</v>
      </c>
      <c r="U1093">
        <v>2</v>
      </c>
      <c r="V1093" t="s">
        <v>41</v>
      </c>
      <c r="W1093" t="s">
        <v>42</v>
      </c>
      <c r="X1093" t="s">
        <v>37</v>
      </c>
      <c r="Y1093" t="s">
        <v>43</v>
      </c>
      <c r="Z1093" t="s">
        <v>36</v>
      </c>
      <c r="AA1093">
        <v>2.76</v>
      </c>
      <c r="AB1093" t="s">
        <v>37</v>
      </c>
      <c r="AC1093">
        <v>3.8</v>
      </c>
      <c r="AD1093">
        <v>136</v>
      </c>
      <c r="AE1093">
        <v>55000</v>
      </c>
      <c r="AF1093" t="str">
        <f>IF(Table1[[#This Row],[What is your current CGPA?]]&gt;=3.5,"High",IF(Table1[[#This Row],[What is your current CGPA?]]&gt;=2.5,"Medium","Low"))</f>
        <v>High</v>
      </c>
      <c r="AG1093" t="str">
        <f>IF(AND(Table1[[#This Row],[Average attendance on class]]&lt;75,Table1[[#This Row],[How many hour do you study daily?]]&lt;1),"At Risk","Normal")</f>
        <v>Normal</v>
      </c>
      <c r="AH1093">
        <f>(Table1[[#This Row],[Average attendance on class]]*0.4)+(Table1[[#This Row],[How many hour do you study daily?]]*10*0.3)+(Table1[[#This Row],[How many hour do you spent daily on your skill development?]]*10*0.3)</f>
        <v>49</v>
      </c>
    </row>
    <row r="1094" spans="1:34" x14ac:dyDescent="0.25">
      <c r="A1094">
        <v>2022</v>
      </c>
      <c r="B1094" t="s">
        <v>48</v>
      </c>
      <c r="C1094">
        <v>20</v>
      </c>
      <c r="D1094">
        <v>2021</v>
      </c>
      <c r="E1094" t="s">
        <v>35</v>
      </c>
      <c r="F1094">
        <v>4</v>
      </c>
      <c r="G1094" t="s">
        <v>37</v>
      </c>
      <c r="H1094" t="s">
        <v>36</v>
      </c>
      <c r="I1094">
        <v>3</v>
      </c>
      <c r="J1094">
        <v>2</v>
      </c>
      <c r="K1094" t="s">
        <v>38</v>
      </c>
      <c r="L1094" t="s">
        <v>36</v>
      </c>
      <c r="M1094" t="s">
        <v>36</v>
      </c>
      <c r="N1094">
        <v>2</v>
      </c>
      <c r="O1094" t="s">
        <v>39</v>
      </c>
      <c r="P1094">
        <v>85</v>
      </c>
      <c r="Q1094" t="s">
        <v>37</v>
      </c>
      <c r="R1094" t="s">
        <v>37</v>
      </c>
      <c r="S1094" t="s">
        <v>36</v>
      </c>
      <c r="T1094" t="s">
        <v>40</v>
      </c>
      <c r="U1094">
        <v>2</v>
      </c>
      <c r="V1094" t="s">
        <v>41</v>
      </c>
      <c r="W1094" t="s">
        <v>42</v>
      </c>
      <c r="X1094" t="s">
        <v>36</v>
      </c>
      <c r="Y1094" t="s">
        <v>43</v>
      </c>
      <c r="Z1094" t="s">
        <v>37</v>
      </c>
      <c r="AA1094">
        <v>1.56</v>
      </c>
      <c r="AB1094" t="s">
        <v>37</v>
      </c>
      <c r="AC1094">
        <v>2.97</v>
      </c>
      <c r="AD1094">
        <v>67</v>
      </c>
      <c r="AE1094">
        <v>55000</v>
      </c>
      <c r="AF1094" t="str">
        <f>IF(Table1[[#This Row],[What is your current CGPA?]]&gt;=3.5,"High",IF(Table1[[#This Row],[What is your current CGPA?]]&gt;=2.5,"Medium","Low"))</f>
        <v>Medium</v>
      </c>
      <c r="AG1094" t="str">
        <f>IF(AND(Table1[[#This Row],[Average attendance on class]]&lt;75,Table1[[#This Row],[How many hour do you study daily?]]&lt;1),"At Risk","Normal")</f>
        <v>Normal</v>
      </c>
      <c r="AH1094">
        <f>(Table1[[#This Row],[Average attendance on class]]*0.4)+(Table1[[#This Row],[How many hour do you study daily?]]*10*0.3)+(Table1[[#This Row],[How many hour do you spent daily on your skill development?]]*10*0.3)</f>
        <v>49</v>
      </c>
    </row>
    <row r="1095" spans="1:34" x14ac:dyDescent="0.25">
      <c r="A1095">
        <v>2019</v>
      </c>
      <c r="B1095" t="s">
        <v>48</v>
      </c>
      <c r="C1095">
        <v>21</v>
      </c>
      <c r="D1095">
        <v>2018</v>
      </c>
      <c r="E1095" t="s">
        <v>35</v>
      </c>
      <c r="F1095">
        <v>10</v>
      </c>
      <c r="G1095" t="s">
        <v>37</v>
      </c>
      <c r="H1095" t="s">
        <v>36</v>
      </c>
      <c r="I1095">
        <v>1</v>
      </c>
      <c r="J1095">
        <v>1</v>
      </c>
      <c r="K1095" t="s">
        <v>44</v>
      </c>
      <c r="L1095" t="s">
        <v>36</v>
      </c>
      <c r="M1095" t="s">
        <v>36</v>
      </c>
      <c r="N1095">
        <v>9</v>
      </c>
      <c r="O1095" t="s">
        <v>39</v>
      </c>
      <c r="P1095">
        <v>57</v>
      </c>
      <c r="Q1095" t="s">
        <v>36</v>
      </c>
      <c r="R1095" t="s">
        <v>37</v>
      </c>
      <c r="S1095" t="s">
        <v>37</v>
      </c>
      <c r="T1095" t="s">
        <v>61</v>
      </c>
      <c r="U1095">
        <v>1</v>
      </c>
      <c r="V1095" t="s">
        <v>59</v>
      </c>
      <c r="W1095" t="s">
        <v>50</v>
      </c>
      <c r="X1095" t="s">
        <v>36</v>
      </c>
      <c r="Y1095" t="s">
        <v>43</v>
      </c>
      <c r="Z1095" t="s">
        <v>36</v>
      </c>
      <c r="AA1095">
        <v>1.24</v>
      </c>
      <c r="AB1095" t="s">
        <v>37</v>
      </c>
      <c r="AC1095">
        <v>2.35</v>
      </c>
      <c r="AD1095">
        <v>137</v>
      </c>
      <c r="AE1095">
        <v>56000</v>
      </c>
      <c r="AF1095" t="str">
        <f>IF(Table1[[#This Row],[What is your current CGPA?]]&gt;=3.5,"High",IF(Table1[[#This Row],[What is your current CGPA?]]&gt;=2.5,"Medium","Low"))</f>
        <v>Low</v>
      </c>
      <c r="AG1095" t="str">
        <f>IF(AND(Table1[[#This Row],[Average attendance on class]]&lt;75,Table1[[#This Row],[How many hour do you study daily?]]&lt;1),"At Risk","Normal")</f>
        <v>Normal</v>
      </c>
      <c r="AH1095">
        <f>(Table1[[#This Row],[Average attendance on class]]*0.4)+(Table1[[#This Row],[How many hour do you study daily?]]*10*0.3)+(Table1[[#This Row],[How many hour do you spent daily on your skill development?]]*10*0.3)</f>
        <v>28.8</v>
      </c>
    </row>
    <row r="1096" spans="1:34" x14ac:dyDescent="0.25">
      <c r="A1096">
        <v>2020</v>
      </c>
      <c r="B1096" t="s">
        <v>48</v>
      </c>
      <c r="C1096">
        <v>21</v>
      </c>
      <c r="D1096">
        <v>2019</v>
      </c>
      <c r="E1096" t="s">
        <v>35</v>
      </c>
      <c r="F1096">
        <v>10</v>
      </c>
      <c r="G1096" t="s">
        <v>37</v>
      </c>
      <c r="H1096" t="s">
        <v>36</v>
      </c>
      <c r="I1096">
        <v>5</v>
      </c>
      <c r="J1096">
        <v>2</v>
      </c>
      <c r="K1096" t="s">
        <v>44</v>
      </c>
      <c r="L1096" t="s">
        <v>36</v>
      </c>
      <c r="M1096" t="s">
        <v>36</v>
      </c>
      <c r="N1096">
        <v>4</v>
      </c>
      <c r="O1096" t="s">
        <v>53</v>
      </c>
      <c r="P1096">
        <v>90</v>
      </c>
      <c r="Q1096" t="s">
        <v>37</v>
      </c>
      <c r="R1096" t="s">
        <v>37</v>
      </c>
      <c r="S1096" t="s">
        <v>36</v>
      </c>
      <c r="T1096" t="s">
        <v>52</v>
      </c>
      <c r="U1096">
        <v>2</v>
      </c>
      <c r="V1096" t="s">
        <v>40</v>
      </c>
      <c r="W1096" t="s">
        <v>42</v>
      </c>
      <c r="X1096" t="s">
        <v>36</v>
      </c>
      <c r="Y1096" t="s">
        <v>47</v>
      </c>
      <c r="Z1096" t="s">
        <v>37</v>
      </c>
      <c r="AA1096">
        <v>1.95</v>
      </c>
      <c r="AB1096" t="s">
        <v>37</v>
      </c>
      <c r="AC1096">
        <v>2.92</v>
      </c>
      <c r="AD1096">
        <v>139</v>
      </c>
      <c r="AE1096">
        <v>58000</v>
      </c>
      <c r="AF1096" t="str">
        <f>IF(Table1[[#This Row],[What is your current CGPA?]]&gt;=3.5,"High",IF(Table1[[#This Row],[What is your current CGPA?]]&gt;=2.5,"Medium","Low"))</f>
        <v>Medium</v>
      </c>
      <c r="AG1096" t="str">
        <f>IF(AND(Table1[[#This Row],[Average attendance on class]]&lt;75,Table1[[#This Row],[How many hour do you study daily?]]&lt;1),"At Risk","Normal")</f>
        <v>Normal</v>
      </c>
      <c r="AH1096">
        <f>(Table1[[#This Row],[Average attendance on class]]*0.4)+(Table1[[#This Row],[How many hour do you study daily?]]*10*0.3)+(Table1[[#This Row],[How many hour do you spent daily on your skill development?]]*10*0.3)</f>
        <v>57</v>
      </c>
    </row>
    <row r="1097" spans="1:34" x14ac:dyDescent="0.25">
      <c r="A1097">
        <v>2021</v>
      </c>
      <c r="B1097" t="s">
        <v>48</v>
      </c>
      <c r="C1097">
        <v>21</v>
      </c>
      <c r="D1097">
        <v>2021</v>
      </c>
      <c r="E1097" t="s">
        <v>35</v>
      </c>
      <c r="F1097">
        <v>9</v>
      </c>
      <c r="G1097" t="s">
        <v>37</v>
      </c>
      <c r="H1097" t="s">
        <v>36</v>
      </c>
      <c r="I1097">
        <v>1</v>
      </c>
      <c r="J1097">
        <v>1</v>
      </c>
      <c r="K1097" t="s">
        <v>38</v>
      </c>
      <c r="L1097" t="s">
        <v>36</v>
      </c>
      <c r="M1097" t="s">
        <v>36</v>
      </c>
      <c r="N1097">
        <v>2</v>
      </c>
      <c r="O1097" t="s">
        <v>53</v>
      </c>
      <c r="P1097">
        <v>50</v>
      </c>
      <c r="Q1097" t="s">
        <v>36</v>
      </c>
      <c r="R1097" t="s">
        <v>37</v>
      </c>
      <c r="S1097" t="s">
        <v>37</v>
      </c>
      <c r="T1097" t="s">
        <v>61</v>
      </c>
      <c r="U1097">
        <v>2</v>
      </c>
      <c r="V1097" t="s">
        <v>41</v>
      </c>
      <c r="W1097" t="s">
        <v>56</v>
      </c>
      <c r="X1097" t="s">
        <v>36</v>
      </c>
      <c r="Y1097" t="s">
        <v>47</v>
      </c>
      <c r="Z1097" t="s">
        <v>36</v>
      </c>
      <c r="AA1097">
        <v>1.65</v>
      </c>
      <c r="AB1097" t="s">
        <v>37</v>
      </c>
      <c r="AC1097">
        <v>2.7</v>
      </c>
      <c r="AD1097">
        <v>139</v>
      </c>
      <c r="AE1097">
        <v>59000</v>
      </c>
      <c r="AF1097" t="str">
        <f>IF(Table1[[#This Row],[What is your current CGPA?]]&gt;=3.5,"High",IF(Table1[[#This Row],[What is your current CGPA?]]&gt;=2.5,"Medium","Low"))</f>
        <v>Medium</v>
      </c>
      <c r="AG1097" t="str">
        <f>IF(AND(Table1[[#This Row],[Average attendance on class]]&lt;75,Table1[[#This Row],[How many hour do you study daily?]]&lt;1),"At Risk","Normal")</f>
        <v>Normal</v>
      </c>
      <c r="AH1097">
        <f>(Table1[[#This Row],[Average attendance on class]]*0.4)+(Table1[[#This Row],[How many hour do you study daily?]]*10*0.3)+(Table1[[#This Row],[How many hour do you spent daily on your skill development?]]*10*0.3)</f>
        <v>29</v>
      </c>
    </row>
    <row r="1098" spans="1:34" x14ac:dyDescent="0.25">
      <c r="A1098">
        <v>2018</v>
      </c>
      <c r="B1098" t="s">
        <v>48</v>
      </c>
      <c r="C1098">
        <v>24</v>
      </c>
      <c r="D1098">
        <v>2016</v>
      </c>
      <c r="E1098" t="s">
        <v>35</v>
      </c>
      <c r="F1098">
        <v>8</v>
      </c>
      <c r="G1098" t="s">
        <v>37</v>
      </c>
      <c r="H1098" t="s">
        <v>36</v>
      </c>
      <c r="I1098">
        <v>3</v>
      </c>
      <c r="J1098">
        <v>2</v>
      </c>
      <c r="K1098" t="s">
        <v>44</v>
      </c>
      <c r="L1098" t="s">
        <v>36</v>
      </c>
      <c r="M1098" t="s">
        <v>36</v>
      </c>
      <c r="N1098">
        <v>8</v>
      </c>
      <c r="O1098" t="s">
        <v>39</v>
      </c>
      <c r="P1098">
        <v>89</v>
      </c>
      <c r="Q1098" t="s">
        <v>36</v>
      </c>
      <c r="R1098" t="s">
        <v>37</v>
      </c>
      <c r="S1098" t="s">
        <v>37</v>
      </c>
      <c r="T1098" t="s">
        <v>51</v>
      </c>
      <c r="U1098">
        <v>1</v>
      </c>
      <c r="V1098" t="s">
        <v>41</v>
      </c>
      <c r="W1098" t="s">
        <v>56</v>
      </c>
      <c r="X1098" t="s">
        <v>37</v>
      </c>
      <c r="Y1098" t="s">
        <v>47</v>
      </c>
      <c r="Z1098" t="s">
        <v>37</v>
      </c>
      <c r="AA1098">
        <v>1.1100000000000001</v>
      </c>
      <c r="AB1098" t="s">
        <v>37</v>
      </c>
      <c r="AC1098">
        <v>2.35</v>
      </c>
      <c r="AD1098">
        <v>95</v>
      </c>
      <c r="AE1098">
        <v>60000</v>
      </c>
      <c r="AF1098" t="str">
        <f>IF(Table1[[#This Row],[What is your current CGPA?]]&gt;=3.5,"High",IF(Table1[[#This Row],[What is your current CGPA?]]&gt;=2.5,"Medium","Low"))</f>
        <v>Low</v>
      </c>
      <c r="AG1098" t="str">
        <f>IF(AND(Table1[[#This Row],[Average attendance on class]]&lt;75,Table1[[#This Row],[How many hour do you study daily?]]&lt;1),"At Risk","Normal")</f>
        <v>Normal</v>
      </c>
      <c r="AH1098">
        <f>(Table1[[#This Row],[Average attendance on class]]*0.4)+(Table1[[#This Row],[How many hour do you study daily?]]*10*0.3)+(Table1[[#This Row],[How many hour do you spent daily on your skill development?]]*10*0.3)</f>
        <v>47.6</v>
      </c>
    </row>
    <row r="1099" spans="1:34" x14ac:dyDescent="0.25">
      <c r="A1099">
        <v>2020</v>
      </c>
      <c r="B1099" t="s">
        <v>48</v>
      </c>
      <c r="C1099">
        <v>24</v>
      </c>
      <c r="D1099">
        <v>2018</v>
      </c>
      <c r="E1099" t="s">
        <v>35</v>
      </c>
      <c r="F1099">
        <v>9</v>
      </c>
      <c r="G1099" t="s">
        <v>37</v>
      </c>
      <c r="H1099" t="s">
        <v>36</v>
      </c>
      <c r="I1099">
        <v>1</v>
      </c>
      <c r="J1099">
        <v>2</v>
      </c>
      <c r="K1099" t="s">
        <v>38</v>
      </c>
      <c r="L1099" t="s">
        <v>36</v>
      </c>
      <c r="M1099" t="s">
        <v>36</v>
      </c>
      <c r="N1099">
        <v>8</v>
      </c>
      <c r="O1099" t="s">
        <v>39</v>
      </c>
      <c r="P1099">
        <v>70</v>
      </c>
      <c r="Q1099" t="s">
        <v>37</v>
      </c>
      <c r="R1099" t="s">
        <v>37</v>
      </c>
      <c r="S1099" t="s">
        <v>37</v>
      </c>
      <c r="T1099" t="s">
        <v>51</v>
      </c>
      <c r="U1099">
        <v>2</v>
      </c>
      <c r="V1099" t="s">
        <v>59</v>
      </c>
      <c r="W1099" t="s">
        <v>42</v>
      </c>
      <c r="X1099" t="s">
        <v>37</v>
      </c>
      <c r="Y1099" t="s">
        <v>43</v>
      </c>
      <c r="Z1099" t="s">
        <v>37</v>
      </c>
      <c r="AA1099">
        <v>1.71</v>
      </c>
      <c r="AB1099" t="s">
        <v>37</v>
      </c>
      <c r="AC1099">
        <v>2.82</v>
      </c>
      <c r="AD1099">
        <v>118</v>
      </c>
      <c r="AE1099">
        <v>60000</v>
      </c>
      <c r="AF1099" t="str">
        <f>IF(Table1[[#This Row],[What is your current CGPA?]]&gt;=3.5,"High",IF(Table1[[#This Row],[What is your current CGPA?]]&gt;=2.5,"Medium","Low"))</f>
        <v>Medium</v>
      </c>
      <c r="AG1099" t="str">
        <f>IF(AND(Table1[[#This Row],[Average attendance on class]]&lt;75,Table1[[#This Row],[How many hour do you study daily?]]&lt;1),"At Risk","Normal")</f>
        <v>Normal</v>
      </c>
      <c r="AH1099">
        <f>(Table1[[#This Row],[Average attendance on class]]*0.4)+(Table1[[#This Row],[How many hour do you study daily?]]*10*0.3)+(Table1[[#This Row],[How many hour do you spent daily on your skill development?]]*10*0.3)</f>
        <v>37</v>
      </c>
    </row>
    <row r="1100" spans="1:34" x14ac:dyDescent="0.25">
      <c r="A1100">
        <v>2020</v>
      </c>
      <c r="B1100" t="s">
        <v>34</v>
      </c>
      <c r="C1100">
        <v>23</v>
      </c>
      <c r="D1100">
        <v>2019</v>
      </c>
      <c r="E1100" t="s">
        <v>35</v>
      </c>
      <c r="F1100">
        <v>11</v>
      </c>
      <c r="G1100" t="s">
        <v>36</v>
      </c>
      <c r="H1100" t="s">
        <v>36</v>
      </c>
      <c r="I1100">
        <v>4</v>
      </c>
      <c r="J1100">
        <v>2</v>
      </c>
      <c r="K1100" t="s">
        <v>44</v>
      </c>
      <c r="L1100" t="s">
        <v>36</v>
      </c>
      <c r="M1100" t="s">
        <v>36</v>
      </c>
      <c r="N1100">
        <v>5</v>
      </c>
      <c r="O1100" t="s">
        <v>39</v>
      </c>
      <c r="P1100">
        <v>95</v>
      </c>
      <c r="Q1100" t="s">
        <v>36</v>
      </c>
      <c r="R1100" t="s">
        <v>37</v>
      </c>
      <c r="S1100" t="s">
        <v>36</v>
      </c>
      <c r="T1100" t="s">
        <v>51</v>
      </c>
      <c r="U1100">
        <v>5</v>
      </c>
      <c r="V1100" t="s">
        <v>41</v>
      </c>
      <c r="W1100" t="s">
        <v>50</v>
      </c>
      <c r="X1100" t="s">
        <v>36</v>
      </c>
      <c r="Y1100" t="s">
        <v>43</v>
      </c>
      <c r="Z1100" t="s">
        <v>37</v>
      </c>
      <c r="AA1100">
        <v>1.33</v>
      </c>
      <c r="AB1100" t="s">
        <v>37</v>
      </c>
      <c r="AC1100">
        <v>2.99</v>
      </c>
      <c r="AD1100">
        <v>104</v>
      </c>
      <c r="AE1100">
        <v>60000</v>
      </c>
      <c r="AF1100" t="str">
        <f>IF(Table1[[#This Row],[What is your current CGPA?]]&gt;=3.5,"High",IF(Table1[[#This Row],[What is your current CGPA?]]&gt;=2.5,"Medium","Low"))</f>
        <v>Medium</v>
      </c>
      <c r="AG1100" t="str">
        <f>IF(AND(Table1[[#This Row],[Average attendance on class]]&lt;75,Table1[[#This Row],[How many hour do you study daily?]]&lt;1),"At Risk","Normal")</f>
        <v>Normal</v>
      </c>
      <c r="AH1100">
        <f>(Table1[[#This Row],[Average attendance on class]]*0.4)+(Table1[[#This Row],[How many hour do you study daily?]]*10*0.3)+(Table1[[#This Row],[How many hour do you spent daily on your skill development?]]*10*0.3)</f>
        <v>65</v>
      </c>
    </row>
    <row r="1101" spans="1:34" x14ac:dyDescent="0.25">
      <c r="A1101">
        <v>2021</v>
      </c>
      <c r="B1101" t="s">
        <v>48</v>
      </c>
      <c r="C1101">
        <v>20</v>
      </c>
      <c r="D1101">
        <v>2020</v>
      </c>
      <c r="E1101" t="s">
        <v>35</v>
      </c>
      <c r="F1101">
        <v>9</v>
      </c>
      <c r="G1101" t="s">
        <v>37</v>
      </c>
      <c r="H1101" t="s">
        <v>36</v>
      </c>
      <c r="I1101">
        <v>2</v>
      </c>
      <c r="J1101">
        <v>1</v>
      </c>
      <c r="K1101" t="s">
        <v>38</v>
      </c>
      <c r="L1101" t="s">
        <v>36</v>
      </c>
      <c r="M1101" t="s">
        <v>37</v>
      </c>
      <c r="N1101">
        <v>3</v>
      </c>
      <c r="O1101" t="s">
        <v>39</v>
      </c>
      <c r="P1101">
        <v>100</v>
      </c>
      <c r="Q1101" t="s">
        <v>36</v>
      </c>
      <c r="R1101" t="s">
        <v>37</v>
      </c>
      <c r="S1101" t="s">
        <v>36</v>
      </c>
      <c r="T1101" t="s">
        <v>49</v>
      </c>
      <c r="U1101">
        <v>2</v>
      </c>
      <c r="V1101" t="s">
        <v>41</v>
      </c>
      <c r="W1101" t="s">
        <v>50</v>
      </c>
      <c r="X1101" t="s">
        <v>36</v>
      </c>
      <c r="Y1101" t="s">
        <v>43</v>
      </c>
      <c r="Z1101" t="s">
        <v>37</v>
      </c>
      <c r="AA1101">
        <v>2.56</v>
      </c>
      <c r="AB1101" t="s">
        <v>37</v>
      </c>
      <c r="AC1101">
        <v>3.63</v>
      </c>
      <c r="AD1101">
        <v>106</v>
      </c>
      <c r="AE1101">
        <v>60000</v>
      </c>
      <c r="AF1101" t="str">
        <f>IF(Table1[[#This Row],[What is your current CGPA?]]&gt;=3.5,"High",IF(Table1[[#This Row],[What is your current CGPA?]]&gt;=2.5,"Medium","Low"))</f>
        <v>High</v>
      </c>
      <c r="AG1101" t="str">
        <f>IF(AND(Table1[[#This Row],[Average attendance on class]]&lt;75,Table1[[#This Row],[How many hour do you study daily?]]&lt;1),"At Risk","Normal")</f>
        <v>Normal</v>
      </c>
      <c r="AH1101">
        <f>(Table1[[#This Row],[Average attendance on class]]*0.4)+(Table1[[#This Row],[How many hour do you study daily?]]*10*0.3)+(Table1[[#This Row],[How many hour do you spent daily on your skill development?]]*10*0.3)</f>
        <v>52</v>
      </c>
    </row>
    <row r="1102" spans="1:34" x14ac:dyDescent="0.25">
      <c r="A1102">
        <v>2022</v>
      </c>
      <c r="B1102" t="s">
        <v>34</v>
      </c>
      <c r="C1102">
        <v>22</v>
      </c>
      <c r="D1102">
        <v>2022</v>
      </c>
      <c r="E1102" t="s">
        <v>35</v>
      </c>
      <c r="F1102">
        <v>3</v>
      </c>
      <c r="G1102" t="s">
        <v>36</v>
      </c>
      <c r="H1102" t="s">
        <v>36</v>
      </c>
      <c r="I1102">
        <v>4</v>
      </c>
      <c r="J1102">
        <v>2</v>
      </c>
      <c r="K1102" t="s">
        <v>38</v>
      </c>
      <c r="L1102" t="s">
        <v>36</v>
      </c>
      <c r="M1102" t="s">
        <v>36</v>
      </c>
      <c r="N1102">
        <v>3</v>
      </c>
      <c r="O1102" t="s">
        <v>39</v>
      </c>
      <c r="P1102">
        <v>100</v>
      </c>
      <c r="Q1102" t="s">
        <v>37</v>
      </c>
      <c r="R1102" t="s">
        <v>37</v>
      </c>
      <c r="S1102" t="s">
        <v>37</v>
      </c>
      <c r="T1102" t="s">
        <v>40</v>
      </c>
      <c r="U1102">
        <v>2</v>
      </c>
      <c r="V1102" t="s">
        <v>62</v>
      </c>
      <c r="W1102" t="s">
        <v>42</v>
      </c>
      <c r="X1102" t="s">
        <v>37</v>
      </c>
      <c r="Y1102" t="s">
        <v>43</v>
      </c>
      <c r="Z1102" t="s">
        <v>37</v>
      </c>
      <c r="AA1102">
        <v>2.81</v>
      </c>
      <c r="AB1102" t="s">
        <v>37</v>
      </c>
      <c r="AC1102">
        <v>3.97</v>
      </c>
      <c r="AD1102">
        <v>51</v>
      </c>
      <c r="AE1102">
        <v>60000</v>
      </c>
      <c r="AF1102" t="str">
        <f>IF(Table1[[#This Row],[What is your current CGPA?]]&gt;=3.5,"High",IF(Table1[[#This Row],[What is your current CGPA?]]&gt;=2.5,"Medium","Low"))</f>
        <v>High</v>
      </c>
      <c r="AG1102" t="str">
        <f>IF(AND(Table1[[#This Row],[Average attendance on class]]&lt;75,Table1[[#This Row],[How many hour do you study daily?]]&lt;1),"At Risk","Normal")</f>
        <v>Normal</v>
      </c>
      <c r="AH1102">
        <f>(Table1[[#This Row],[Average attendance on class]]*0.4)+(Table1[[#This Row],[How many hour do you study daily?]]*10*0.3)+(Table1[[#This Row],[How many hour do you spent daily on your skill development?]]*10*0.3)</f>
        <v>58</v>
      </c>
    </row>
    <row r="1103" spans="1:34" x14ac:dyDescent="0.25">
      <c r="A1103">
        <v>2020</v>
      </c>
      <c r="B1103" t="s">
        <v>48</v>
      </c>
      <c r="C1103">
        <v>21</v>
      </c>
      <c r="D1103">
        <v>2020</v>
      </c>
      <c r="E1103" t="s">
        <v>35</v>
      </c>
      <c r="F1103">
        <v>10</v>
      </c>
      <c r="G1103" t="s">
        <v>36</v>
      </c>
      <c r="H1103" t="s">
        <v>36</v>
      </c>
      <c r="I1103">
        <v>2</v>
      </c>
      <c r="J1103">
        <v>1</v>
      </c>
      <c r="K1103" t="s">
        <v>38</v>
      </c>
      <c r="L1103" t="s">
        <v>36</v>
      </c>
      <c r="M1103" t="s">
        <v>36</v>
      </c>
      <c r="N1103">
        <v>1</v>
      </c>
      <c r="O1103" t="s">
        <v>53</v>
      </c>
      <c r="P1103">
        <v>100</v>
      </c>
      <c r="Q1103" t="s">
        <v>37</v>
      </c>
      <c r="R1103" t="s">
        <v>37</v>
      </c>
      <c r="S1103" t="s">
        <v>37</v>
      </c>
      <c r="T1103" t="s">
        <v>49</v>
      </c>
      <c r="U1103">
        <v>1</v>
      </c>
      <c r="V1103" t="s">
        <v>40</v>
      </c>
      <c r="W1103" t="s">
        <v>50</v>
      </c>
      <c r="X1103" t="s">
        <v>37</v>
      </c>
      <c r="Y1103" t="s">
        <v>43</v>
      </c>
      <c r="Z1103" t="s">
        <v>37</v>
      </c>
      <c r="AA1103">
        <v>2.73</v>
      </c>
      <c r="AB1103" t="s">
        <v>37</v>
      </c>
      <c r="AC1103">
        <v>3.81</v>
      </c>
      <c r="AD1103">
        <v>135</v>
      </c>
      <c r="AE1103">
        <v>61000</v>
      </c>
      <c r="AF1103" t="str">
        <f>IF(Table1[[#This Row],[What is your current CGPA?]]&gt;=3.5,"High",IF(Table1[[#This Row],[What is your current CGPA?]]&gt;=2.5,"Medium","Low"))</f>
        <v>High</v>
      </c>
      <c r="AG1103" t="str">
        <f>IF(AND(Table1[[#This Row],[Average attendance on class]]&lt;75,Table1[[#This Row],[How many hour do you study daily?]]&lt;1),"At Risk","Normal")</f>
        <v>Normal</v>
      </c>
      <c r="AH1103">
        <f>(Table1[[#This Row],[Average attendance on class]]*0.4)+(Table1[[#This Row],[How many hour do you study daily?]]*10*0.3)+(Table1[[#This Row],[How many hour do you spent daily on your skill development?]]*10*0.3)</f>
        <v>49</v>
      </c>
    </row>
    <row r="1104" spans="1:34" x14ac:dyDescent="0.25">
      <c r="A1104">
        <v>2021</v>
      </c>
      <c r="B1104" t="s">
        <v>48</v>
      </c>
      <c r="C1104">
        <v>19</v>
      </c>
      <c r="D1104">
        <v>2021</v>
      </c>
      <c r="E1104" t="s">
        <v>35</v>
      </c>
      <c r="F1104">
        <v>6</v>
      </c>
      <c r="G1104" t="s">
        <v>37</v>
      </c>
      <c r="H1104" t="s">
        <v>36</v>
      </c>
      <c r="I1104">
        <v>7</v>
      </c>
      <c r="J1104">
        <v>3</v>
      </c>
      <c r="K1104" t="s">
        <v>38</v>
      </c>
      <c r="L1104" t="s">
        <v>36</v>
      </c>
      <c r="M1104" t="s">
        <v>36</v>
      </c>
      <c r="N1104">
        <v>3</v>
      </c>
      <c r="O1104" t="s">
        <v>39</v>
      </c>
      <c r="P1104">
        <v>89</v>
      </c>
      <c r="Q1104" t="s">
        <v>37</v>
      </c>
      <c r="R1104" t="s">
        <v>37</v>
      </c>
      <c r="S1104" t="s">
        <v>37</v>
      </c>
      <c r="T1104" t="s">
        <v>40</v>
      </c>
      <c r="U1104">
        <v>1</v>
      </c>
      <c r="V1104" t="s">
        <v>62</v>
      </c>
      <c r="W1104" t="s">
        <v>50</v>
      </c>
      <c r="X1104" t="s">
        <v>37</v>
      </c>
      <c r="Y1104" t="s">
        <v>47</v>
      </c>
      <c r="Z1104" t="s">
        <v>37</v>
      </c>
      <c r="AA1104">
        <v>1.88</v>
      </c>
      <c r="AB1104" t="s">
        <v>37</v>
      </c>
      <c r="AC1104">
        <v>2.9</v>
      </c>
      <c r="AD1104">
        <v>132</v>
      </c>
      <c r="AE1104">
        <v>64000</v>
      </c>
      <c r="AF1104" t="str">
        <f>IF(Table1[[#This Row],[What is your current CGPA?]]&gt;=3.5,"High",IF(Table1[[#This Row],[What is your current CGPA?]]&gt;=2.5,"Medium","Low"))</f>
        <v>Medium</v>
      </c>
      <c r="AG1104" t="str">
        <f>IF(AND(Table1[[#This Row],[Average attendance on class]]&lt;75,Table1[[#This Row],[How many hour do you study daily?]]&lt;1),"At Risk","Normal")</f>
        <v>Normal</v>
      </c>
      <c r="AH1104">
        <f>(Table1[[#This Row],[Average attendance on class]]*0.4)+(Table1[[#This Row],[How many hour do you study daily?]]*10*0.3)+(Table1[[#This Row],[How many hour do you spent daily on your skill development?]]*10*0.3)</f>
        <v>59.6</v>
      </c>
    </row>
    <row r="1105" spans="1:34" x14ac:dyDescent="0.25">
      <c r="A1105">
        <v>2022</v>
      </c>
      <c r="B1105" t="s">
        <v>34</v>
      </c>
      <c r="C1105">
        <v>23</v>
      </c>
      <c r="D1105">
        <v>2020</v>
      </c>
      <c r="E1105" t="s">
        <v>35</v>
      </c>
      <c r="F1105">
        <v>5</v>
      </c>
      <c r="G1105" t="s">
        <v>36</v>
      </c>
      <c r="H1105" t="s">
        <v>36</v>
      </c>
      <c r="I1105">
        <v>2</v>
      </c>
      <c r="J1105">
        <v>3</v>
      </c>
      <c r="K1105" t="s">
        <v>44</v>
      </c>
      <c r="L1105" t="s">
        <v>36</v>
      </c>
      <c r="M1105" t="s">
        <v>36</v>
      </c>
      <c r="N1105">
        <v>3</v>
      </c>
      <c r="O1105" t="s">
        <v>45</v>
      </c>
      <c r="P1105">
        <v>90</v>
      </c>
      <c r="Q1105" t="s">
        <v>37</v>
      </c>
      <c r="R1105" t="s">
        <v>37</v>
      </c>
      <c r="S1105" t="s">
        <v>37</v>
      </c>
      <c r="T1105" t="s">
        <v>51</v>
      </c>
      <c r="U1105">
        <v>3</v>
      </c>
      <c r="V1105" t="s">
        <v>59</v>
      </c>
      <c r="W1105" t="s">
        <v>42</v>
      </c>
      <c r="X1105" t="s">
        <v>36</v>
      </c>
      <c r="Y1105" t="s">
        <v>47</v>
      </c>
      <c r="Z1105" t="s">
        <v>37</v>
      </c>
      <c r="AA1105">
        <v>2.33</v>
      </c>
      <c r="AB1105" t="s">
        <v>37</v>
      </c>
      <c r="AC1105">
        <v>3.68</v>
      </c>
      <c r="AD1105">
        <v>43</v>
      </c>
      <c r="AE1105">
        <v>65000</v>
      </c>
      <c r="AF1105" t="str">
        <f>IF(Table1[[#This Row],[What is your current CGPA?]]&gt;=3.5,"High",IF(Table1[[#This Row],[What is your current CGPA?]]&gt;=2.5,"Medium","Low"))</f>
        <v>High</v>
      </c>
      <c r="AG1105" t="str">
        <f>IF(AND(Table1[[#This Row],[Average attendance on class]]&lt;75,Table1[[#This Row],[How many hour do you study daily?]]&lt;1),"At Risk","Normal")</f>
        <v>Normal</v>
      </c>
      <c r="AH1105">
        <f>(Table1[[#This Row],[Average attendance on class]]*0.4)+(Table1[[#This Row],[How many hour do you study daily?]]*10*0.3)+(Table1[[#This Row],[How many hour do you spent daily on your skill development?]]*10*0.3)</f>
        <v>51</v>
      </c>
    </row>
    <row r="1106" spans="1:34" x14ac:dyDescent="0.25">
      <c r="A1106">
        <v>2019</v>
      </c>
      <c r="B1106" t="s">
        <v>34</v>
      </c>
      <c r="C1106">
        <v>24</v>
      </c>
      <c r="D1106">
        <v>2018</v>
      </c>
      <c r="E1106" t="s">
        <v>35</v>
      </c>
      <c r="F1106">
        <v>11</v>
      </c>
      <c r="G1106" t="s">
        <v>37</v>
      </c>
      <c r="H1106" t="s">
        <v>36</v>
      </c>
      <c r="I1106">
        <v>3</v>
      </c>
      <c r="J1106">
        <v>2</v>
      </c>
      <c r="K1106" t="s">
        <v>44</v>
      </c>
      <c r="L1106" t="s">
        <v>36</v>
      </c>
      <c r="M1106" t="s">
        <v>36</v>
      </c>
      <c r="N1106">
        <v>5</v>
      </c>
      <c r="O1106" t="s">
        <v>39</v>
      </c>
      <c r="P1106">
        <v>100</v>
      </c>
      <c r="Q1106" t="s">
        <v>37</v>
      </c>
      <c r="R1106" t="s">
        <v>37</v>
      </c>
      <c r="S1106" t="s">
        <v>36</v>
      </c>
      <c r="T1106" t="s">
        <v>40</v>
      </c>
      <c r="U1106">
        <v>2</v>
      </c>
      <c r="V1106" t="s">
        <v>40</v>
      </c>
      <c r="W1106" t="s">
        <v>42</v>
      </c>
      <c r="X1106" t="s">
        <v>37</v>
      </c>
      <c r="Y1106" t="s">
        <v>43</v>
      </c>
      <c r="Z1106" t="s">
        <v>36</v>
      </c>
      <c r="AA1106">
        <v>2.2200000000000002</v>
      </c>
      <c r="AB1106" t="s">
        <v>37</v>
      </c>
      <c r="AC1106">
        <v>3.45</v>
      </c>
      <c r="AD1106">
        <v>132</v>
      </c>
      <c r="AE1106">
        <v>66000</v>
      </c>
      <c r="AF1106" t="str">
        <f>IF(Table1[[#This Row],[What is your current CGPA?]]&gt;=3.5,"High",IF(Table1[[#This Row],[What is your current CGPA?]]&gt;=2.5,"Medium","Low"))</f>
        <v>Medium</v>
      </c>
      <c r="AG1106" t="str">
        <f>IF(AND(Table1[[#This Row],[Average attendance on class]]&lt;75,Table1[[#This Row],[How many hour do you study daily?]]&lt;1),"At Risk","Normal")</f>
        <v>Normal</v>
      </c>
      <c r="AH1106">
        <f>(Table1[[#This Row],[Average attendance on class]]*0.4)+(Table1[[#This Row],[How many hour do you study daily?]]*10*0.3)+(Table1[[#This Row],[How many hour do you spent daily on your skill development?]]*10*0.3)</f>
        <v>55</v>
      </c>
    </row>
    <row r="1107" spans="1:34" x14ac:dyDescent="0.25">
      <c r="A1107">
        <v>2021</v>
      </c>
      <c r="B1107" t="s">
        <v>34</v>
      </c>
      <c r="C1107">
        <v>20</v>
      </c>
      <c r="D1107">
        <v>2020</v>
      </c>
      <c r="E1107" t="s">
        <v>35</v>
      </c>
      <c r="F1107">
        <v>9</v>
      </c>
      <c r="G1107" t="s">
        <v>37</v>
      </c>
      <c r="H1107" t="s">
        <v>36</v>
      </c>
      <c r="I1107">
        <v>2</v>
      </c>
      <c r="J1107">
        <v>1</v>
      </c>
      <c r="K1107" t="s">
        <v>38</v>
      </c>
      <c r="L1107" t="s">
        <v>36</v>
      </c>
      <c r="M1107" t="s">
        <v>36</v>
      </c>
      <c r="N1107">
        <v>3</v>
      </c>
      <c r="O1107" t="s">
        <v>53</v>
      </c>
      <c r="P1107">
        <v>45</v>
      </c>
      <c r="Q1107" t="s">
        <v>37</v>
      </c>
      <c r="R1107" t="s">
        <v>37</v>
      </c>
      <c r="S1107" t="s">
        <v>37</v>
      </c>
      <c r="T1107" t="s">
        <v>51</v>
      </c>
      <c r="U1107">
        <v>2</v>
      </c>
      <c r="V1107" t="s">
        <v>59</v>
      </c>
      <c r="W1107" t="s">
        <v>42</v>
      </c>
      <c r="X1107" t="s">
        <v>37</v>
      </c>
      <c r="Y1107" t="s">
        <v>43</v>
      </c>
      <c r="Z1107" t="s">
        <v>37</v>
      </c>
      <c r="AA1107">
        <v>1.45</v>
      </c>
      <c r="AB1107" t="s">
        <v>37</v>
      </c>
      <c r="AC1107">
        <v>2.5299999999999998</v>
      </c>
      <c r="AD1107">
        <v>117</v>
      </c>
      <c r="AE1107">
        <v>66000</v>
      </c>
      <c r="AF1107" t="str">
        <f>IF(Table1[[#This Row],[What is your current CGPA?]]&gt;=3.5,"High",IF(Table1[[#This Row],[What is your current CGPA?]]&gt;=2.5,"Medium","Low"))</f>
        <v>Medium</v>
      </c>
      <c r="AG1107" t="str">
        <f>IF(AND(Table1[[#This Row],[Average attendance on class]]&lt;75,Table1[[#This Row],[How many hour do you study daily?]]&lt;1),"At Risk","Normal")</f>
        <v>Normal</v>
      </c>
      <c r="AH1107">
        <f>(Table1[[#This Row],[Average attendance on class]]*0.4)+(Table1[[#This Row],[How many hour do you study daily?]]*10*0.3)+(Table1[[#This Row],[How many hour do you spent daily on your skill development?]]*10*0.3)</f>
        <v>30</v>
      </c>
    </row>
    <row r="1108" spans="1:34" x14ac:dyDescent="0.25">
      <c r="A1108">
        <v>2022</v>
      </c>
      <c r="B1108" t="s">
        <v>48</v>
      </c>
      <c r="C1108">
        <v>20</v>
      </c>
      <c r="D1108">
        <v>2021</v>
      </c>
      <c r="E1108" t="s">
        <v>35</v>
      </c>
      <c r="F1108">
        <v>5</v>
      </c>
      <c r="G1108" t="s">
        <v>37</v>
      </c>
      <c r="H1108" t="s">
        <v>36</v>
      </c>
      <c r="I1108">
        <v>4</v>
      </c>
      <c r="J1108">
        <v>2</v>
      </c>
      <c r="K1108" t="s">
        <v>44</v>
      </c>
      <c r="L1108" t="s">
        <v>36</v>
      </c>
      <c r="M1108" t="s">
        <v>36</v>
      </c>
      <c r="N1108">
        <v>3</v>
      </c>
      <c r="O1108" t="s">
        <v>39</v>
      </c>
      <c r="P1108">
        <v>100</v>
      </c>
      <c r="Q1108" t="s">
        <v>37</v>
      </c>
      <c r="R1108" t="s">
        <v>37</v>
      </c>
      <c r="S1108" t="s">
        <v>37</v>
      </c>
      <c r="T1108" t="s">
        <v>40</v>
      </c>
      <c r="U1108">
        <v>1</v>
      </c>
      <c r="V1108" t="s">
        <v>40</v>
      </c>
      <c r="W1108" t="s">
        <v>42</v>
      </c>
      <c r="X1108" t="s">
        <v>36</v>
      </c>
      <c r="Y1108" t="s">
        <v>43</v>
      </c>
      <c r="Z1108" t="s">
        <v>36</v>
      </c>
      <c r="AA1108">
        <v>1.76</v>
      </c>
      <c r="AB1108" t="s">
        <v>37</v>
      </c>
      <c r="AC1108">
        <v>2.82</v>
      </c>
      <c r="AD1108">
        <v>62</v>
      </c>
      <c r="AE1108">
        <v>66000</v>
      </c>
      <c r="AF1108" t="str">
        <f>IF(Table1[[#This Row],[What is your current CGPA?]]&gt;=3.5,"High",IF(Table1[[#This Row],[What is your current CGPA?]]&gt;=2.5,"Medium","Low"))</f>
        <v>Medium</v>
      </c>
      <c r="AG1108" t="str">
        <f>IF(AND(Table1[[#This Row],[Average attendance on class]]&lt;75,Table1[[#This Row],[How many hour do you study daily?]]&lt;1),"At Risk","Normal")</f>
        <v>Normal</v>
      </c>
      <c r="AH1108">
        <f>(Table1[[#This Row],[Average attendance on class]]*0.4)+(Table1[[#This Row],[How many hour do you study daily?]]*10*0.3)+(Table1[[#This Row],[How many hour do you spent daily on your skill development?]]*10*0.3)</f>
        <v>55</v>
      </c>
    </row>
    <row r="1109" spans="1:34" x14ac:dyDescent="0.25">
      <c r="A1109">
        <v>2022</v>
      </c>
      <c r="B1109" t="s">
        <v>48</v>
      </c>
      <c r="C1109">
        <v>20</v>
      </c>
      <c r="D1109">
        <v>2021</v>
      </c>
      <c r="E1109" t="s">
        <v>35</v>
      </c>
      <c r="F1109">
        <v>5</v>
      </c>
      <c r="G1109" t="s">
        <v>36</v>
      </c>
      <c r="H1109" t="s">
        <v>36</v>
      </c>
      <c r="I1109">
        <v>5</v>
      </c>
      <c r="J1109">
        <v>3</v>
      </c>
      <c r="K1109" t="s">
        <v>38</v>
      </c>
      <c r="L1109" t="s">
        <v>36</v>
      </c>
      <c r="M1109" t="s">
        <v>36</v>
      </c>
      <c r="N1109">
        <v>3</v>
      </c>
      <c r="O1109" t="s">
        <v>39</v>
      </c>
      <c r="P1109">
        <v>100</v>
      </c>
      <c r="Q1109" t="s">
        <v>37</v>
      </c>
      <c r="R1109" t="s">
        <v>37</v>
      </c>
      <c r="S1109" t="s">
        <v>36</v>
      </c>
      <c r="T1109" t="s">
        <v>40</v>
      </c>
      <c r="U1109">
        <v>2</v>
      </c>
      <c r="V1109" t="s">
        <v>40</v>
      </c>
      <c r="W1109" t="s">
        <v>42</v>
      </c>
      <c r="X1109" t="s">
        <v>36</v>
      </c>
      <c r="Y1109" t="s">
        <v>47</v>
      </c>
      <c r="Z1109" t="s">
        <v>36</v>
      </c>
      <c r="AA1109">
        <v>2.66</v>
      </c>
      <c r="AB1109" t="s">
        <v>37</v>
      </c>
      <c r="AC1109">
        <v>3.79</v>
      </c>
      <c r="AD1109">
        <v>58</v>
      </c>
      <c r="AE1109">
        <v>67000</v>
      </c>
      <c r="AF1109" t="str">
        <f>IF(Table1[[#This Row],[What is your current CGPA?]]&gt;=3.5,"High",IF(Table1[[#This Row],[What is your current CGPA?]]&gt;=2.5,"Medium","Low"))</f>
        <v>High</v>
      </c>
      <c r="AG1109" t="str">
        <f>IF(AND(Table1[[#This Row],[Average attendance on class]]&lt;75,Table1[[#This Row],[How many hour do you study daily?]]&lt;1),"At Risk","Normal")</f>
        <v>Normal</v>
      </c>
      <c r="AH1109">
        <f>(Table1[[#This Row],[Average attendance on class]]*0.4)+(Table1[[#This Row],[How many hour do you study daily?]]*10*0.3)+(Table1[[#This Row],[How many hour do you spent daily on your skill development?]]*10*0.3)</f>
        <v>61</v>
      </c>
    </row>
    <row r="1110" spans="1:34" x14ac:dyDescent="0.25">
      <c r="A1110">
        <v>2020</v>
      </c>
      <c r="B1110" t="s">
        <v>48</v>
      </c>
      <c r="C1110">
        <v>25</v>
      </c>
      <c r="D1110">
        <v>2019</v>
      </c>
      <c r="E1110" t="s">
        <v>35</v>
      </c>
      <c r="F1110">
        <v>11</v>
      </c>
      <c r="G1110" t="s">
        <v>37</v>
      </c>
      <c r="H1110" t="s">
        <v>36</v>
      </c>
      <c r="I1110">
        <v>2</v>
      </c>
      <c r="J1110">
        <v>2</v>
      </c>
      <c r="K1110" t="s">
        <v>38</v>
      </c>
      <c r="L1110" t="s">
        <v>36</v>
      </c>
      <c r="M1110" t="s">
        <v>36</v>
      </c>
      <c r="N1110">
        <v>2</v>
      </c>
      <c r="O1110" t="s">
        <v>39</v>
      </c>
      <c r="P1110">
        <v>43</v>
      </c>
      <c r="Q1110" t="s">
        <v>36</v>
      </c>
      <c r="R1110" t="s">
        <v>37</v>
      </c>
      <c r="S1110" t="s">
        <v>36</v>
      </c>
      <c r="T1110" t="s">
        <v>51</v>
      </c>
      <c r="U1110">
        <v>2</v>
      </c>
      <c r="V1110" t="s">
        <v>59</v>
      </c>
      <c r="W1110" t="s">
        <v>50</v>
      </c>
      <c r="X1110" t="s">
        <v>36</v>
      </c>
      <c r="Y1110" t="s">
        <v>43</v>
      </c>
      <c r="Z1110" t="s">
        <v>37</v>
      </c>
      <c r="AA1110">
        <v>2.5499999999999998</v>
      </c>
      <c r="AB1110" t="s">
        <v>37</v>
      </c>
      <c r="AC1110">
        <v>3.6</v>
      </c>
      <c r="AD1110">
        <v>143</v>
      </c>
      <c r="AE1110">
        <v>68000</v>
      </c>
      <c r="AF1110" t="str">
        <f>IF(Table1[[#This Row],[What is your current CGPA?]]&gt;=3.5,"High",IF(Table1[[#This Row],[What is your current CGPA?]]&gt;=2.5,"Medium","Low"))</f>
        <v>High</v>
      </c>
      <c r="AG1110" t="str">
        <f>IF(AND(Table1[[#This Row],[Average attendance on class]]&lt;75,Table1[[#This Row],[How many hour do you study daily?]]&lt;1),"At Risk","Normal")</f>
        <v>Normal</v>
      </c>
      <c r="AH1110">
        <f>(Table1[[#This Row],[Average attendance on class]]*0.4)+(Table1[[#This Row],[How many hour do you study daily?]]*10*0.3)+(Table1[[#This Row],[How many hour do you spent daily on your skill development?]]*10*0.3)</f>
        <v>29.2</v>
      </c>
    </row>
    <row r="1111" spans="1:34" x14ac:dyDescent="0.25">
      <c r="A1111">
        <v>2020</v>
      </c>
      <c r="B1111" t="s">
        <v>48</v>
      </c>
      <c r="C1111">
        <v>21</v>
      </c>
      <c r="D1111">
        <v>2020</v>
      </c>
      <c r="E1111" t="s">
        <v>35</v>
      </c>
      <c r="F1111">
        <v>11</v>
      </c>
      <c r="G1111" t="s">
        <v>37</v>
      </c>
      <c r="H1111" t="s">
        <v>36</v>
      </c>
      <c r="I1111">
        <v>4</v>
      </c>
      <c r="J1111">
        <v>2</v>
      </c>
      <c r="K1111" t="s">
        <v>38</v>
      </c>
      <c r="L1111" t="s">
        <v>36</v>
      </c>
      <c r="M1111" t="s">
        <v>36</v>
      </c>
      <c r="N1111">
        <v>3</v>
      </c>
      <c r="O1111" t="s">
        <v>39</v>
      </c>
      <c r="P1111">
        <v>87</v>
      </c>
      <c r="Q1111" t="s">
        <v>37</v>
      </c>
      <c r="R1111" t="s">
        <v>37</v>
      </c>
      <c r="S1111" t="s">
        <v>36</v>
      </c>
      <c r="T1111" t="s">
        <v>51</v>
      </c>
      <c r="U1111">
        <v>4</v>
      </c>
      <c r="V1111" t="s">
        <v>59</v>
      </c>
      <c r="W1111" t="s">
        <v>56</v>
      </c>
      <c r="X1111" t="s">
        <v>37</v>
      </c>
      <c r="Y1111" t="s">
        <v>47</v>
      </c>
      <c r="Z1111" t="s">
        <v>37</v>
      </c>
      <c r="AA1111">
        <v>2.71</v>
      </c>
      <c r="AB1111" t="s">
        <v>37</v>
      </c>
      <c r="AC1111">
        <v>3.78</v>
      </c>
      <c r="AD1111">
        <v>143</v>
      </c>
      <c r="AE1111">
        <v>68000</v>
      </c>
      <c r="AF1111" t="str">
        <f>IF(Table1[[#This Row],[What is your current CGPA?]]&gt;=3.5,"High",IF(Table1[[#This Row],[What is your current CGPA?]]&gt;=2.5,"Medium","Low"))</f>
        <v>High</v>
      </c>
      <c r="AG1111" t="str">
        <f>IF(AND(Table1[[#This Row],[Average attendance on class]]&lt;75,Table1[[#This Row],[How many hour do you study daily?]]&lt;1),"At Risk","Normal")</f>
        <v>Normal</v>
      </c>
      <c r="AH1111">
        <f>(Table1[[#This Row],[Average attendance on class]]*0.4)+(Table1[[#This Row],[How many hour do you study daily?]]*10*0.3)+(Table1[[#This Row],[How many hour do you spent daily on your skill development?]]*10*0.3)</f>
        <v>58.800000000000004</v>
      </c>
    </row>
    <row r="1112" spans="1:34" x14ac:dyDescent="0.25">
      <c r="A1112">
        <v>2022</v>
      </c>
      <c r="B1112" t="s">
        <v>48</v>
      </c>
      <c r="C1112">
        <v>20</v>
      </c>
      <c r="D1112">
        <v>2021</v>
      </c>
      <c r="E1112" t="s">
        <v>35</v>
      </c>
      <c r="F1112">
        <v>5</v>
      </c>
      <c r="G1112" t="s">
        <v>37</v>
      </c>
      <c r="H1112" t="s">
        <v>36</v>
      </c>
      <c r="I1112">
        <v>3</v>
      </c>
      <c r="J1112">
        <v>1</v>
      </c>
      <c r="K1112" t="s">
        <v>38</v>
      </c>
      <c r="L1112" t="s">
        <v>36</v>
      </c>
      <c r="M1112" t="s">
        <v>36</v>
      </c>
      <c r="N1112">
        <v>8</v>
      </c>
      <c r="O1112" t="s">
        <v>39</v>
      </c>
      <c r="P1112">
        <v>88</v>
      </c>
      <c r="Q1112" t="s">
        <v>37</v>
      </c>
      <c r="R1112" t="s">
        <v>37</v>
      </c>
      <c r="S1112" t="s">
        <v>37</v>
      </c>
      <c r="T1112" t="s">
        <v>40</v>
      </c>
      <c r="U1112">
        <v>3</v>
      </c>
      <c r="V1112" t="s">
        <v>62</v>
      </c>
      <c r="W1112" t="s">
        <v>50</v>
      </c>
      <c r="X1112" t="s">
        <v>37</v>
      </c>
      <c r="Y1112" t="s">
        <v>43</v>
      </c>
      <c r="Z1112" t="s">
        <v>36</v>
      </c>
      <c r="AA1112">
        <v>2.2200000000000002</v>
      </c>
      <c r="AB1112" t="s">
        <v>37</v>
      </c>
      <c r="AC1112">
        <v>3.19</v>
      </c>
      <c r="AD1112">
        <v>87</v>
      </c>
      <c r="AE1112">
        <v>68000</v>
      </c>
      <c r="AF1112" t="str">
        <f>IF(Table1[[#This Row],[What is your current CGPA?]]&gt;=3.5,"High",IF(Table1[[#This Row],[What is your current CGPA?]]&gt;=2.5,"Medium","Low"))</f>
        <v>Medium</v>
      </c>
      <c r="AG1112" t="str">
        <f>IF(AND(Table1[[#This Row],[Average attendance on class]]&lt;75,Table1[[#This Row],[How many hour do you study daily?]]&lt;1),"At Risk","Normal")</f>
        <v>Normal</v>
      </c>
      <c r="AH1112">
        <f>(Table1[[#This Row],[Average attendance on class]]*0.4)+(Table1[[#This Row],[How many hour do you study daily?]]*10*0.3)+(Table1[[#This Row],[How many hour do you spent daily on your skill development?]]*10*0.3)</f>
        <v>53.2</v>
      </c>
    </row>
    <row r="1113" spans="1:34" x14ac:dyDescent="0.25">
      <c r="A1113">
        <v>2021</v>
      </c>
      <c r="B1113" t="s">
        <v>34</v>
      </c>
      <c r="C1113">
        <v>21</v>
      </c>
      <c r="D1113">
        <v>2021</v>
      </c>
      <c r="E1113" t="s">
        <v>35</v>
      </c>
      <c r="F1113">
        <v>4</v>
      </c>
      <c r="G1113" t="s">
        <v>37</v>
      </c>
      <c r="H1113" t="s">
        <v>36</v>
      </c>
      <c r="I1113">
        <v>1</v>
      </c>
      <c r="J1113">
        <v>1</v>
      </c>
      <c r="K1113" t="s">
        <v>44</v>
      </c>
      <c r="L1113" t="s">
        <v>36</v>
      </c>
      <c r="M1113" t="s">
        <v>36</v>
      </c>
      <c r="N1113">
        <v>7</v>
      </c>
      <c r="O1113" t="s">
        <v>39</v>
      </c>
      <c r="P1113">
        <v>80</v>
      </c>
      <c r="Q1113" t="s">
        <v>36</v>
      </c>
      <c r="R1113" t="s">
        <v>36</v>
      </c>
      <c r="S1113" t="s">
        <v>37</v>
      </c>
      <c r="T1113" t="s">
        <v>52</v>
      </c>
      <c r="U1113">
        <v>1</v>
      </c>
      <c r="V1113" t="s">
        <v>40</v>
      </c>
      <c r="W1113" t="s">
        <v>50</v>
      </c>
      <c r="X1113" t="s">
        <v>36</v>
      </c>
      <c r="Y1113" t="s">
        <v>43</v>
      </c>
      <c r="Z1113" t="s">
        <v>37</v>
      </c>
      <c r="AA1113">
        <v>1.95</v>
      </c>
      <c r="AB1113" t="s">
        <v>37</v>
      </c>
      <c r="AC1113">
        <v>2.88</v>
      </c>
      <c r="AD1113">
        <v>43</v>
      </c>
      <c r="AE1113">
        <v>68000</v>
      </c>
      <c r="AF1113" t="str">
        <f>IF(Table1[[#This Row],[What is your current CGPA?]]&gt;=3.5,"High",IF(Table1[[#This Row],[What is your current CGPA?]]&gt;=2.5,"Medium","Low"))</f>
        <v>Medium</v>
      </c>
      <c r="AG1113" t="str">
        <f>IF(AND(Table1[[#This Row],[Average attendance on class]]&lt;75,Table1[[#This Row],[How many hour do you study daily?]]&lt;1),"At Risk","Normal")</f>
        <v>Normal</v>
      </c>
      <c r="AH1113">
        <f>(Table1[[#This Row],[Average attendance on class]]*0.4)+(Table1[[#This Row],[How many hour do you study daily?]]*10*0.3)+(Table1[[#This Row],[How many hour do you spent daily on your skill development?]]*10*0.3)</f>
        <v>38</v>
      </c>
    </row>
    <row r="1114" spans="1:34" x14ac:dyDescent="0.25">
      <c r="A1114">
        <v>2021</v>
      </c>
      <c r="B1114" t="s">
        <v>48</v>
      </c>
      <c r="C1114">
        <v>22</v>
      </c>
      <c r="D1114">
        <v>2018</v>
      </c>
      <c r="E1114" t="s">
        <v>35</v>
      </c>
      <c r="F1114">
        <v>6</v>
      </c>
      <c r="G1114" t="s">
        <v>36</v>
      </c>
      <c r="H1114" t="s">
        <v>36</v>
      </c>
      <c r="I1114">
        <v>2</v>
      </c>
      <c r="J1114">
        <v>2</v>
      </c>
      <c r="K1114" t="s">
        <v>44</v>
      </c>
      <c r="L1114" t="s">
        <v>36</v>
      </c>
      <c r="M1114" t="s">
        <v>36</v>
      </c>
      <c r="N1114">
        <v>1</v>
      </c>
      <c r="O1114" t="s">
        <v>39</v>
      </c>
      <c r="P1114">
        <v>100</v>
      </c>
      <c r="Q1114" t="s">
        <v>37</v>
      </c>
      <c r="R1114" t="s">
        <v>37</v>
      </c>
      <c r="S1114" t="s">
        <v>36</v>
      </c>
      <c r="T1114" t="s">
        <v>40</v>
      </c>
      <c r="U1114">
        <v>1</v>
      </c>
      <c r="V1114" t="s">
        <v>41</v>
      </c>
      <c r="W1114" t="s">
        <v>42</v>
      </c>
      <c r="X1114" t="s">
        <v>37</v>
      </c>
      <c r="Y1114" t="s">
        <v>47</v>
      </c>
      <c r="Z1114" t="s">
        <v>37</v>
      </c>
      <c r="AA1114">
        <v>2.77</v>
      </c>
      <c r="AB1114" t="s">
        <v>37</v>
      </c>
      <c r="AC1114">
        <v>3.56</v>
      </c>
      <c r="AD1114">
        <v>56</v>
      </c>
      <c r="AE1114">
        <v>70000</v>
      </c>
      <c r="AF1114" t="str">
        <f>IF(Table1[[#This Row],[What is your current CGPA?]]&gt;=3.5,"High",IF(Table1[[#This Row],[What is your current CGPA?]]&gt;=2.5,"Medium","Low"))</f>
        <v>High</v>
      </c>
      <c r="AG1114" t="str">
        <f>IF(AND(Table1[[#This Row],[Average attendance on class]]&lt;75,Table1[[#This Row],[How many hour do you study daily?]]&lt;1),"At Risk","Normal")</f>
        <v>Normal</v>
      </c>
      <c r="AH1114">
        <f>(Table1[[#This Row],[Average attendance on class]]*0.4)+(Table1[[#This Row],[How many hour do you study daily?]]*10*0.3)+(Table1[[#This Row],[How many hour do you spent daily on your skill development?]]*10*0.3)</f>
        <v>49</v>
      </c>
    </row>
    <row r="1115" spans="1:34" x14ac:dyDescent="0.25">
      <c r="A1115">
        <v>2019</v>
      </c>
      <c r="B1115" t="s">
        <v>34</v>
      </c>
      <c r="C1115">
        <v>21</v>
      </c>
      <c r="D1115">
        <v>2018</v>
      </c>
      <c r="E1115" t="s">
        <v>35</v>
      </c>
      <c r="F1115">
        <v>8</v>
      </c>
      <c r="G1115" t="s">
        <v>36</v>
      </c>
      <c r="H1115" t="s">
        <v>36</v>
      </c>
      <c r="I1115">
        <v>7</v>
      </c>
      <c r="J1115">
        <v>2</v>
      </c>
      <c r="K1115" t="s">
        <v>38</v>
      </c>
      <c r="L1115" t="s">
        <v>36</v>
      </c>
      <c r="M1115" t="s">
        <v>36</v>
      </c>
      <c r="N1115">
        <v>2</v>
      </c>
      <c r="O1115" t="s">
        <v>53</v>
      </c>
      <c r="P1115">
        <v>100</v>
      </c>
      <c r="Q1115" t="s">
        <v>37</v>
      </c>
      <c r="R1115" t="s">
        <v>37</v>
      </c>
      <c r="S1115" t="s">
        <v>37</v>
      </c>
      <c r="T1115" t="s">
        <v>52</v>
      </c>
      <c r="U1115">
        <v>2</v>
      </c>
      <c r="V1115" t="s">
        <v>59</v>
      </c>
      <c r="W1115" t="s">
        <v>42</v>
      </c>
      <c r="X1115" t="s">
        <v>36</v>
      </c>
      <c r="Y1115" t="s">
        <v>43</v>
      </c>
      <c r="Z1115" t="s">
        <v>37</v>
      </c>
      <c r="AA1115">
        <v>2.75</v>
      </c>
      <c r="AB1115" t="s">
        <v>37</v>
      </c>
      <c r="AC1115">
        <v>3.93</v>
      </c>
      <c r="AD1115">
        <v>125</v>
      </c>
      <c r="AE1115">
        <v>70000</v>
      </c>
      <c r="AF1115" t="str">
        <f>IF(Table1[[#This Row],[What is your current CGPA?]]&gt;=3.5,"High",IF(Table1[[#This Row],[What is your current CGPA?]]&gt;=2.5,"Medium","Low"))</f>
        <v>High</v>
      </c>
      <c r="AG1115" t="str">
        <f>IF(AND(Table1[[#This Row],[Average attendance on class]]&lt;75,Table1[[#This Row],[How many hour do you study daily?]]&lt;1),"At Risk","Normal")</f>
        <v>Normal</v>
      </c>
      <c r="AH1115">
        <f>(Table1[[#This Row],[Average attendance on class]]*0.4)+(Table1[[#This Row],[How many hour do you study daily?]]*10*0.3)+(Table1[[#This Row],[How many hour do you spent daily on your skill development?]]*10*0.3)</f>
        <v>67</v>
      </c>
    </row>
    <row r="1116" spans="1:34" x14ac:dyDescent="0.25">
      <c r="A1116">
        <v>2021</v>
      </c>
      <c r="B1116" t="s">
        <v>48</v>
      </c>
      <c r="C1116">
        <v>21</v>
      </c>
      <c r="D1116">
        <v>2020</v>
      </c>
      <c r="E1116" t="s">
        <v>35</v>
      </c>
      <c r="F1116">
        <v>6</v>
      </c>
      <c r="G1116" t="s">
        <v>36</v>
      </c>
      <c r="H1116" t="s">
        <v>36</v>
      </c>
      <c r="I1116">
        <v>6</v>
      </c>
      <c r="J1116">
        <v>2</v>
      </c>
      <c r="K1116" t="s">
        <v>38</v>
      </c>
      <c r="L1116" t="s">
        <v>36</v>
      </c>
      <c r="M1116" t="s">
        <v>36</v>
      </c>
      <c r="N1116">
        <v>6</v>
      </c>
      <c r="O1116" t="s">
        <v>39</v>
      </c>
      <c r="P1116">
        <v>100</v>
      </c>
      <c r="Q1116" t="s">
        <v>37</v>
      </c>
      <c r="R1116" t="s">
        <v>37</v>
      </c>
      <c r="S1116" t="s">
        <v>36</v>
      </c>
      <c r="T1116" t="s">
        <v>51</v>
      </c>
      <c r="U1116">
        <v>6</v>
      </c>
      <c r="V1116" t="s">
        <v>40</v>
      </c>
      <c r="W1116" t="s">
        <v>42</v>
      </c>
      <c r="X1116" t="s">
        <v>37</v>
      </c>
      <c r="Y1116" t="s">
        <v>43</v>
      </c>
      <c r="Z1116" t="s">
        <v>37</v>
      </c>
      <c r="AA1116">
        <v>2.61</v>
      </c>
      <c r="AB1116" t="s">
        <v>37</v>
      </c>
      <c r="AC1116">
        <v>3.78</v>
      </c>
      <c r="AD1116">
        <v>35</v>
      </c>
      <c r="AE1116">
        <v>70000</v>
      </c>
      <c r="AF1116" t="str">
        <f>IF(Table1[[#This Row],[What is your current CGPA?]]&gt;=3.5,"High",IF(Table1[[#This Row],[What is your current CGPA?]]&gt;=2.5,"Medium","Low"))</f>
        <v>High</v>
      </c>
      <c r="AG1116" t="str">
        <f>IF(AND(Table1[[#This Row],[Average attendance on class]]&lt;75,Table1[[#This Row],[How many hour do you study daily?]]&lt;1),"At Risk","Normal")</f>
        <v>Normal</v>
      </c>
      <c r="AH1116">
        <f>(Table1[[#This Row],[Average attendance on class]]*0.4)+(Table1[[#This Row],[How many hour do you study daily?]]*10*0.3)+(Table1[[#This Row],[How many hour do you spent daily on your skill development?]]*10*0.3)</f>
        <v>76</v>
      </c>
    </row>
    <row r="1117" spans="1:34" x14ac:dyDescent="0.25">
      <c r="A1117">
        <v>2020</v>
      </c>
      <c r="B1117" t="s">
        <v>48</v>
      </c>
      <c r="C1117">
        <v>22</v>
      </c>
      <c r="D1117">
        <v>2020</v>
      </c>
      <c r="E1117" t="s">
        <v>35</v>
      </c>
      <c r="F1117">
        <v>7</v>
      </c>
      <c r="G1117" t="s">
        <v>37</v>
      </c>
      <c r="H1117" t="s">
        <v>36</v>
      </c>
      <c r="I1117">
        <v>6</v>
      </c>
      <c r="J1117">
        <v>2</v>
      </c>
      <c r="K1117" t="s">
        <v>44</v>
      </c>
      <c r="L1117" t="s">
        <v>36</v>
      </c>
      <c r="M1117" t="s">
        <v>36</v>
      </c>
      <c r="N1117">
        <v>4</v>
      </c>
      <c r="O1117" t="s">
        <v>53</v>
      </c>
      <c r="P1117">
        <v>30</v>
      </c>
      <c r="Q1117" t="s">
        <v>36</v>
      </c>
      <c r="R1117" t="s">
        <v>37</v>
      </c>
      <c r="S1117" t="s">
        <v>36</v>
      </c>
      <c r="T1117" t="s">
        <v>61</v>
      </c>
      <c r="U1117">
        <v>1</v>
      </c>
      <c r="V1117" t="s">
        <v>62</v>
      </c>
      <c r="W1117" t="s">
        <v>50</v>
      </c>
      <c r="X1117" t="s">
        <v>37</v>
      </c>
      <c r="Y1117" t="s">
        <v>47</v>
      </c>
      <c r="Z1117" t="s">
        <v>37</v>
      </c>
      <c r="AA1117">
        <v>1.35</v>
      </c>
      <c r="AB1117" t="s">
        <v>37</v>
      </c>
      <c r="AC1117">
        <v>2.65</v>
      </c>
      <c r="AD1117">
        <v>105</v>
      </c>
      <c r="AE1117">
        <v>70000</v>
      </c>
      <c r="AF1117" t="str">
        <f>IF(Table1[[#This Row],[What is your current CGPA?]]&gt;=3.5,"High",IF(Table1[[#This Row],[What is your current CGPA?]]&gt;=2.5,"Medium","Low"))</f>
        <v>Medium</v>
      </c>
      <c r="AG1117" t="str">
        <f>IF(AND(Table1[[#This Row],[Average attendance on class]]&lt;75,Table1[[#This Row],[How many hour do you study daily?]]&lt;1),"At Risk","Normal")</f>
        <v>Normal</v>
      </c>
      <c r="AH1117">
        <f>(Table1[[#This Row],[Average attendance on class]]*0.4)+(Table1[[#This Row],[How many hour do you study daily?]]*10*0.3)+(Table1[[#This Row],[How many hour do you spent daily on your skill development?]]*10*0.3)</f>
        <v>33</v>
      </c>
    </row>
    <row r="1118" spans="1:34" x14ac:dyDescent="0.25">
      <c r="A1118">
        <v>2020</v>
      </c>
      <c r="B1118" t="s">
        <v>34</v>
      </c>
      <c r="C1118">
        <v>20</v>
      </c>
      <c r="D1118">
        <v>2020</v>
      </c>
      <c r="E1118" t="s">
        <v>35</v>
      </c>
      <c r="F1118">
        <v>10</v>
      </c>
      <c r="G1118" t="s">
        <v>37</v>
      </c>
      <c r="H1118" t="s">
        <v>36</v>
      </c>
      <c r="I1118">
        <v>1</v>
      </c>
      <c r="J1118">
        <v>3</v>
      </c>
      <c r="K1118" t="s">
        <v>38</v>
      </c>
      <c r="L1118" t="s">
        <v>36</v>
      </c>
      <c r="M1118" t="s">
        <v>36</v>
      </c>
      <c r="N1118">
        <v>2</v>
      </c>
      <c r="O1118" t="s">
        <v>53</v>
      </c>
      <c r="P1118">
        <v>87</v>
      </c>
      <c r="Q1118" t="s">
        <v>36</v>
      </c>
      <c r="R1118" t="s">
        <v>37</v>
      </c>
      <c r="S1118" t="s">
        <v>37</v>
      </c>
      <c r="T1118" t="s">
        <v>51</v>
      </c>
      <c r="U1118">
        <v>1</v>
      </c>
      <c r="V1118" t="s">
        <v>59</v>
      </c>
      <c r="W1118" t="s">
        <v>50</v>
      </c>
      <c r="X1118" t="s">
        <v>37</v>
      </c>
      <c r="Y1118" t="s">
        <v>43</v>
      </c>
      <c r="Z1118" t="s">
        <v>37</v>
      </c>
      <c r="AA1118">
        <v>2.44</v>
      </c>
      <c r="AB1118" t="s">
        <v>37</v>
      </c>
      <c r="AC1118">
        <v>3.56</v>
      </c>
      <c r="AD1118">
        <v>135</v>
      </c>
      <c r="AE1118">
        <v>70000</v>
      </c>
      <c r="AF1118" t="str">
        <f>IF(Table1[[#This Row],[What is your current CGPA?]]&gt;=3.5,"High",IF(Table1[[#This Row],[What is your current CGPA?]]&gt;=2.5,"Medium","Low"))</f>
        <v>High</v>
      </c>
      <c r="AG1118" t="str">
        <f>IF(AND(Table1[[#This Row],[Average attendance on class]]&lt;75,Table1[[#This Row],[How many hour do you study daily?]]&lt;1),"At Risk","Normal")</f>
        <v>Normal</v>
      </c>
      <c r="AH1118">
        <f>(Table1[[#This Row],[Average attendance on class]]*0.4)+(Table1[[#This Row],[How many hour do you study daily?]]*10*0.3)+(Table1[[#This Row],[How many hour do you spent daily on your skill development?]]*10*0.3)</f>
        <v>40.800000000000004</v>
      </c>
    </row>
    <row r="1119" spans="1:34" x14ac:dyDescent="0.25">
      <c r="A1119">
        <v>2022</v>
      </c>
      <c r="B1119" t="s">
        <v>48</v>
      </c>
      <c r="C1119">
        <v>20</v>
      </c>
      <c r="D1119">
        <v>2021</v>
      </c>
      <c r="E1119" t="s">
        <v>35</v>
      </c>
      <c r="F1119">
        <v>6</v>
      </c>
      <c r="G1119" t="s">
        <v>37</v>
      </c>
      <c r="H1119" t="s">
        <v>36</v>
      </c>
      <c r="I1119">
        <v>4</v>
      </c>
      <c r="J1119">
        <v>3</v>
      </c>
      <c r="K1119" t="s">
        <v>38</v>
      </c>
      <c r="L1119" t="s">
        <v>36</v>
      </c>
      <c r="M1119" t="s">
        <v>36</v>
      </c>
      <c r="N1119">
        <v>2</v>
      </c>
      <c r="O1119" t="s">
        <v>53</v>
      </c>
      <c r="P1119">
        <v>100</v>
      </c>
      <c r="Q1119" t="s">
        <v>37</v>
      </c>
      <c r="R1119" t="s">
        <v>37</v>
      </c>
      <c r="S1119" t="s">
        <v>36</v>
      </c>
      <c r="T1119" t="s">
        <v>40</v>
      </c>
      <c r="U1119">
        <v>1</v>
      </c>
      <c r="V1119" t="s">
        <v>40</v>
      </c>
      <c r="W1119" t="s">
        <v>50</v>
      </c>
      <c r="X1119" t="s">
        <v>36</v>
      </c>
      <c r="Y1119" t="s">
        <v>43</v>
      </c>
      <c r="Z1119" t="s">
        <v>36</v>
      </c>
      <c r="AA1119">
        <v>1.56</v>
      </c>
      <c r="AB1119" t="s">
        <v>37</v>
      </c>
      <c r="AC1119">
        <v>2.64</v>
      </c>
      <c r="AD1119">
        <v>78</v>
      </c>
      <c r="AE1119">
        <v>70000</v>
      </c>
      <c r="AF1119" t="str">
        <f>IF(Table1[[#This Row],[What is your current CGPA?]]&gt;=3.5,"High",IF(Table1[[#This Row],[What is your current CGPA?]]&gt;=2.5,"Medium","Low"))</f>
        <v>Medium</v>
      </c>
      <c r="AG1119" t="str">
        <f>IF(AND(Table1[[#This Row],[Average attendance on class]]&lt;75,Table1[[#This Row],[How many hour do you study daily?]]&lt;1),"At Risk","Normal")</f>
        <v>Normal</v>
      </c>
      <c r="AH1119">
        <f>(Table1[[#This Row],[Average attendance on class]]*0.4)+(Table1[[#This Row],[How many hour do you study daily?]]*10*0.3)+(Table1[[#This Row],[How many hour do you spent daily on your skill development?]]*10*0.3)</f>
        <v>55</v>
      </c>
    </row>
    <row r="1120" spans="1:34" x14ac:dyDescent="0.25">
      <c r="A1120">
        <v>2022</v>
      </c>
      <c r="B1120" t="s">
        <v>48</v>
      </c>
      <c r="C1120">
        <v>20</v>
      </c>
      <c r="D1120">
        <v>2021</v>
      </c>
      <c r="E1120" t="s">
        <v>35</v>
      </c>
      <c r="F1120">
        <v>5</v>
      </c>
      <c r="G1120" t="s">
        <v>37</v>
      </c>
      <c r="H1120" t="s">
        <v>36</v>
      </c>
      <c r="I1120">
        <v>3</v>
      </c>
      <c r="J1120">
        <v>3</v>
      </c>
      <c r="K1120" t="s">
        <v>38</v>
      </c>
      <c r="L1120" t="s">
        <v>36</v>
      </c>
      <c r="M1120" t="s">
        <v>36</v>
      </c>
      <c r="N1120">
        <v>2</v>
      </c>
      <c r="O1120" t="s">
        <v>53</v>
      </c>
      <c r="P1120">
        <v>100</v>
      </c>
      <c r="Q1120" t="s">
        <v>37</v>
      </c>
      <c r="R1120" t="s">
        <v>37</v>
      </c>
      <c r="S1120" t="s">
        <v>36</v>
      </c>
      <c r="T1120" t="s">
        <v>51</v>
      </c>
      <c r="U1120">
        <v>1</v>
      </c>
      <c r="V1120" t="s">
        <v>59</v>
      </c>
      <c r="W1120" t="s">
        <v>50</v>
      </c>
      <c r="X1120" t="s">
        <v>37</v>
      </c>
      <c r="Y1120" t="s">
        <v>43</v>
      </c>
      <c r="Z1120" t="s">
        <v>37</v>
      </c>
      <c r="AA1120">
        <v>1.76</v>
      </c>
      <c r="AB1120" t="s">
        <v>37</v>
      </c>
      <c r="AC1120">
        <v>2.84</v>
      </c>
      <c r="AD1120">
        <v>58</v>
      </c>
      <c r="AE1120">
        <v>70000</v>
      </c>
      <c r="AF1120" t="str">
        <f>IF(Table1[[#This Row],[What is your current CGPA?]]&gt;=3.5,"High",IF(Table1[[#This Row],[What is your current CGPA?]]&gt;=2.5,"Medium","Low"))</f>
        <v>Medium</v>
      </c>
      <c r="AG1120" t="str">
        <f>IF(AND(Table1[[#This Row],[Average attendance on class]]&lt;75,Table1[[#This Row],[How many hour do you study daily?]]&lt;1),"At Risk","Normal")</f>
        <v>Normal</v>
      </c>
      <c r="AH1120">
        <f>(Table1[[#This Row],[Average attendance on class]]*0.4)+(Table1[[#This Row],[How many hour do you study daily?]]*10*0.3)+(Table1[[#This Row],[How many hour do you spent daily on your skill development?]]*10*0.3)</f>
        <v>52</v>
      </c>
    </row>
    <row r="1121" spans="1:34" x14ac:dyDescent="0.25">
      <c r="A1121">
        <v>2022</v>
      </c>
      <c r="B1121" t="s">
        <v>48</v>
      </c>
      <c r="C1121">
        <v>20</v>
      </c>
      <c r="D1121">
        <v>2020</v>
      </c>
      <c r="E1121" t="s">
        <v>35</v>
      </c>
      <c r="F1121">
        <v>4</v>
      </c>
      <c r="G1121" t="s">
        <v>37</v>
      </c>
      <c r="H1121" t="s">
        <v>36</v>
      </c>
      <c r="I1121">
        <v>5</v>
      </c>
      <c r="J1121">
        <v>4</v>
      </c>
      <c r="K1121" t="s">
        <v>38</v>
      </c>
      <c r="L1121" t="s">
        <v>36</v>
      </c>
      <c r="M1121" t="s">
        <v>36</v>
      </c>
      <c r="N1121">
        <v>6</v>
      </c>
      <c r="O1121" t="s">
        <v>39</v>
      </c>
      <c r="P1121">
        <v>70</v>
      </c>
      <c r="Q1121" t="s">
        <v>37</v>
      </c>
      <c r="R1121" t="s">
        <v>37</v>
      </c>
      <c r="S1121" t="s">
        <v>36</v>
      </c>
      <c r="T1121" t="s">
        <v>40</v>
      </c>
      <c r="U1121">
        <v>2</v>
      </c>
      <c r="V1121" t="s">
        <v>40</v>
      </c>
      <c r="W1121" t="s">
        <v>50</v>
      </c>
      <c r="X1121" t="s">
        <v>36</v>
      </c>
      <c r="Y1121" t="s">
        <v>47</v>
      </c>
      <c r="Z1121" t="s">
        <v>37</v>
      </c>
      <c r="AA1121">
        <v>1.9</v>
      </c>
      <c r="AB1121" t="s">
        <v>37</v>
      </c>
      <c r="AC1121">
        <v>3.13</v>
      </c>
      <c r="AD1121">
        <v>89</v>
      </c>
      <c r="AE1121">
        <v>71000</v>
      </c>
      <c r="AF1121" t="str">
        <f>IF(Table1[[#This Row],[What is your current CGPA?]]&gt;=3.5,"High",IF(Table1[[#This Row],[What is your current CGPA?]]&gt;=2.5,"Medium","Low"))</f>
        <v>Medium</v>
      </c>
      <c r="AG1121" t="str">
        <f>IF(AND(Table1[[#This Row],[Average attendance on class]]&lt;75,Table1[[#This Row],[How many hour do you study daily?]]&lt;1),"At Risk","Normal")</f>
        <v>Normal</v>
      </c>
      <c r="AH1121">
        <f>(Table1[[#This Row],[Average attendance on class]]*0.4)+(Table1[[#This Row],[How many hour do you study daily?]]*10*0.3)+(Table1[[#This Row],[How many hour do you spent daily on your skill development?]]*10*0.3)</f>
        <v>49</v>
      </c>
    </row>
    <row r="1122" spans="1:34" x14ac:dyDescent="0.25">
      <c r="A1122">
        <v>2021</v>
      </c>
      <c r="B1122" t="s">
        <v>34</v>
      </c>
      <c r="C1122">
        <v>21</v>
      </c>
      <c r="D1122">
        <v>2020</v>
      </c>
      <c r="E1122" t="s">
        <v>35</v>
      </c>
      <c r="F1122">
        <v>6</v>
      </c>
      <c r="G1122" t="s">
        <v>37</v>
      </c>
      <c r="H1122" t="s">
        <v>36</v>
      </c>
      <c r="I1122">
        <v>4</v>
      </c>
      <c r="J1122">
        <v>2</v>
      </c>
      <c r="K1122" t="s">
        <v>38</v>
      </c>
      <c r="L1122" t="s">
        <v>36</v>
      </c>
      <c r="M1122" t="s">
        <v>36</v>
      </c>
      <c r="N1122">
        <v>6</v>
      </c>
      <c r="O1122" t="s">
        <v>39</v>
      </c>
      <c r="P1122">
        <v>100</v>
      </c>
      <c r="Q1122" t="s">
        <v>37</v>
      </c>
      <c r="R1122" t="s">
        <v>37</v>
      </c>
      <c r="S1122" t="s">
        <v>36</v>
      </c>
      <c r="T1122" t="s">
        <v>40</v>
      </c>
      <c r="U1122">
        <v>3</v>
      </c>
      <c r="V1122" t="s">
        <v>62</v>
      </c>
      <c r="W1122" t="s">
        <v>42</v>
      </c>
      <c r="X1122" t="s">
        <v>37</v>
      </c>
      <c r="Y1122" t="s">
        <v>47</v>
      </c>
      <c r="Z1122" t="s">
        <v>37</v>
      </c>
      <c r="AA1122">
        <v>1.99</v>
      </c>
      <c r="AB1122" t="s">
        <v>37</v>
      </c>
      <c r="AC1122">
        <v>3.05</v>
      </c>
      <c r="AD1122">
        <v>79</v>
      </c>
      <c r="AE1122">
        <v>71000</v>
      </c>
      <c r="AF1122" t="str">
        <f>IF(Table1[[#This Row],[What is your current CGPA?]]&gt;=3.5,"High",IF(Table1[[#This Row],[What is your current CGPA?]]&gt;=2.5,"Medium","Low"))</f>
        <v>Medium</v>
      </c>
      <c r="AG1122" t="str">
        <f>IF(AND(Table1[[#This Row],[Average attendance on class]]&lt;75,Table1[[#This Row],[How many hour do you study daily?]]&lt;1),"At Risk","Normal")</f>
        <v>Normal</v>
      </c>
      <c r="AH1122">
        <f>(Table1[[#This Row],[Average attendance on class]]*0.4)+(Table1[[#This Row],[How many hour do you study daily?]]*10*0.3)+(Table1[[#This Row],[How many hour do you spent daily on your skill development?]]*10*0.3)</f>
        <v>61</v>
      </c>
    </row>
    <row r="1123" spans="1:34" x14ac:dyDescent="0.25">
      <c r="A1123">
        <v>2022</v>
      </c>
      <c r="B1123" t="s">
        <v>48</v>
      </c>
      <c r="C1123">
        <v>21</v>
      </c>
      <c r="D1123">
        <v>2021</v>
      </c>
      <c r="E1123" t="s">
        <v>35</v>
      </c>
      <c r="F1123">
        <v>7</v>
      </c>
      <c r="G1123" t="s">
        <v>37</v>
      </c>
      <c r="H1123" t="s">
        <v>36</v>
      </c>
      <c r="I1123">
        <v>1</v>
      </c>
      <c r="J1123">
        <v>2</v>
      </c>
      <c r="K1123" t="s">
        <v>38</v>
      </c>
      <c r="L1123" t="s">
        <v>36</v>
      </c>
      <c r="M1123" t="s">
        <v>36</v>
      </c>
      <c r="N1123">
        <v>2</v>
      </c>
      <c r="O1123" t="s">
        <v>39</v>
      </c>
      <c r="P1123">
        <v>56</v>
      </c>
      <c r="Q1123" t="s">
        <v>36</v>
      </c>
      <c r="R1123" t="s">
        <v>37</v>
      </c>
      <c r="S1123" t="s">
        <v>37</v>
      </c>
      <c r="T1123" t="s">
        <v>49</v>
      </c>
      <c r="U1123">
        <v>2</v>
      </c>
      <c r="V1123" t="s">
        <v>41</v>
      </c>
      <c r="W1123" t="s">
        <v>50</v>
      </c>
      <c r="X1123" t="s">
        <v>37</v>
      </c>
      <c r="Y1123" t="s">
        <v>47</v>
      </c>
      <c r="Z1123" t="s">
        <v>37</v>
      </c>
      <c r="AA1123">
        <v>2.4300000000000002</v>
      </c>
      <c r="AB1123" t="s">
        <v>37</v>
      </c>
      <c r="AC1123">
        <v>3.55</v>
      </c>
      <c r="AD1123">
        <v>107</v>
      </c>
      <c r="AE1123">
        <v>71000</v>
      </c>
      <c r="AF1123" t="str">
        <f>IF(Table1[[#This Row],[What is your current CGPA?]]&gt;=3.5,"High",IF(Table1[[#This Row],[What is your current CGPA?]]&gt;=2.5,"Medium","Low"))</f>
        <v>High</v>
      </c>
      <c r="AG1123" t="str">
        <f>IF(AND(Table1[[#This Row],[Average attendance on class]]&lt;75,Table1[[#This Row],[How many hour do you study daily?]]&lt;1),"At Risk","Normal")</f>
        <v>Normal</v>
      </c>
      <c r="AH1123">
        <f>(Table1[[#This Row],[Average attendance on class]]*0.4)+(Table1[[#This Row],[How many hour do you study daily?]]*10*0.3)+(Table1[[#This Row],[How many hour do you spent daily on your skill development?]]*10*0.3)</f>
        <v>31.400000000000002</v>
      </c>
    </row>
    <row r="1124" spans="1:34" x14ac:dyDescent="0.25">
      <c r="A1124">
        <v>2019</v>
      </c>
      <c r="B1124" t="s">
        <v>48</v>
      </c>
      <c r="C1124">
        <v>23</v>
      </c>
      <c r="D1124">
        <v>2019</v>
      </c>
      <c r="E1124" t="s">
        <v>35</v>
      </c>
      <c r="F1124">
        <v>10</v>
      </c>
      <c r="G1124" t="s">
        <v>37</v>
      </c>
      <c r="H1124" t="s">
        <v>36</v>
      </c>
      <c r="I1124">
        <v>5</v>
      </c>
      <c r="J1124">
        <v>1</v>
      </c>
      <c r="K1124" t="s">
        <v>38</v>
      </c>
      <c r="L1124" t="s">
        <v>36</v>
      </c>
      <c r="M1124" t="s">
        <v>36</v>
      </c>
      <c r="N1124">
        <v>2</v>
      </c>
      <c r="O1124" t="s">
        <v>45</v>
      </c>
      <c r="P1124">
        <v>91</v>
      </c>
      <c r="Q1124" t="s">
        <v>37</v>
      </c>
      <c r="R1124" t="s">
        <v>37</v>
      </c>
      <c r="S1124" t="s">
        <v>37</v>
      </c>
      <c r="T1124" t="s">
        <v>40</v>
      </c>
      <c r="U1124">
        <v>2</v>
      </c>
      <c r="V1124" t="s">
        <v>40</v>
      </c>
      <c r="W1124" t="s">
        <v>42</v>
      </c>
      <c r="X1124" t="s">
        <v>37</v>
      </c>
      <c r="Y1124" t="s">
        <v>43</v>
      </c>
      <c r="Z1124" t="s">
        <v>36</v>
      </c>
      <c r="AA1124">
        <v>1.67</v>
      </c>
      <c r="AB1124" t="s">
        <v>37</v>
      </c>
      <c r="AC1124">
        <v>2.74</v>
      </c>
      <c r="AD1124">
        <v>137</v>
      </c>
      <c r="AE1124">
        <v>74000</v>
      </c>
      <c r="AF1124" t="str">
        <f>IF(Table1[[#This Row],[What is your current CGPA?]]&gt;=3.5,"High",IF(Table1[[#This Row],[What is your current CGPA?]]&gt;=2.5,"Medium","Low"))</f>
        <v>Medium</v>
      </c>
      <c r="AG1124" t="str">
        <f>IF(AND(Table1[[#This Row],[Average attendance on class]]&lt;75,Table1[[#This Row],[How many hour do you study daily?]]&lt;1),"At Risk","Normal")</f>
        <v>Normal</v>
      </c>
      <c r="AH1124">
        <f>(Table1[[#This Row],[Average attendance on class]]*0.4)+(Table1[[#This Row],[How many hour do you study daily?]]*10*0.3)+(Table1[[#This Row],[How many hour do you spent daily on your skill development?]]*10*0.3)</f>
        <v>57.4</v>
      </c>
    </row>
    <row r="1125" spans="1:34" x14ac:dyDescent="0.25">
      <c r="A1125">
        <v>2020</v>
      </c>
      <c r="B1125" t="s">
        <v>48</v>
      </c>
      <c r="C1125">
        <v>20</v>
      </c>
      <c r="D1125">
        <v>2020</v>
      </c>
      <c r="E1125" t="s">
        <v>35</v>
      </c>
      <c r="F1125">
        <v>11</v>
      </c>
      <c r="G1125" t="s">
        <v>36</v>
      </c>
      <c r="H1125" t="s">
        <v>36</v>
      </c>
      <c r="I1125">
        <v>4</v>
      </c>
      <c r="J1125">
        <v>1</v>
      </c>
      <c r="K1125" t="s">
        <v>38</v>
      </c>
      <c r="L1125" t="s">
        <v>36</v>
      </c>
      <c r="M1125" t="s">
        <v>36</v>
      </c>
      <c r="N1125">
        <v>2</v>
      </c>
      <c r="O1125" t="s">
        <v>39</v>
      </c>
      <c r="P1125">
        <v>100</v>
      </c>
      <c r="Q1125" t="s">
        <v>36</v>
      </c>
      <c r="R1125" t="s">
        <v>37</v>
      </c>
      <c r="S1125" t="s">
        <v>37</v>
      </c>
      <c r="T1125" t="s">
        <v>51</v>
      </c>
      <c r="U1125">
        <v>1</v>
      </c>
      <c r="V1125" t="s">
        <v>59</v>
      </c>
      <c r="W1125" t="s">
        <v>56</v>
      </c>
      <c r="X1125" t="s">
        <v>37</v>
      </c>
      <c r="Y1125" t="s">
        <v>47</v>
      </c>
      <c r="Z1125" t="s">
        <v>37</v>
      </c>
      <c r="AA1125">
        <v>2.78</v>
      </c>
      <c r="AB1125" t="s">
        <v>37</v>
      </c>
      <c r="AC1125">
        <v>3.83</v>
      </c>
      <c r="AD1125">
        <v>143</v>
      </c>
      <c r="AE1125">
        <v>74000</v>
      </c>
      <c r="AF1125" t="str">
        <f>IF(Table1[[#This Row],[What is your current CGPA?]]&gt;=3.5,"High",IF(Table1[[#This Row],[What is your current CGPA?]]&gt;=2.5,"Medium","Low"))</f>
        <v>High</v>
      </c>
      <c r="AG1125" t="str">
        <f>IF(AND(Table1[[#This Row],[Average attendance on class]]&lt;75,Table1[[#This Row],[How many hour do you study daily?]]&lt;1),"At Risk","Normal")</f>
        <v>Normal</v>
      </c>
      <c r="AH1125">
        <f>(Table1[[#This Row],[Average attendance on class]]*0.4)+(Table1[[#This Row],[How many hour do you study daily?]]*10*0.3)+(Table1[[#This Row],[How many hour do you spent daily on your skill development?]]*10*0.3)</f>
        <v>55</v>
      </c>
    </row>
    <row r="1126" spans="1:34" x14ac:dyDescent="0.25">
      <c r="A1126">
        <v>2020</v>
      </c>
      <c r="B1126" t="s">
        <v>34</v>
      </c>
      <c r="C1126">
        <v>22</v>
      </c>
      <c r="D1126">
        <v>2019</v>
      </c>
      <c r="E1126" t="s">
        <v>35</v>
      </c>
      <c r="F1126">
        <v>9</v>
      </c>
      <c r="G1126" t="s">
        <v>36</v>
      </c>
      <c r="H1126" t="s">
        <v>36</v>
      </c>
      <c r="I1126">
        <v>3</v>
      </c>
      <c r="J1126">
        <v>4</v>
      </c>
      <c r="K1126" t="s">
        <v>38</v>
      </c>
      <c r="L1126" t="s">
        <v>36</v>
      </c>
      <c r="M1126" t="s">
        <v>36</v>
      </c>
      <c r="N1126">
        <v>6</v>
      </c>
      <c r="O1126" t="s">
        <v>53</v>
      </c>
      <c r="P1126">
        <v>100</v>
      </c>
      <c r="Q1126" t="s">
        <v>37</v>
      </c>
      <c r="R1126" t="s">
        <v>37</v>
      </c>
      <c r="S1126" t="s">
        <v>37</v>
      </c>
      <c r="T1126" t="s">
        <v>40</v>
      </c>
      <c r="U1126">
        <v>3</v>
      </c>
      <c r="V1126" t="s">
        <v>62</v>
      </c>
      <c r="W1126" t="s">
        <v>42</v>
      </c>
      <c r="X1126" t="s">
        <v>37</v>
      </c>
      <c r="Y1126" t="s">
        <v>43</v>
      </c>
      <c r="Z1126" t="s">
        <v>36</v>
      </c>
      <c r="AA1126">
        <v>1.81</v>
      </c>
      <c r="AB1126" t="s">
        <v>37</v>
      </c>
      <c r="AC1126">
        <v>2.95</v>
      </c>
      <c r="AD1126">
        <v>137</v>
      </c>
      <c r="AE1126">
        <v>75000</v>
      </c>
      <c r="AF1126" t="str">
        <f>IF(Table1[[#This Row],[What is your current CGPA?]]&gt;=3.5,"High",IF(Table1[[#This Row],[What is your current CGPA?]]&gt;=2.5,"Medium","Low"))</f>
        <v>Medium</v>
      </c>
      <c r="AG1126" t="str">
        <f>IF(AND(Table1[[#This Row],[Average attendance on class]]&lt;75,Table1[[#This Row],[How many hour do you study daily?]]&lt;1),"At Risk","Normal")</f>
        <v>Normal</v>
      </c>
      <c r="AH1126">
        <f>(Table1[[#This Row],[Average attendance on class]]*0.4)+(Table1[[#This Row],[How many hour do you study daily?]]*10*0.3)+(Table1[[#This Row],[How many hour do you spent daily on your skill development?]]*10*0.3)</f>
        <v>58</v>
      </c>
    </row>
    <row r="1127" spans="1:34" x14ac:dyDescent="0.25">
      <c r="A1127">
        <v>2020</v>
      </c>
      <c r="B1127" t="s">
        <v>34</v>
      </c>
      <c r="C1127">
        <v>20</v>
      </c>
      <c r="D1127">
        <v>2020</v>
      </c>
      <c r="E1127" t="s">
        <v>35</v>
      </c>
      <c r="F1127">
        <v>11</v>
      </c>
      <c r="G1127" t="s">
        <v>36</v>
      </c>
      <c r="H1127" t="s">
        <v>36</v>
      </c>
      <c r="I1127">
        <v>7</v>
      </c>
      <c r="J1127">
        <v>4</v>
      </c>
      <c r="K1127" t="s">
        <v>38</v>
      </c>
      <c r="L1127" t="s">
        <v>36</v>
      </c>
      <c r="M1127" t="s">
        <v>36</v>
      </c>
      <c r="N1127">
        <v>2</v>
      </c>
      <c r="O1127" t="s">
        <v>53</v>
      </c>
      <c r="P1127">
        <v>100</v>
      </c>
      <c r="Q1127" t="s">
        <v>37</v>
      </c>
      <c r="R1127" t="s">
        <v>37</v>
      </c>
      <c r="S1127" t="s">
        <v>37</v>
      </c>
      <c r="T1127" t="s">
        <v>61</v>
      </c>
      <c r="U1127">
        <v>3</v>
      </c>
      <c r="V1127" t="s">
        <v>41</v>
      </c>
      <c r="W1127" t="s">
        <v>42</v>
      </c>
      <c r="X1127" t="s">
        <v>36</v>
      </c>
      <c r="Y1127" t="s">
        <v>47</v>
      </c>
      <c r="Z1127" t="s">
        <v>37</v>
      </c>
      <c r="AA1127">
        <v>2.91</v>
      </c>
      <c r="AB1127" t="s">
        <v>37</v>
      </c>
      <c r="AC1127">
        <v>3.97</v>
      </c>
      <c r="AD1127">
        <v>139</v>
      </c>
      <c r="AE1127">
        <v>75000</v>
      </c>
      <c r="AF1127" t="str">
        <f>IF(Table1[[#This Row],[What is your current CGPA?]]&gt;=3.5,"High",IF(Table1[[#This Row],[What is your current CGPA?]]&gt;=2.5,"Medium","Low"))</f>
        <v>High</v>
      </c>
      <c r="AG1127" t="str">
        <f>IF(AND(Table1[[#This Row],[Average attendance on class]]&lt;75,Table1[[#This Row],[How many hour do you study daily?]]&lt;1),"At Risk","Normal")</f>
        <v>Normal</v>
      </c>
      <c r="AH1127">
        <f>(Table1[[#This Row],[Average attendance on class]]*0.4)+(Table1[[#This Row],[How many hour do you study daily?]]*10*0.3)+(Table1[[#This Row],[How many hour do you spent daily on your skill development?]]*10*0.3)</f>
        <v>70</v>
      </c>
    </row>
    <row r="1128" spans="1:34" x14ac:dyDescent="0.25">
      <c r="A1128">
        <v>2023</v>
      </c>
      <c r="B1128" t="s">
        <v>34</v>
      </c>
      <c r="C1128">
        <v>19</v>
      </c>
      <c r="D1128">
        <v>2022</v>
      </c>
      <c r="E1128" t="s">
        <v>35</v>
      </c>
      <c r="F1128">
        <v>2</v>
      </c>
      <c r="G1128" t="s">
        <v>37</v>
      </c>
      <c r="H1128" t="s">
        <v>36</v>
      </c>
      <c r="I1128">
        <v>3</v>
      </c>
      <c r="J1128">
        <v>1</v>
      </c>
      <c r="K1128" t="s">
        <v>44</v>
      </c>
      <c r="L1128" t="s">
        <v>36</v>
      </c>
      <c r="M1128" t="s">
        <v>36</v>
      </c>
      <c r="N1128">
        <v>5</v>
      </c>
      <c r="O1128" t="s">
        <v>45</v>
      </c>
      <c r="P1128">
        <v>100</v>
      </c>
      <c r="Q1128" t="s">
        <v>37</v>
      </c>
      <c r="R1128" t="s">
        <v>37</v>
      </c>
      <c r="S1128" t="s">
        <v>37</v>
      </c>
      <c r="T1128" t="s">
        <v>61</v>
      </c>
      <c r="U1128">
        <v>1</v>
      </c>
      <c r="V1128" t="s">
        <v>62</v>
      </c>
      <c r="W1128" t="s">
        <v>42</v>
      </c>
      <c r="X1128" t="s">
        <v>37</v>
      </c>
      <c r="Y1128" t="s">
        <v>43</v>
      </c>
      <c r="Z1128" t="s">
        <v>37</v>
      </c>
      <c r="AA1128">
        <v>2.65</v>
      </c>
      <c r="AB1128" t="s">
        <v>37</v>
      </c>
      <c r="AC1128">
        <v>3.57</v>
      </c>
      <c r="AD1128">
        <v>27</v>
      </c>
      <c r="AE1128">
        <v>75000</v>
      </c>
      <c r="AF1128" t="str">
        <f>IF(Table1[[#This Row],[What is your current CGPA?]]&gt;=3.5,"High",IF(Table1[[#This Row],[What is your current CGPA?]]&gt;=2.5,"Medium","Low"))</f>
        <v>High</v>
      </c>
      <c r="AG1128" t="str">
        <f>IF(AND(Table1[[#This Row],[Average attendance on class]]&lt;75,Table1[[#This Row],[How many hour do you study daily?]]&lt;1),"At Risk","Normal")</f>
        <v>Normal</v>
      </c>
      <c r="AH1128">
        <f>(Table1[[#This Row],[Average attendance on class]]*0.4)+(Table1[[#This Row],[How many hour do you study daily?]]*10*0.3)+(Table1[[#This Row],[How many hour do you spent daily on your skill development?]]*10*0.3)</f>
        <v>52</v>
      </c>
    </row>
    <row r="1129" spans="1:34" x14ac:dyDescent="0.25">
      <c r="A1129">
        <v>2019</v>
      </c>
      <c r="B1129" t="s">
        <v>34</v>
      </c>
      <c r="C1129">
        <v>24</v>
      </c>
      <c r="D1129">
        <v>2018</v>
      </c>
      <c r="E1129" t="s">
        <v>35</v>
      </c>
      <c r="F1129">
        <v>11</v>
      </c>
      <c r="G1129" t="s">
        <v>37</v>
      </c>
      <c r="H1129" t="s">
        <v>36</v>
      </c>
      <c r="I1129">
        <v>4</v>
      </c>
      <c r="J1129">
        <v>2</v>
      </c>
      <c r="K1129" t="s">
        <v>44</v>
      </c>
      <c r="L1129" t="s">
        <v>36</v>
      </c>
      <c r="M1129" t="s">
        <v>36</v>
      </c>
      <c r="N1129">
        <v>6</v>
      </c>
      <c r="O1129" t="s">
        <v>39</v>
      </c>
      <c r="P1129">
        <v>77</v>
      </c>
      <c r="Q1129" t="s">
        <v>37</v>
      </c>
      <c r="R1129" t="s">
        <v>37</v>
      </c>
      <c r="S1129" t="s">
        <v>36</v>
      </c>
      <c r="T1129" t="s">
        <v>61</v>
      </c>
      <c r="U1129">
        <v>2</v>
      </c>
      <c r="V1129" t="s">
        <v>41</v>
      </c>
      <c r="W1129" t="s">
        <v>42</v>
      </c>
      <c r="X1129" t="s">
        <v>37</v>
      </c>
      <c r="Y1129" t="s">
        <v>47</v>
      </c>
      <c r="Z1129" t="s">
        <v>36</v>
      </c>
      <c r="AA1129">
        <v>2.23</v>
      </c>
      <c r="AB1129" t="s">
        <v>37</v>
      </c>
      <c r="AC1129">
        <v>3.65</v>
      </c>
      <c r="AD1129">
        <v>145</v>
      </c>
      <c r="AE1129">
        <v>76000</v>
      </c>
      <c r="AF1129" t="str">
        <f>IF(Table1[[#This Row],[What is your current CGPA?]]&gt;=3.5,"High",IF(Table1[[#This Row],[What is your current CGPA?]]&gt;=2.5,"Medium","Low"))</f>
        <v>High</v>
      </c>
      <c r="AG1129" t="str">
        <f>IF(AND(Table1[[#This Row],[Average attendance on class]]&lt;75,Table1[[#This Row],[How many hour do you study daily?]]&lt;1),"At Risk","Normal")</f>
        <v>Normal</v>
      </c>
      <c r="AH1129">
        <f>(Table1[[#This Row],[Average attendance on class]]*0.4)+(Table1[[#This Row],[How many hour do you study daily?]]*10*0.3)+(Table1[[#This Row],[How many hour do you spent daily on your skill development?]]*10*0.3)</f>
        <v>48.8</v>
      </c>
    </row>
    <row r="1130" spans="1:34" x14ac:dyDescent="0.25">
      <c r="A1130">
        <v>2020</v>
      </c>
      <c r="B1130" t="s">
        <v>48</v>
      </c>
      <c r="C1130">
        <v>21</v>
      </c>
      <c r="D1130">
        <v>2019</v>
      </c>
      <c r="E1130" t="s">
        <v>35</v>
      </c>
      <c r="F1130">
        <v>7</v>
      </c>
      <c r="G1130" t="s">
        <v>37</v>
      </c>
      <c r="H1130" t="s">
        <v>36</v>
      </c>
      <c r="I1130">
        <v>3</v>
      </c>
      <c r="J1130">
        <v>1</v>
      </c>
      <c r="K1130" t="s">
        <v>44</v>
      </c>
      <c r="L1130" t="s">
        <v>36</v>
      </c>
      <c r="M1130" t="s">
        <v>36</v>
      </c>
      <c r="N1130">
        <v>6</v>
      </c>
      <c r="O1130" t="s">
        <v>45</v>
      </c>
      <c r="P1130">
        <v>86</v>
      </c>
      <c r="Q1130" t="s">
        <v>37</v>
      </c>
      <c r="R1130" t="s">
        <v>37</v>
      </c>
      <c r="S1130" t="s">
        <v>37</v>
      </c>
      <c r="T1130" t="s">
        <v>40</v>
      </c>
      <c r="U1130">
        <v>3</v>
      </c>
      <c r="V1130" t="s">
        <v>40</v>
      </c>
      <c r="W1130" t="s">
        <v>42</v>
      </c>
      <c r="X1130" t="s">
        <v>37</v>
      </c>
      <c r="Y1130" t="s">
        <v>47</v>
      </c>
      <c r="Z1130" t="s">
        <v>36</v>
      </c>
      <c r="AA1130">
        <v>2.13</v>
      </c>
      <c r="AB1130" t="s">
        <v>37</v>
      </c>
      <c r="AC1130">
        <v>3.28</v>
      </c>
      <c r="AD1130">
        <v>98</v>
      </c>
      <c r="AE1130">
        <v>77000</v>
      </c>
      <c r="AF1130" t="str">
        <f>IF(Table1[[#This Row],[What is your current CGPA?]]&gt;=3.5,"High",IF(Table1[[#This Row],[What is your current CGPA?]]&gt;=2.5,"Medium","Low"))</f>
        <v>Medium</v>
      </c>
      <c r="AG1130" t="str">
        <f>IF(AND(Table1[[#This Row],[Average attendance on class]]&lt;75,Table1[[#This Row],[How many hour do you study daily?]]&lt;1),"At Risk","Normal")</f>
        <v>Normal</v>
      </c>
      <c r="AH1130">
        <f>(Table1[[#This Row],[Average attendance on class]]*0.4)+(Table1[[#This Row],[How many hour do you study daily?]]*10*0.3)+(Table1[[#This Row],[How many hour do you spent daily on your skill development?]]*10*0.3)</f>
        <v>52.4</v>
      </c>
    </row>
    <row r="1131" spans="1:34" x14ac:dyDescent="0.25">
      <c r="A1131">
        <v>2019</v>
      </c>
      <c r="B1131" t="s">
        <v>34</v>
      </c>
      <c r="C1131">
        <v>23</v>
      </c>
      <c r="D1131">
        <v>2019</v>
      </c>
      <c r="E1131" t="s">
        <v>35</v>
      </c>
      <c r="F1131">
        <v>11</v>
      </c>
      <c r="G1131" t="s">
        <v>36</v>
      </c>
      <c r="H1131" t="s">
        <v>36</v>
      </c>
      <c r="I1131">
        <v>5</v>
      </c>
      <c r="J1131">
        <v>3</v>
      </c>
      <c r="K1131" t="s">
        <v>38</v>
      </c>
      <c r="L1131" t="s">
        <v>36</v>
      </c>
      <c r="M1131" t="s">
        <v>36</v>
      </c>
      <c r="N1131">
        <v>5</v>
      </c>
      <c r="O1131" t="s">
        <v>39</v>
      </c>
      <c r="P1131">
        <v>100</v>
      </c>
      <c r="Q1131" t="s">
        <v>37</v>
      </c>
      <c r="R1131" t="s">
        <v>37</v>
      </c>
      <c r="S1131" t="s">
        <v>36</v>
      </c>
      <c r="T1131" t="s">
        <v>52</v>
      </c>
      <c r="U1131">
        <v>2</v>
      </c>
      <c r="V1131" t="s">
        <v>40</v>
      </c>
      <c r="W1131" t="s">
        <v>42</v>
      </c>
      <c r="X1131" t="s">
        <v>36</v>
      </c>
      <c r="Y1131" t="s">
        <v>47</v>
      </c>
      <c r="Z1131" t="s">
        <v>37</v>
      </c>
      <c r="AA1131">
        <v>2.66</v>
      </c>
      <c r="AB1131" t="s">
        <v>37</v>
      </c>
      <c r="AC1131">
        <v>3.85</v>
      </c>
      <c r="AD1131">
        <v>145</v>
      </c>
      <c r="AE1131">
        <v>77000</v>
      </c>
      <c r="AF1131" t="str">
        <f>IF(Table1[[#This Row],[What is your current CGPA?]]&gt;=3.5,"High",IF(Table1[[#This Row],[What is your current CGPA?]]&gt;=2.5,"Medium","Low"))</f>
        <v>High</v>
      </c>
      <c r="AG1131" t="str">
        <f>IF(AND(Table1[[#This Row],[Average attendance on class]]&lt;75,Table1[[#This Row],[How many hour do you study daily?]]&lt;1),"At Risk","Normal")</f>
        <v>Normal</v>
      </c>
      <c r="AH1131">
        <f>(Table1[[#This Row],[Average attendance on class]]*0.4)+(Table1[[#This Row],[How many hour do you study daily?]]*10*0.3)+(Table1[[#This Row],[How many hour do you spent daily on your skill development?]]*10*0.3)</f>
        <v>61</v>
      </c>
    </row>
    <row r="1132" spans="1:34" x14ac:dyDescent="0.25">
      <c r="A1132">
        <v>2020</v>
      </c>
      <c r="B1132" t="s">
        <v>48</v>
      </c>
      <c r="C1132">
        <v>20</v>
      </c>
      <c r="D1132">
        <v>2020</v>
      </c>
      <c r="E1132" t="s">
        <v>35</v>
      </c>
      <c r="F1132">
        <v>11</v>
      </c>
      <c r="G1132" t="s">
        <v>37</v>
      </c>
      <c r="H1132" t="s">
        <v>36</v>
      </c>
      <c r="I1132">
        <v>3</v>
      </c>
      <c r="J1132">
        <v>3</v>
      </c>
      <c r="K1132" t="s">
        <v>44</v>
      </c>
      <c r="L1132" t="s">
        <v>36</v>
      </c>
      <c r="M1132" t="s">
        <v>37</v>
      </c>
      <c r="N1132">
        <v>3</v>
      </c>
      <c r="O1132" t="s">
        <v>39</v>
      </c>
      <c r="P1132">
        <v>100</v>
      </c>
      <c r="Q1132" t="s">
        <v>37</v>
      </c>
      <c r="R1132" t="s">
        <v>37</v>
      </c>
      <c r="S1132" t="s">
        <v>36</v>
      </c>
      <c r="T1132" t="s">
        <v>40</v>
      </c>
      <c r="U1132">
        <v>4</v>
      </c>
      <c r="V1132" t="s">
        <v>40</v>
      </c>
      <c r="W1132" t="s">
        <v>42</v>
      </c>
      <c r="X1132" t="s">
        <v>36</v>
      </c>
      <c r="Y1132" t="s">
        <v>47</v>
      </c>
      <c r="Z1132" t="s">
        <v>37</v>
      </c>
      <c r="AA1132">
        <v>2.87</v>
      </c>
      <c r="AB1132" t="s">
        <v>37</v>
      </c>
      <c r="AC1132">
        <v>3.9</v>
      </c>
      <c r="AD1132">
        <v>143</v>
      </c>
      <c r="AE1132">
        <v>77000</v>
      </c>
      <c r="AF1132" t="str">
        <f>IF(Table1[[#This Row],[What is your current CGPA?]]&gt;=3.5,"High",IF(Table1[[#This Row],[What is your current CGPA?]]&gt;=2.5,"Medium","Low"))</f>
        <v>High</v>
      </c>
      <c r="AG1132" t="str">
        <f>IF(AND(Table1[[#This Row],[Average attendance on class]]&lt;75,Table1[[#This Row],[How many hour do you study daily?]]&lt;1),"At Risk","Normal")</f>
        <v>Normal</v>
      </c>
      <c r="AH1132">
        <f>(Table1[[#This Row],[Average attendance on class]]*0.4)+(Table1[[#This Row],[How many hour do you study daily?]]*10*0.3)+(Table1[[#This Row],[How many hour do you spent daily on your skill development?]]*10*0.3)</f>
        <v>61</v>
      </c>
    </row>
    <row r="1133" spans="1:34" x14ac:dyDescent="0.25">
      <c r="A1133">
        <v>2022</v>
      </c>
      <c r="B1133" t="s">
        <v>48</v>
      </c>
      <c r="C1133">
        <v>20</v>
      </c>
      <c r="D1133">
        <v>2021</v>
      </c>
      <c r="E1133" t="s">
        <v>35</v>
      </c>
      <c r="F1133">
        <v>7</v>
      </c>
      <c r="G1133" t="s">
        <v>37</v>
      </c>
      <c r="H1133" t="s">
        <v>36</v>
      </c>
      <c r="I1133">
        <v>2</v>
      </c>
      <c r="J1133">
        <v>2</v>
      </c>
      <c r="K1133" t="s">
        <v>44</v>
      </c>
      <c r="L1133" t="s">
        <v>36</v>
      </c>
      <c r="M1133" t="s">
        <v>36</v>
      </c>
      <c r="N1133">
        <v>3</v>
      </c>
      <c r="O1133" t="s">
        <v>39</v>
      </c>
      <c r="P1133">
        <v>67</v>
      </c>
      <c r="Q1133" t="s">
        <v>37</v>
      </c>
      <c r="R1133" t="s">
        <v>37</v>
      </c>
      <c r="S1133" t="s">
        <v>36</v>
      </c>
      <c r="T1133" t="s">
        <v>51</v>
      </c>
      <c r="U1133">
        <v>3</v>
      </c>
      <c r="V1133" t="s">
        <v>59</v>
      </c>
      <c r="W1133" t="s">
        <v>50</v>
      </c>
      <c r="X1133" t="s">
        <v>36</v>
      </c>
      <c r="Y1133" t="s">
        <v>43</v>
      </c>
      <c r="Z1133" t="s">
        <v>36</v>
      </c>
      <c r="AA1133">
        <v>2.65</v>
      </c>
      <c r="AB1133" t="s">
        <v>37</v>
      </c>
      <c r="AC1133">
        <v>3.75</v>
      </c>
      <c r="AD1133">
        <v>95</v>
      </c>
      <c r="AE1133">
        <v>77000</v>
      </c>
      <c r="AF1133" t="str">
        <f>IF(Table1[[#This Row],[What is your current CGPA?]]&gt;=3.5,"High",IF(Table1[[#This Row],[What is your current CGPA?]]&gt;=2.5,"Medium","Low"))</f>
        <v>High</v>
      </c>
      <c r="AG1133" t="str">
        <f>IF(AND(Table1[[#This Row],[Average attendance on class]]&lt;75,Table1[[#This Row],[How many hour do you study daily?]]&lt;1),"At Risk","Normal")</f>
        <v>Normal</v>
      </c>
      <c r="AH1133">
        <f>(Table1[[#This Row],[Average attendance on class]]*0.4)+(Table1[[#This Row],[How many hour do you study daily?]]*10*0.3)+(Table1[[#This Row],[How many hour do you spent daily on your skill development?]]*10*0.3)</f>
        <v>41.8</v>
      </c>
    </row>
    <row r="1134" spans="1:34" x14ac:dyDescent="0.25">
      <c r="A1134">
        <v>2021</v>
      </c>
      <c r="B1134" t="s">
        <v>48</v>
      </c>
      <c r="C1134">
        <v>22</v>
      </c>
      <c r="D1134">
        <v>2021</v>
      </c>
      <c r="E1134" t="s">
        <v>35</v>
      </c>
      <c r="F1134">
        <v>10</v>
      </c>
      <c r="G1134" t="s">
        <v>37</v>
      </c>
      <c r="H1134" t="s">
        <v>36</v>
      </c>
      <c r="I1134">
        <v>2</v>
      </c>
      <c r="J1134">
        <v>3</v>
      </c>
      <c r="K1134" t="s">
        <v>44</v>
      </c>
      <c r="L1134" t="s">
        <v>36</v>
      </c>
      <c r="M1134" t="s">
        <v>37</v>
      </c>
      <c r="N1134">
        <v>1</v>
      </c>
      <c r="O1134" t="s">
        <v>39</v>
      </c>
      <c r="P1134">
        <v>100</v>
      </c>
      <c r="Q1134" t="s">
        <v>37</v>
      </c>
      <c r="R1134" t="s">
        <v>37</v>
      </c>
      <c r="S1134" t="s">
        <v>37</v>
      </c>
      <c r="T1134" t="s">
        <v>40</v>
      </c>
      <c r="U1134">
        <v>2</v>
      </c>
      <c r="V1134" t="s">
        <v>40</v>
      </c>
      <c r="W1134" t="s">
        <v>50</v>
      </c>
      <c r="X1134" t="s">
        <v>36</v>
      </c>
      <c r="Y1134" t="s">
        <v>47</v>
      </c>
      <c r="Z1134" t="s">
        <v>37</v>
      </c>
      <c r="AA1134">
        <v>1.38</v>
      </c>
      <c r="AB1134" t="s">
        <v>37</v>
      </c>
      <c r="AC1134">
        <v>2.5099999999999998</v>
      </c>
      <c r="AD1134">
        <v>134</v>
      </c>
      <c r="AE1134">
        <v>77000</v>
      </c>
      <c r="AF1134" t="str">
        <f>IF(Table1[[#This Row],[What is your current CGPA?]]&gt;=3.5,"High",IF(Table1[[#This Row],[What is your current CGPA?]]&gt;=2.5,"Medium","Low"))</f>
        <v>Medium</v>
      </c>
      <c r="AG1134" t="str">
        <f>IF(AND(Table1[[#This Row],[Average attendance on class]]&lt;75,Table1[[#This Row],[How many hour do you study daily?]]&lt;1),"At Risk","Normal")</f>
        <v>Normal</v>
      </c>
      <c r="AH1134">
        <f>(Table1[[#This Row],[Average attendance on class]]*0.4)+(Table1[[#This Row],[How many hour do you study daily?]]*10*0.3)+(Table1[[#This Row],[How many hour do you spent daily on your skill development?]]*10*0.3)</f>
        <v>52</v>
      </c>
    </row>
    <row r="1135" spans="1:34" x14ac:dyDescent="0.25">
      <c r="A1135">
        <v>2019</v>
      </c>
      <c r="B1135" t="s">
        <v>34</v>
      </c>
      <c r="C1135">
        <v>25</v>
      </c>
      <c r="D1135">
        <v>2018</v>
      </c>
      <c r="E1135" t="s">
        <v>35</v>
      </c>
      <c r="F1135">
        <v>11</v>
      </c>
      <c r="G1135" t="s">
        <v>36</v>
      </c>
      <c r="H1135" t="s">
        <v>36</v>
      </c>
      <c r="I1135">
        <v>5</v>
      </c>
      <c r="J1135">
        <v>3</v>
      </c>
      <c r="K1135" t="s">
        <v>44</v>
      </c>
      <c r="L1135" t="s">
        <v>36</v>
      </c>
      <c r="M1135" t="s">
        <v>37</v>
      </c>
      <c r="N1135">
        <v>12</v>
      </c>
      <c r="O1135" t="s">
        <v>39</v>
      </c>
      <c r="P1135">
        <v>100</v>
      </c>
      <c r="Q1135" t="s">
        <v>37</v>
      </c>
      <c r="R1135" t="s">
        <v>37</v>
      </c>
      <c r="S1135" t="s">
        <v>36</v>
      </c>
      <c r="T1135" t="s">
        <v>52</v>
      </c>
      <c r="U1135">
        <v>2</v>
      </c>
      <c r="V1135" t="s">
        <v>62</v>
      </c>
      <c r="W1135" t="s">
        <v>56</v>
      </c>
      <c r="X1135" t="s">
        <v>37</v>
      </c>
      <c r="Y1135" t="s">
        <v>47</v>
      </c>
      <c r="Z1135" t="s">
        <v>37</v>
      </c>
      <c r="AA1135">
        <v>2.19</v>
      </c>
      <c r="AB1135" t="s">
        <v>37</v>
      </c>
      <c r="AC1135">
        <v>3.45</v>
      </c>
      <c r="AD1135">
        <v>103</v>
      </c>
      <c r="AE1135">
        <v>78000</v>
      </c>
      <c r="AF1135" t="str">
        <f>IF(Table1[[#This Row],[What is your current CGPA?]]&gt;=3.5,"High",IF(Table1[[#This Row],[What is your current CGPA?]]&gt;=2.5,"Medium","Low"))</f>
        <v>Medium</v>
      </c>
      <c r="AG1135" t="str">
        <f>IF(AND(Table1[[#This Row],[Average attendance on class]]&lt;75,Table1[[#This Row],[How many hour do you study daily?]]&lt;1),"At Risk","Normal")</f>
        <v>Normal</v>
      </c>
      <c r="AH1135">
        <f>(Table1[[#This Row],[Average attendance on class]]*0.4)+(Table1[[#This Row],[How many hour do you study daily?]]*10*0.3)+(Table1[[#This Row],[How many hour do you spent daily on your skill development?]]*10*0.3)</f>
        <v>61</v>
      </c>
    </row>
    <row r="1136" spans="1:34" x14ac:dyDescent="0.25">
      <c r="A1136">
        <v>2020</v>
      </c>
      <c r="B1136" t="s">
        <v>48</v>
      </c>
      <c r="C1136">
        <v>20</v>
      </c>
      <c r="D1136">
        <v>2019</v>
      </c>
      <c r="E1136" t="s">
        <v>35</v>
      </c>
      <c r="F1136">
        <v>8</v>
      </c>
      <c r="G1136" t="s">
        <v>37</v>
      </c>
      <c r="H1136" t="s">
        <v>36</v>
      </c>
      <c r="I1136">
        <v>3</v>
      </c>
      <c r="J1136">
        <v>1</v>
      </c>
      <c r="K1136" t="s">
        <v>38</v>
      </c>
      <c r="L1136" t="s">
        <v>36</v>
      </c>
      <c r="M1136" t="s">
        <v>37</v>
      </c>
      <c r="N1136">
        <v>6</v>
      </c>
      <c r="O1136" t="s">
        <v>39</v>
      </c>
      <c r="P1136">
        <v>80</v>
      </c>
      <c r="Q1136" t="s">
        <v>37</v>
      </c>
      <c r="R1136" t="s">
        <v>37</v>
      </c>
      <c r="S1136" t="s">
        <v>37</v>
      </c>
      <c r="T1136" t="s">
        <v>40</v>
      </c>
      <c r="U1136">
        <v>3</v>
      </c>
      <c r="V1136" t="s">
        <v>41</v>
      </c>
      <c r="W1136" t="s">
        <v>42</v>
      </c>
      <c r="X1136" t="s">
        <v>37</v>
      </c>
      <c r="Y1136" t="s">
        <v>47</v>
      </c>
      <c r="Z1136" t="s">
        <v>37</v>
      </c>
      <c r="AA1136">
        <v>2.11</v>
      </c>
      <c r="AB1136" t="s">
        <v>37</v>
      </c>
      <c r="AC1136">
        <v>3.46</v>
      </c>
      <c r="AD1136">
        <v>101</v>
      </c>
      <c r="AE1136">
        <v>78000</v>
      </c>
      <c r="AF1136" t="str">
        <f>IF(Table1[[#This Row],[What is your current CGPA?]]&gt;=3.5,"High",IF(Table1[[#This Row],[What is your current CGPA?]]&gt;=2.5,"Medium","Low"))</f>
        <v>Medium</v>
      </c>
      <c r="AG1136" t="str">
        <f>IF(AND(Table1[[#This Row],[Average attendance on class]]&lt;75,Table1[[#This Row],[How many hour do you study daily?]]&lt;1),"At Risk","Normal")</f>
        <v>Normal</v>
      </c>
      <c r="AH1136">
        <f>(Table1[[#This Row],[Average attendance on class]]*0.4)+(Table1[[#This Row],[How many hour do you study daily?]]*10*0.3)+(Table1[[#This Row],[How many hour do you spent daily on your skill development?]]*10*0.3)</f>
        <v>50</v>
      </c>
    </row>
    <row r="1137" spans="1:34" x14ac:dyDescent="0.25">
      <c r="A1137">
        <v>2020</v>
      </c>
      <c r="B1137" t="s">
        <v>48</v>
      </c>
      <c r="C1137">
        <v>25</v>
      </c>
      <c r="D1137">
        <v>2019</v>
      </c>
      <c r="E1137" t="s">
        <v>35</v>
      </c>
      <c r="F1137">
        <v>11</v>
      </c>
      <c r="G1137" t="s">
        <v>37</v>
      </c>
      <c r="H1137" t="s">
        <v>36</v>
      </c>
      <c r="I1137">
        <v>1</v>
      </c>
      <c r="J1137">
        <v>2</v>
      </c>
      <c r="K1137" t="s">
        <v>38</v>
      </c>
      <c r="L1137" t="s">
        <v>36</v>
      </c>
      <c r="M1137" t="s">
        <v>36</v>
      </c>
      <c r="N1137">
        <v>2</v>
      </c>
      <c r="O1137" t="s">
        <v>45</v>
      </c>
      <c r="P1137">
        <v>67</v>
      </c>
      <c r="Q1137" t="s">
        <v>36</v>
      </c>
      <c r="R1137" t="s">
        <v>37</v>
      </c>
      <c r="S1137" t="s">
        <v>37</v>
      </c>
      <c r="T1137" t="s">
        <v>52</v>
      </c>
      <c r="U1137">
        <v>4</v>
      </c>
      <c r="V1137" t="s">
        <v>41</v>
      </c>
      <c r="W1137" t="s">
        <v>56</v>
      </c>
      <c r="X1137" t="s">
        <v>36</v>
      </c>
      <c r="Y1137" t="s">
        <v>47</v>
      </c>
      <c r="Z1137" t="s">
        <v>37</v>
      </c>
      <c r="AA1137">
        <v>1.78</v>
      </c>
      <c r="AB1137" t="s">
        <v>37</v>
      </c>
      <c r="AC1137">
        <v>2.8</v>
      </c>
      <c r="AD1137">
        <v>143</v>
      </c>
      <c r="AE1137">
        <v>78000</v>
      </c>
      <c r="AF1137" t="str">
        <f>IF(Table1[[#This Row],[What is your current CGPA?]]&gt;=3.5,"High",IF(Table1[[#This Row],[What is your current CGPA?]]&gt;=2.5,"Medium","Low"))</f>
        <v>Medium</v>
      </c>
      <c r="AG1137" t="str">
        <f>IF(AND(Table1[[#This Row],[Average attendance on class]]&lt;75,Table1[[#This Row],[How many hour do you study daily?]]&lt;1),"At Risk","Normal")</f>
        <v>Normal</v>
      </c>
      <c r="AH1137">
        <f>(Table1[[#This Row],[Average attendance on class]]*0.4)+(Table1[[#This Row],[How many hour do you study daily?]]*10*0.3)+(Table1[[#This Row],[How many hour do you spent daily on your skill development?]]*10*0.3)</f>
        <v>41.8</v>
      </c>
    </row>
    <row r="1138" spans="1:34" x14ac:dyDescent="0.25">
      <c r="A1138">
        <v>2021</v>
      </c>
      <c r="B1138" t="s">
        <v>48</v>
      </c>
      <c r="C1138">
        <v>19</v>
      </c>
      <c r="D1138">
        <v>2021</v>
      </c>
      <c r="E1138" t="s">
        <v>35</v>
      </c>
      <c r="F1138">
        <v>7</v>
      </c>
      <c r="G1138" t="s">
        <v>37</v>
      </c>
      <c r="H1138" t="s">
        <v>36</v>
      </c>
      <c r="I1138">
        <v>3</v>
      </c>
      <c r="J1138">
        <v>2</v>
      </c>
      <c r="K1138" t="s">
        <v>38</v>
      </c>
      <c r="L1138" t="s">
        <v>36</v>
      </c>
      <c r="M1138" t="s">
        <v>36</v>
      </c>
      <c r="N1138">
        <v>5</v>
      </c>
      <c r="O1138" t="s">
        <v>39</v>
      </c>
      <c r="P1138">
        <v>100</v>
      </c>
      <c r="Q1138" t="s">
        <v>37</v>
      </c>
      <c r="R1138" t="s">
        <v>37</v>
      </c>
      <c r="S1138" t="s">
        <v>37</v>
      </c>
      <c r="T1138" t="s">
        <v>49</v>
      </c>
      <c r="U1138">
        <v>2</v>
      </c>
      <c r="V1138" t="s">
        <v>59</v>
      </c>
      <c r="W1138" t="s">
        <v>42</v>
      </c>
      <c r="X1138" t="s">
        <v>37</v>
      </c>
      <c r="Y1138" t="s">
        <v>43</v>
      </c>
      <c r="Z1138" t="s">
        <v>37</v>
      </c>
      <c r="AA1138">
        <v>2.4500000000000002</v>
      </c>
      <c r="AB1138" t="s">
        <v>37</v>
      </c>
      <c r="AC1138">
        <v>3.76</v>
      </c>
      <c r="AD1138">
        <v>100</v>
      </c>
      <c r="AE1138">
        <v>78000</v>
      </c>
      <c r="AF1138" t="str">
        <f>IF(Table1[[#This Row],[What is your current CGPA?]]&gt;=3.5,"High",IF(Table1[[#This Row],[What is your current CGPA?]]&gt;=2.5,"Medium","Low"))</f>
        <v>High</v>
      </c>
      <c r="AG1138" t="str">
        <f>IF(AND(Table1[[#This Row],[Average attendance on class]]&lt;75,Table1[[#This Row],[How many hour do you study daily?]]&lt;1),"At Risk","Normal")</f>
        <v>Normal</v>
      </c>
      <c r="AH1138">
        <f>(Table1[[#This Row],[Average attendance on class]]*0.4)+(Table1[[#This Row],[How many hour do you study daily?]]*10*0.3)+(Table1[[#This Row],[How many hour do you spent daily on your skill development?]]*10*0.3)</f>
        <v>55</v>
      </c>
    </row>
    <row r="1139" spans="1:34" x14ac:dyDescent="0.25">
      <c r="A1139">
        <v>2021</v>
      </c>
      <c r="B1139" t="s">
        <v>34</v>
      </c>
      <c r="C1139">
        <v>20</v>
      </c>
      <c r="D1139">
        <v>2020</v>
      </c>
      <c r="E1139" t="s">
        <v>35</v>
      </c>
      <c r="F1139">
        <v>10</v>
      </c>
      <c r="G1139" t="s">
        <v>37</v>
      </c>
      <c r="H1139" t="s">
        <v>36</v>
      </c>
      <c r="I1139">
        <v>2</v>
      </c>
      <c r="J1139">
        <v>3</v>
      </c>
      <c r="K1139" t="s">
        <v>38</v>
      </c>
      <c r="L1139" t="s">
        <v>36</v>
      </c>
      <c r="M1139" t="s">
        <v>36</v>
      </c>
      <c r="N1139">
        <v>2</v>
      </c>
      <c r="O1139" t="s">
        <v>39</v>
      </c>
      <c r="P1139">
        <v>100</v>
      </c>
      <c r="Q1139" t="s">
        <v>36</v>
      </c>
      <c r="R1139" t="s">
        <v>37</v>
      </c>
      <c r="S1139" t="s">
        <v>37</v>
      </c>
      <c r="T1139" t="s">
        <v>51</v>
      </c>
      <c r="U1139">
        <v>4</v>
      </c>
      <c r="V1139" t="s">
        <v>59</v>
      </c>
      <c r="W1139" t="s">
        <v>42</v>
      </c>
      <c r="X1139" t="s">
        <v>36</v>
      </c>
      <c r="Y1139" t="s">
        <v>47</v>
      </c>
      <c r="Z1139" t="s">
        <v>37</v>
      </c>
      <c r="AA1139">
        <v>2.67</v>
      </c>
      <c r="AB1139" t="s">
        <v>37</v>
      </c>
      <c r="AC1139">
        <v>3.7</v>
      </c>
      <c r="AD1139">
        <v>132</v>
      </c>
      <c r="AE1139">
        <v>79000</v>
      </c>
      <c r="AF1139" t="str">
        <f>IF(Table1[[#This Row],[What is your current CGPA?]]&gt;=3.5,"High",IF(Table1[[#This Row],[What is your current CGPA?]]&gt;=2.5,"Medium","Low"))</f>
        <v>High</v>
      </c>
      <c r="AG1139" t="str">
        <f>IF(AND(Table1[[#This Row],[Average attendance on class]]&lt;75,Table1[[#This Row],[How many hour do you study daily?]]&lt;1),"At Risk","Normal")</f>
        <v>Normal</v>
      </c>
      <c r="AH1139">
        <f>(Table1[[#This Row],[Average attendance on class]]*0.4)+(Table1[[#This Row],[How many hour do you study daily?]]*10*0.3)+(Table1[[#This Row],[How many hour do you spent daily on your skill development?]]*10*0.3)</f>
        <v>58</v>
      </c>
    </row>
    <row r="1140" spans="1:34" x14ac:dyDescent="0.25">
      <c r="A1140">
        <v>2021</v>
      </c>
      <c r="B1140" t="s">
        <v>34</v>
      </c>
      <c r="C1140">
        <v>21</v>
      </c>
      <c r="D1140">
        <v>2021</v>
      </c>
      <c r="E1140" t="s">
        <v>35</v>
      </c>
      <c r="F1140">
        <v>9</v>
      </c>
      <c r="G1140" t="s">
        <v>36</v>
      </c>
      <c r="H1140" t="s">
        <v>36</v>
      </c>
      <c r="I1140">
        <v>3</v>
      </c>
      <c r="J1140">
        <v>3</v>
      </c>
      <c r="K1140" t="s">
        <v>44</v>
      </c>
      <c r="L1140" t="s">
        <v>36</v>
      </c>
      <c r="M1140" t="s">
        <v>36</v>
      </c>
      <c r="N1140">
        <v>2</v>
      </c>
      <c r="O1140" t="s">
        <v>45</v>
      </c>
      <c r="P1140">
        <v>100</v>
      </c>
      <c r="Q1140" t="s">
        <v>36</v>
      </c>
      <c r="R1140" t="s">
        <v>37</v>
      </c>
      <c r="S1140" t="s">
        <v>36</v>
      </c>
      <c r="T1140" t="s">
        <v>40</v>
      </c>
      <c r="U1140">
        <v>2</v>
      </c>
      <c r="V1140" t="s">
        <v>41</v>
      </c>
      <c r="W1140" t="s">
        <v>50</v>
      </c>
      <c r="X1140" t="s">
        <v>36</v>
      </c>
      <c r="Y1140" t="s">
        <v>47</v>
      </c>
      <c r="Z1140" t="s">
        <v>37</v>
      </c>
      <c r="AA1140">
        <v>2.61</v>
      </c>
      <c r="AB1140" t="s">
        <v>37</v>
      </c>
      <c r="AC1140">
        <v>3.77</v>
      </c>
      <c r="AD1140">
        <v>123</v>
      </c>
      <c r="AE1140">
        <v>79000</v>
      </c>
      <c r="AF1140" t="str">
        <f>IF(Table1[[#This Row],[What is your current CGPA?]]&gt;=3.5,"High",IF(Table1[[#This Row],[What is your current CGPA?]]&gt;=2.5,"Medium","Low"))</f>
        <v>High</v>
      </c>
      <c r="AG1140" t="str">
        <f>IF(AND(Table1[[#This Row],[Average attendance on class]]&lt;75,Table1[[#This Row],[How many hour do you study daily?]]&lt;1),"At Risk","Normal")</f>
        <v>Normal</v>
      </c>
      <c r="AH1140">
        <f>(Table1[[#This Row],[Average attendance on class]]*0.4)+(Table1[[#This Row],[How many hour do you study daily?]]*10*0.3)+(Table1[[#This Row],[How many hour do you spent daily on your skill development?]]*10*0.3)</f>
        <v>55</v>
      </c>
    </row>
    <row r="1141" spans="1:34" x14ac:dyDescent="0.25">
      <c r="A1141">
        <v>2020</v>
      </c>
      <c r="B1141" t="s">
        <v>48</v>
      </c>
      <c r="C1141">
        <v>25</v>
      </c>
      <c r="D1141">
        <v>2018</v>
      </c>
      <c r="E1141" t="s">
        <v>35</v>
      </c>
      <c r="F1141">
        <v>12</v>
      </c>
      <c r="G1141" t="s">
        <v>36</v>
      </c>
      <c r="H1141" t="s">
        <v>36</v>
      </c>
      <c r="I1141">
        <v>6</v>
      </c>
      <c r="J1141">
        <v>2</v>
      </c>
      <c r="K1141" t="s">
        <v>44</v>
      </c>
      <c r="L1141" t="s">
        <v>36</v>
      </c>
      <c r="M1141" t="s">
        <v>36</v>
      </c>
      <c r="N1141">
        <v>6</v>
      </c>
      <c r="O1141" t="s">
        <v>39</v>
      </c>
      <c r="P1141">
        <v>80</v>
      </c>
      <c r="Q1141" t="s">
        <v>37</v>
      </c>
      <c r="R1141" t="s">
        <v>37</v>
      </c>
      <c r="S1141" t="s">
        <v>36</v>
      </c>
      <c r="T1141" t="s">
        <v>40</v>
      </c>
      <c r="U1141">
        <v>3</v>
      </c>
      <c r="V1141" t="s">
        <v>40</v>
      </c>
      <c r="W1141" t="s">
        <v>56</v>
      </c>
      <c r="X1141" t="s">
        <v>37</v>
      </c>
      <c r="Y1141" t="s">
        <v>47</v>
      </c>
      <c r="Z1141" t="s">
        <v>37</v>
      </c>
      <c r="AA1141">
        <v>1.61</v>
      </c>
      <c r="AB1141" t="s">
        <v>37</v>
      </c>
      <c r="AC1141">
        <v>2.81</v>
      </c>
      <c r="AD1141">
        <v>133</v>
      </c>
      <c r="AE1141">
        <v>80000</v>
      </c>
      <c r="AF1141" t="str">
        <f>IF(Table1[[#This Row],[What is your current CGPA?]]&gt;=3.5,"High",IF(Table1[[#This Row],[What is your current CGPA?]]&gt;=2.5,"Medium","Low"))</f>
        <v>Medium</v>
      </c>
      <c r="AG1141" t="str">
        <f>IF(AND(Table1[[#This Row],[Average attendance on class]]&lt;75,Table1[[#This Row],[How many hour do you study daily?]]&lt;1),"At Risk","Normal")</f>
        <v>Normal</v>
      </c>
      <c r="AH1141">
        <f>(Table1[[#This Row],[Average attendance on class]]*0.4)+(Table1[[#This Row],[How many hour do you study daily?]]*10*0.3)+(Table1[[#This Row],[How many hour do you spent daily on your skill development?]]*10*0.3)</f>
        <v>59</v>
      </c>
    </row>
    <row r="1142" spans="1:34" x14ac:dyDescent="0.25">
      <c r="A1142">
        <v>2020</v>
      </c>
      <c r="B1142" t="s">
        <v>34</v>
      </c>
      <c r="C1142">
        <v>23</v>
      </c>
      <c r="D1142">
        <v>2019</v>
      </c>
      <c r="E1142" t="s">
        <v>35</v>
      </c>
      <c r="F1142">
        <v>9</v>
      </c>
      <c r="G1142" t="s">
        <v>37</v>
      </c>
      <c r="H1142" t="s">
        <v>36</v>
      </c>
      <c r="I1142">
        <v>1</v>
      </c>
      <c r="J1142">
        <v>1</v>
      </c>
      <c r="K1142" t="s">
        <v>38</v>
      </c>
      <c r="L1142" t="s">
        <v>36</v>
      </c>
      <c r="M1142" t="s">
        <v>36</v>
      </c>
      <c r="N1142">
        <v>5</v>
      </c>
      <c r="O1142" t="s">
        <v>45</v>
      </c>
      <c r="P1142">
        <v>100</v>
      </c>
      <c r="Q1142" t="s">
        <v>37</v>
      </c>
      <c r="R1142" t="s">
        <v>37</v>
      </c>
      <c r="S1142" t="s">
        <v>36</v>
      </c>
      <c r="T1142" t="s">
        <v>51</v>
      </c>
      <c r="U1142">
        <v>1</v>
      </c>
      <c r="V1142" t="s">
        <v>59</v>
      </c>
      <c r="W1142" t="s">
        <v>56</v>
      </c>
      <c r="X1142" t="s">
        <v>37</v>
      </c>
      <c r="Y1142" t="s">
        <v>43</v>
      </c>
      <c r="Z1142" t="s">
        <v>37</v>
      </c>
      <c r="AA1142">
        <v>2.89</v>
      </c>
      <c r="AB1142" t="s">
        <v>37</v>
      </c>
      <c r="AC1142">
        <v>3.89</v>
      </c>
      <c r="AD1142">
        <v>102</v>
      </c>
      <c r="AE1142">
        <v>80000</v>
      </c>
      <c r="AF1142" t="str">
        <f>IF(Table1[[#This Row],[What is your current CGPA?]]&gt;=3.5,"High",IF(Table1[[#This Row],[What is your current CGPA?]]&gt;=2.5,"Medium","Low"))</f>
        <v>High</v>
      </c>
      <c r="AG1142" t="str">
        <f>IF(AND(Table1[[#This Row],[Average attendance on class]]&lt;75,Table1[[#This Row],[How many hour do you study daily?]]&lt;1),"At Risk","Normal")</f>
        <v>Normal</v>
      </c>
      <c r="AH1142">
        <f>(Table1[[#This Row],[Average attendance on class]]*0.4)+(Table1[[#This Row],[How many hour do you study daily?]]*10*0.3)+(Table1[[#This Row],[How many hour do you spent daily on your skill development?]]*10*0.3)</f>
        <v>46</v>
      </c>
    </row>
    <row r="1143" spans="1:34" x14ac:dyDescent="0.25">
      <c r="A1143">
        <v>2021</v>
      </c>
      <c r="B1143" t="s">
        <v>48</v>
      </c>
      <c r="C1143">
        <v>20</v>
      </c>
      <c r="D1143">
        <v>2020</v>
      </c>
      <c r="E1143" t="s">
        <v>35</v>
      </c>
      <c r="F1143">
        <v>9</v>
      </c>
      <c r="G1143" t="s">
        <v>37</v>
      </c>
      <c r="H1143" t="s">
        <v>36</v>
      </c>
      <c r="I1143">
        <v>2</v>
      </c>
      <c r="J1143">
        <v>2</v>
      </c>
      <c r="K1143" t="s">
        <v>38</v>
      </c>
      <c r="L1143" t="s">
        <v>36</v>
      </c>
      <c r="M1143" t="s">
        <v>36</v>
      </c>
      <c r="N1143">
        <v>3</v>
      </c>
      <c r="O1143" t="s">
        <v>45</v>
      </c>
      <c r="P1143">
        <v>100</v>
      </c>
      <c r="Q1143" t="s">
        <v>36</v>
      </c>
      <c r="R1143" t="s">
        <v>37</v>
      </c>
      <c r="S1143" t="s">
        <v>37</v>
      </c>
      <c r="T1143" t="s">
        <v>61</v>
      </c>
      <c r="U1143">
        <v>4</v>
      </c>
      <c r="V1143" t="s">
        <v>41</v>
      </c>
      <c r="W1143" t="s">
        <v>56</v>
      </c>
      <c r="X1143" t="s">
        <v>36</v>
      </c>
      <c r="Y1143" t="s">
        <v>47</v>
      </c>
      <c r="Z1143" t="s">
        <v>37</v>
      </c>
      <c r="AA1143">
        <v>1.68</v>
      </c>
      <c r="AB1143" t="s">
        <v>37</v>
      </c>
      <c r="AC1143">
        <v>2.71</v>
      </c>
      <c r="AD1143">
        <v>101</v>
      </c>
      <c r="AE1143">
        <v>80000</v>
      </c>
      <c r="AF1143" t="str">
        <f>IF(Table1[[#This Row],[What is your current CGPA?]]&gt;=3.5,"High",IF(Table1[[#This Row],[What is your current CGPA?]]&gt;=2.5,"Medium","Low"))</f>
        <v>Medium</v>
      </c>
      <c r="AG1143" t="str">
        <f>IF(AND(Table1[[#This Row],[Average attendance on class]]&lt;75,Table1[[#This Row],[How many hour do you study daily?]]&lt;1),"At Risk","Normal")</f>
        <v>Normal</v>
      </c>
      <c r="AH1143">
        <f>(Table1[[#This Row],[Average attendance on class]]*0.4)+(Table1[[#This Row],[How many hour do you study daily?]]*10*0.3)+(Table1[[#This Row],[How many hour do you spent daily on your skill development?]]*10*0.3)</f>
        <v>58</v>
      </c>
    </row>
    <row r="1144" spans="1:34" x14ac:dyDescent="0.25">
      <c r="A1144">
        <v>2020</v>
      </c>
      <c r="B1144" t="s">
        <v>34</v>
      </c>
      <c r="C1144">
        <v>20</v>
      </c>
      <c r="D1144">
        <v>2020</v>
      </c>
      <c r="E1144" t="s">
        <v>35</v>
      </c>
      <c r="F1144">
        <v>11</v>
      </c>
      <c r="G1144" t="s">
        <v>37</v>
      </c>
      <c r="H1144" t="s">
        <v>36</v>
      </c>
      <c r="I1144">
        <v>1</v>
      </c>
      <c r="J1144">
        <v>1</v>
      </c>
      <c r="K1144" t="s">
        <v>38</v>
      </c>
      <c r="L1144" t="s">
        <v>36</v>
      </c>
      <c r="M1144" t="s">
        <v>36</v>
      </c>
      <c r="N1144">
        <v>3</v>
      </c>
      <c r="O1144" t="s">
        <v>53</v>
      </c>
      <c r="P1144">
        <v>100</v>
      </c>
      <c r="Q1144" t="s">
        <v>37</v>
      </c>
      <c r="R1144" t="s">
        <v>37</v>
      </c>
      <c r="S1144" t="s">
        <v>36</v>
      </c>
      <c r="T1144" t="s">
        <v>61</v>
      </c>
      <c r="U1144">
        <v>2</v>
      </c>
      <c r="V1144" t="s">
        <v>41</v>
      </c>
      <c r="W1144" t="s">
        <v>50</v>
      </c>
      <c r="X1144" t="s">
        <v>36</v>
      </c>
      <c r="Y1144" t="s">
        <v>43</v>
      </c>
      <c r="Z1144" t="s">
        <v>37</v>
      </c>
      <c r="AA1144">
        <v>1.63</v>
      </c>
      <c r="AB1144" t="s">
        <v>37</v>
      </c>
      <c r="AC1144">
        <v>2.7</v>
      </c>
      <c r="AD1144">
        <v>143</v>
      </c>
      <c r="AE1144">
        <v>80000</v>
      </c>
      <c r="AF1144" t="str">
        <f>IF(Table1[[#This Row],[What is your current CGPA?]]&gt;=3.5,"High",IF(Table1[[#This Row],[What is your current CGPA?]]&gt;=2.5,"Medium","Low"))</f>
        <v>Medium</v>
      </c>
      <c r="AG1144" t="str">
        <f>IF(AND(Table1[[#This Row],[Average attendance on class]]&lt;75,Table1[[#This Row],[How many hour do you study daily?]]&lt;1),"At Risk","Normal")</f>
        <v>Normal</v>
      </c>
      <c r="AH1144">
        <f>(Table1[[#This Row],[Average attendance on class]]*0.4)+(Table1[[#This Row],[How many hour do you study daily?]]*10*0.3)+(Table1[[#This Row],[How many hour do you spent daily on your skill development?]]*10*0.3)</f>
        <v>49</v>
      </c>
    </row>
    <row r="1145" spans="1:34" x14ac:dyDescent="0.25">
      <c r="A1145">
        <v>2021</v>
      </c>
      <c r="B1145" t="s">
        <v>34</v>
      </c>
      <c r="C1145">
        <v>20</v>
      </c>
      <c r="D1145">
        <v>2021</v>
      </c>
      <c r="E1145" t="s">
        <v>35</v>
      </c>
      <c r="F1145">
        <v>7</v>
      </c>
      <c r="G1145" t="s">
        <v>37</v>
      </c>
      <c r="H1145" t="s">
        <v>36</v>
      </c>
      <c r="I1145">
        <v>2</v>
      </c>
      <c r="J1145">
        <v>1</v>
      </c>
      <c r="K1145" t="s">
        <v>38</v>
      </c>
      <c r="L1145" t="s">
        <v>36</v>
      </c>
      <c r="M1145" t="s">
        <v>36</v>
      </c>
      <c r="N1145">
        <v>2</v>
      </c>
      <c r="O1145" t="s">
        <v>53</v>
      </c>
      <c r="P1145">
        <v>95</v>
      </c>
      <c r="Q1145" t="s">
        <v>37</v>
      </c>
      <c r="R1145" t="s">
        <v>37</v>
      </c>
      <c r="S1145" t="s">
        <v>36</v>
      </c>
      <c r="T1145" t="s">
        <v>52</v>
      </c>
      <c r="U1145">
        <v>3</v>
      </c>
      <c r="V1145" t="s">
        <v>40</v>
      </c>
      <c r="W1145" t="s">
        <v>50</v>
      </c>
      <c r="X1145" t="s">
        <v>37</v>
      </c>
      <c r="Y1145" t="s">
        <v>47</v>
      </c>
      <c r="Z1145" t="s">
        <v>37</v>
      </c>
      <c r="AA1145">
        <v>1.56</v>
      </c>
      <c r="AB1145" t="s">
        <v>37</v>
      </c>
      <c r="AC1145">
        <v>2.64</v>
      </c>
      <c r="AD1145">
        <v>97</v>
      </c>
      <c r="AE1145">
        <v>80000</v>
      </c>
      <c r="AF1145" t="str">
        <f>IF(Table1[[#This Row],[What is your current CGPA?]]&gt;=3.5,"High",IF(Table1[[#This Row],[What is your current CGPA?]]&gt;=2.5,"Medium","Low"))</f>
        <v>Medium</v>
      </c>
      <c r="AG1145" t="str">
        <f>IF(AND(Table1[[#This Row],[Average attendance on class]]&lt;75,Table1[[#This Row],[How many hour do you study daily?]]&lt;1),"At Risk","Normal")</f>
        <v>Normal</v>
      </c>
      <c r="AH1145">
        <f>(Table1[[#This Row],[Average attendance on class]]*0.4)+(Table1[[#This Row],[How many hour do you study daily?]]*10*0.3)+(Table1[[#This Row],[How many hour do you spent daily on your skill development?]]*10*0.3)</f>
        <v>53</v>
      </c>
    </row>
    <row r="1146" spans="1:34" x14ac:dyDescent="0.25">
      <c r="A1146">
        <v>2020</v>
      </c>
      <c r="B1146" t="s">
        <v>34</v>
      </c>
      <c r="C1146">
        <v>20</v>
      </c>
      <c r="D1146">
        <v>2020</v>
      </c>
      <c r="E1146" t="s">
        <v>35</v>
      </c>
      <c r="F1146">
        <v>11</v>
      </c>
      <c r="G1146" t="s">
        <v>37</v>
      </c>
      <c r="H1146" t="s">
        <v>36</v>
      </c>
      <c r="I1146">
        <v>4</v>
      </c>
      <c r="J1146">
        <v>1</v>
      </c>
      <c r="K1146" t="s">
        <v>38</v>
      </c>
      <c r="L1146" t="s">
        <v>36</v>
      </c>
      <c r="M1146" t="s">
        <v>36</v>
      </c>
      <c r="N1146">
        <v>2</v>
      </c>
      <c r="O1146" t="s">
        <v>39</v>
      </c>
      <c r="P1146">
        <v>100</v>
      </c>
      <c r="Q1146" t="s">
        <v>36</v>
      </c>
      <c r="R1146" t="s">
        <v>37</v>
      </c>
      <c r="S1146" t="s">
        <v>36</v>
      </c>
      <c r="T1146" t="s">
        <v>49</v>
      </c>
      <c r="U1146">
        <v>4</v>
      </c>
      <c r="V1146" t="s">
        <v>41</v>
      </c>
      <c r="W1146" t="s">
        <v>50</v>
      </c>
      <c r="X1146" t="s">
        <v>36</v>
      </c>
      <c r="Y1146" t="s">
        <v>43</v>
      </c>
      <c r="Z1146" t="s">
        <v>37</v>
      </c>
      <c r="AA1146">
        <v>2.75</v>
      </c>
      <c r="AB1146" t="s">
        <v>37</v>
      </c>
      <c r="AC1146">
        <v>3.8</v>
      </c>
      <c r="AD1146">
        <v>143</v>
      </c>
      <c r="AE1146">
        <v>81000</v>
      </c>
      <c r="AF1146" t="str">
        <f>IF(Table1[[#This Row],[What is your current CGPA?]]&gt;=3.5,"High",IF(Table1[[#This Row],[What is your current CGPA?]]&gt;=2.5,"Medium","Low"))</f>
        <v>High</v>
      </c>
      <c r="AG1146" t="str">
        <f>IF(AND(Table1[[#This Row],[Average attendance on class]]&lt;75,Table1[[#This Row],[How many hour do you study daily?]]&lt;1),"At Risk","Normal")</f>
        <v>Normal</v>
      </c>
      <c r="AH1146">
        <f>(Table1[[#This Row],[Average attendance on class]]*0.4)+(Table1[[#This Row],[How many hour do you study daily?]]*10*0.3)+(Table1[[#This Row],[How many hour do you spent daily on your skill development?]]*10*0.3)</f>
        <v>64</v>
      </c>
    </row>
    <row r="1147" spans="1:34" x14ac:dyDescent="0.25">
      <c r="A1147">
        <v>2020</v>
      </c>
      <c r="B1147" t="s">
        <v>34</v>
      </c>
      <c r="C1147">
        <v>22</v>
      </c>
      <c r="D1147">
        <v>2018</v>
      </c>
      <c r="E1147" t="s">
        <v>35</v>
      </c>
      <c r="F1147">
        <v>7</v>
      </c>
      <c r="G1147" t="s">
        <v>36</v>
      </c>
      <c r="H1147" t="s">
        <v>36</v>
      </c>
      <c r="I1147">
        <v>6</v>
      </c>
      <c r="J1147">
        <v>3</v>
      </c>
      <c r="K1147" t="s">
        <v>38</v>
      </c>
      <c r="L1147" t="s">
        <v>36</v>
      </c>
      <c r="M1147" t="s">
        <v>37</v>
      </c>
      <c r="N1147">
        <v>3</v>
      </c>
      <c r="O1147" t="s">
        <v>53</v>
      </c>
      <c r="P1147">
        <v>100</v>
      </c>
      <c r="Q1147" t="s">
        <v>37</v>
      </c>
      <c r="R1147" t="s">
        <v>37</v>
      </c>
      <c r="S1147" t="s">
        <v>37</v>
      </c>
      <c r="T1147" t="s">
        <v>40</v>
      </c>
      <c r="U1147">
        <v>3</v>
      </c>
      <c r="V1147" t="s">
        <v>40</v>
      </c>
      <c r="W1147" t="s">
        <v>42</v>
      </c>
      <c r="X1147" t="s">
        <v>37</v>
      </c>
      <c r="Y1147" t="s">
        <v>47</v>
      </c>
      <c r="Z1147" t="s">
        <v>37</v>
      </c>
      <c r="AA1147">
        <v>2.56</v>
      </c>
      <c r="AB1147" t="s">
        <v>37</v>
      </c>
      <c r="AC1147">
        <v>3.95</v>
      </c>
      <c r="AD1147">
        <v>115</v>
      </c>
      <c r="AE1147">
        <v>85000</v>
      </c>
      <c r="AF1147" t="str">
        <f>IF(Table1[[#This Row],[What is your current CGPA?]]&gt;=3.5,"High",IF(Table1[[#This Row],[What is your current CGPA?]]&gt;=2.5,"Medium","Low"))</f>
        <v>High</v>
      </c>
      <c r="AG1147" t="str">
        <f>IF(AND(Table1[[#This Row],[Average attendance on class]]&lt;75,Table1[[#This Row],[How many hour do you study daily?]]&lt;1),"At Risk","Normal")</f>
        <v>Normal</v>
      </c>
      <c r="AH1147">
        <f>(Table1[[#This Row],[Average attendance on class]]*0.4)+(Table1[[#This Row],[How many hour do you study daily?]]*10*0.3)+(Table1[[#This Row],[How many hour do you spent daily on your skill development?]]*10*0.3)</f>
        <v>67</v>
      </c>
    </row>
    <row r="1148" spans="1:34" x14ac:dyDescent="0.25">
      <c r="A1148">
        <v>2020</v>
      </c>
      <c r="B1148" t="s">
        <v>48</v>
      </c>
      <c r="C1148">
        <v>22</v>
      </c>
      <c r="D1148">
        <v>2020</v>
      </c>
      <c r="E1148" t="s">
        <v>35</v>
      </c>
      <c r="F1148">
        <v>11</v>
      </c>
      <c r="G1148" t="s">
        <v>37</v>
      </c>
      <c r="H1148" t="s">
        <v>36</v>
      </c>
      <c r="I1148">
        <v>2</v>
      </c>
      <c r="J1148">
        <v>3</v>
      </c>
      <c r="K1148" t="s">
        <v>38</v>
      </c>
      <c r="L1148" t="s">
        <v>36</v>
      </c>
      <c r="M1148" t="s">
        <v>36</v>
      </c>
      <c r="N1148">
        <v>1</v>
      </c>
      <c r="O1148" t="s">
        <v>39</v>
      </c>
      <c r="P1148">
        <v>100</v>
      </c>
      <c r="Q1148" t="s">
        <v>36</v>
      </c>
      <c r="R1148" t="s">
        <v>37</v>
      </c>
      <c r="S1148" t="s">
        <v>37</v>
      </c>
      <c r="T1148" t="s">
        <v>40</v>
      </c>
      <c r="U1148">
        <v>4</v>
      </c>
      <c r="V1148" t="s">
        <v>40</v>
      </c>
      <c r="W1148" t="s">
        <v>56</v>
      </c>
      <c r="X1148" t="s">
        <v>37</v>
      </c>
      <c r="Y1148" t="s">
        <v>47</v>
      </c>
      <c r="Z1148" t="s">
        <v>37</v>
      </c>
      <c r="AA1148">
        <v>2.56</v>
      </c>
      <c r="AB1148" t="s">
        <v>37</v>
      </c>
      <c r="AC1148">
        <v>3.66</v>
      </c>
      <c r="AD1148">
        <v>143</v>
      </c>
      <c r="AE1148">
        <v>86000</v>
      </c>
      <c r="AF1148" t="str">
        <f>IF(Table1[[#This Row],[What is your current CGPA?]]&gt;=3.5,"High",IF(Table1[[#This Row],[What is your current CGPA?]]&gt;=2.5,"Medium","Low"))</f>
        <v>High</v>
      </c>
      <c r="AG1148" t="str">
        <f>IF(AND(Table1[[#This Row],[Average attendance on class]]&lt;75,Table1[[#This Row],[How many hour do you study daily?]]&lt;1),"At Risk","Normal")</f>
        <v>Normal</v>
      </c>
      <c r="AH1148">
        <f>(Table1[[#This Row],[Average attendance on class]]*0.4)+(Table1[[#This Row],[How many hour do you study daily?]]*10*0.3)+(Table1[[#This Row],[How many hour do you spent daily on your skill development?]]*10*0.3)</f>
        <v>58</v>
      </c>
    </row>
    <row r="1149" spans="1:34" x14ac:dyDescent="0.25">
      <c r="A1149">
        <v>2019</v>
      </c>
      <c r="B1149" t="s">
        <v>34</v>
      </c>
      <c r="C1149">
        <v>24</v>
      </c>
      <c r="D1149">
        <v>2018</v>
      </c>
      <c r="E1149" t="s">
        <v>35</v>
      </c>
      <c r="F1149">
        <v>11</v>
      </c>
      <c r="G1149" t="s">
        <v>37</v>
      </c>
      <c r="H1149" t="s">
        <v>36</v>
      </c>
      <c r="I1149">
        <v>5</v>
      </c>
      <c r="J1149">
        <v>2</v>
      </c>
      <c r="K1149" t="s">
        <v>38</v>
      </c>
      <c r="L1149" t="s">
        <v>36</v>
      </c>
      <c r="M1149" t="s">
        <v>36</v>
      </c>
      <c r="N1149">
        <v>3</v>
      </c>
      <c r="O1149" t="s">
        <v>39</v>
      </c>
      <c r="P1149">
        <v>89</v>
      </c>
      <c r="Q1149" t="s">
        <v>36</v>
      </c>
      <c r="R1149" t="s">
        <v>37</v>
      </c>
      <c r="S1149" t="s">
        <v>37</v>
      </c>
      <c r="T1149" t="s">
        <v>51</v>
      </c>
      <c r="U1149">
        <v>4</v>
      </c>
      <c r="V1149" t="s">
        <v>59</v>
      </c>
      <c r="W1149" t="s">
        <v>42</v>
      </c>
      <c r="X1149" t="s">
        <v>36</v>
      </c>
      <c r="Y1149" t="s">
        <v>43</v>
      </c>
      <c r="Z1149" t="s">
        <v>37</v>
      </c>
      <c r="AA1149">
        <v>1.76</v>
      </c>
      <c r="AB1149" t="s">
        <v>37</v>
      </c>
      <c r="AC1149">
        <v>2.89</v>
      </c>
      <c r="AD1149">
        <v>143</v>
      </c>
      <c r="AE1149">
        <v>87000</v>
      </c>
      <c r="AF1149" t="str">
        <f>IF(Table1[[#This Row],[What is your current CGPA?]]&gt;=3.5,"High",IF(Table1[[#This Row],[What is your current CGPA?]]&gt;=2.5,"Medium","Low"))</f>
        <v>Medium</v>
      </c>
      <c r="AG1149" t="str">
        <f>IF(AND(Table1[[#This Row],[Average attendance on class]]&lt;75,Table1[[#This Row],[How many hour do you study daily?]]&lt;1),"At Risk","Normal")</f>
        <v>Normal</v>
      </c>
      <c r="AH1149">
        <f>(Table1[[#This Row],[Average attendance on class]]*0.4)+(Table1[[#This Row],[How many hour do you study daily?]]*10*0.3)+(Table1[[#This Row],[How many hour do you spent daily on your skill development?]]*10*0.3)</f>
        <v>62.6</v>
      </c>
    </row>
    <row r="1150" spans="1:34" x14ac:dyDescent="0.25">
      <c r="A1150">
        <v>2020</v>
      </c>
      <c r="B1150" t="s">
        <v>34</v>
      </c>
      <c r="C1150">
        <v>23</v>
      </c>
      <c r="D1150">
        <v>2019</v>
      </c>
      <c r="E1150" t="s">
        <v>35</v>
      </c>
      <c r="F1150">
        <v>10</v>
      </c>
      <c r="G1150" t="s">
        <v>37</v>
      </c>
      <c r="H1150" t="s">
        <v>36</v>
      </c>
      <c r="I1150">
        <v>2</v>
      </c>
      <c r="J1150">
        <v>2</v>
      </c>
      <c r="K1150" t="s">
        <v>38</v>
      </c>
      <c r="L1150" t="s">
        <v>36</v>
      </c>
      <c r="M1150" t="s">
        <v>36</v>
      </c>
      <c r="N1150">
        <v>3</v>
      </c>
      <c r="O1150" t="s">
        <v>39</v>
      </c>
      <c r="P1150">
        <v>79</v>
      </c>
      <c r="Q1150" t="s">
        <v>36</v>
      </c>
      <c r="R1150" t="s">
        <v>37</v>
      </c>
      <c r="S1150" t="s">
        <v>37</v>
      </c>
      <c r="T1150" t="s">
        <v>51</v>
      </c>
      <c r="U1150">
        <v>1</v>
      </c>
      <c r="V1150" t="s">
        <v>59</v>
      </c>
      <c r="W1150" t="s">
        <v>42</v>
      </c>
      <c r="X1150" t="s">
        <v>36</v>
      </c>
      <c r="Y1150" t="s">
        <v>43</v>
      </c>
      <c r="Z1150" t="s">
        <v>37</v>
      </c>
      <c r="AA1150">
        <v>2.87</v>
      </c>
      <c r="AB1150" t="s">
        <v>37</v>
      </c>
      <c r="AC1150">
        <v>3.91</v>
      </c>
      <c r="AD1150">
        <v>139</v>
      </c>
      <c r="AE1150">
        <v>88000</v>
      </c>
      <c r="AF1150" t="str">
        <f>IF(Table1[[#This Row],[What is your current CGPA?]]&gt;=3.5,"High",IF(Table1[[#This Row],[What is your current CGPA?]]&gt;=2.5,"Medium","Low"))</f>
        <v>High</v>
      </c>
      <c r="AG1150" t="str">
        <f>IF(AND(Table1[[#This Row],[Average attendance on class]]&lt;75,Table1[[#This Row],[How many hour do you study daily?]]&lt;1),"At Risk","Normal")</f>
        <v>Normal</v>
      </c>
      <c r="AH1150">
        <f>(Table1[[#This Row],[Average attendance on class]]*0.4)+(Table1[[#This Row],[How many hour do you study daily?]]*10*0.3)+(Table1[[#This Row],[How many hour do you spent daily on your skill development?]]*10*0.3)</f>
        <v>40.6</v>
      </c>
    </row>
    <row r="1151" spans="1:34" x14ac:dyDescent="0.25">
      <c r="A1151">
        <v>2022</v>
      </c>
      <c r="B1151" t="s">
        <v>34</v>
      </c>
      <c r="C1151">
        <v>20</v>
      </c>
      <c r="D1151">
        <v>2021</v>
      </c>
      <c r="E1151" t="s">
        <v>35</v>
      </c>
      <c r="F1151">
        <v>7</v>
      </c>
      <c r="G1151" t="s">
        <v>37</v>
      </c>
      <c r="H1151" t="s">
        <v>36</v>
      </c>
      <c r="I1151">
        <v>3</v>
      </c>
      <c r="J1151">
        <v>1</v>
      </c>
      <c r="K1151" t="s">
        <v>38</v>
      </c>
      <c r="L1151" t="s">
        <v>36</v>
      </c>
      <c r="M1151" t="s">
        <v>36</v>
      </c>
      <c r="N1151">
        <v>2</v>
      </c>
      <c r="O1151" t="s">
        <v>45</v>
      </c>
      <c r="P1151">
        <v>50</v>
      </c>
      <c r="Q1151" t="s">
        <v>37</v>
      </c>
      <c r="R1151" t="s">
        <v>37</v>
      </c>
      <c r="S1151" t="s">
        <v>37</v>
      </c>
      <c r="T1151" t="s">
        <v>49</v>
      </c>
      <c r="U1151">
        <v>4</v>
      </c>
      <c r="V1151" t="s">
        <v>41</v>
      </c>
      <c r="W1151" t="s">
        <v>50</v>
      </c>
      <c r="X1151" t="s">
        <v>36</v>
      </c>
      <c r="Y1151" t="s">
        <v>43</v>
      </c>
      <c r="Z1151" t="s">
        <v>37</v>
      </c>
      <c r="AA1151">
        <v>1.56</v>
      </c>
      <c r="AB1151" t="s">
        <v>37</v>
      </c>
      <c r="AC1151">
        <v>2.63</v>
      </c>
      <c r="AD1151">
        <v>88</v>
      </c>
      <c r="AE1151">
        <v>88000</v>
      </c>
      <c r="AF1151" t="str">
        <f>IF(Table1[[#This Row],[What is your current CGPA?]]&gt;=3.5,"High",IF(Table1[[#This Row],[What is your current CGPA?]]&gt;=2.5,"Medium","Low"))</f>
        <v>Medium</v>
      </c>
      <c r="AG1151" t="str">
        <f>IF(AND(Table1[[#This Row],[Average attendance on class]]&lt;75,Table1[[#This Row],[How many hour do you study daily?]]&lt;1),"At Risk","Normal")</f>
        <v>Normal</v>
      </c>
      <c r="AH1151">
        <f>(Table1[[#This Row],[Average attendance on class]]*0.4)+(Table1[[#This Row],[How many hour do you study daily?]]*10*0.3)+(Table1[[#This Row],[How many hour do you spent daily on your skill development?]]*10*0.3)</f>
        <v>41</v>
      </c>
    </row>
    <row r="1152" spans="1:34" x14ac:dyDescent="0.25">
      <c r="A1152">
        <v>2019</v>
      </c>
      <c r="B1152" t="s">
        <v>34</v>
      </c>
      <c r="C1152">
        <v>21</v>
      </c>
      <c r="D1152">
        <v>2018</v>
      </c>
      <c r="E1152" t="s">
        <v>35</v>
      </c>
      <c r="F1152">
        <v>11</v>
      </c>
      <c r="G1152" t="s">
        <v>36</v>
      </c>
      <c r="H1152" t="s">
        <v>36</v>
      </c>
      <c r="I1152">
        <v>2</v>
      </c>
      <c r="J1152">
        <v>1</v>
      </c>
      <c r="K1152" t="s">
        <v>38</v>
      </c>
      <c r="L1152" t="s">
        <v>36</v>
      </c>
      <c r="M1152" t="s">
        <v>36</v>
      </c>
      <c r="N1152">
        <v>4</v>
      </c>
      <c r="O1152" t="s">
        <v>39</v>
      </c>
      <c r="P1152">
        <v>100</v>
      </c>
      <c r="Q1152" t="s">
        <v>37</v>
      </c>
      <c r="R1152" t="s">
        <v>37</v>
      </c>
      <c r="S1152" t="s">
        <v>36</v>
      </c>
      <c r="T1152" t="s">
        <v>52</v>
      </c>
      <c r="U1152">
        <v>2</v>
      </c>
      <c r="V1152" t="s">
        <v>41</v>
      </c>
      <c r="W1152" t="s">
        <v>50</v>
      </c>
      <c r="X1152" t="s">
        <v>36</v>
      </c>
      <c r="Y1152" t="s">
        <v>43</v>
      </c>
      <c r="Z1152" t="s">
        <v>36</v>
      </c>
      <c r="AA1152">
        <v>2.57</v>
      </c>
      <c r="AB1152" t="s">
        <v>37</v>
      </c>
      <c r="AC1152">
        <v>3.88</v>
      </c>
      <c r="AD1152">
        <v>145</v>
      </c>
      <c r="AE1152">
        <v>89000</v>
      </c>
      <c r="AF1152" t="str">
        <f>IF(Table1[[#This Row],[What is your current CGPA?]]&gt;=3.5,"High",IF(Table1[[#This Row],[What is your current CGPA?]]&gt;=2.5,"Medium","Low"))</f>
        <v>High</v>
      </c>
      <c r="AG1152" t="str">
        <f>IF(AND(Table1[[#This Row],[Average attendance on class]]&lt;75,Table1[[#This Row],[How many hour do you study daily?]]&lt;1),"At Risk","Normal")</f>
        <v>Normal</v>
      </c>
      <c r="AH1152">
        <f>(Table1[[#This Row],[Average attendance on class]]*0.4)+(Table1[[#This Row],[How many hour do you study daily?]]*10*0.3)+(Table1[[#This Row],[How many hour do you spent daily on your skill development?]]*10*0.3)</f>
        <v>52</v>
      </c>
    </row>
    <row r="1153" spans="1:34" x14ac:dyDescent="0.25">
      <c r="A1153">
        <v>2019</v>
      </c>
      <c r="B1153" t="s">
        <v>34</v>
      </c>
      <c r="C1153">
        <v>25</v>
      </c>
      <c r="D1153">
        <v>2018</v>
      </c>
      <c r="E1153" t="s">
        <v>35</v>
      </c>
      <c r="F1153">
        <v>11</v>
      </c>
      <c r="G1153" t="s">
        <v>37</v>
      </c>
      <c r="H1153" t="s">
        <v>36</v>
      </c>
      <c r="I1153">
        <v>4</v>
      </c>
      <c r="J1153">
        <v>2</v>
      </c>
      <c r="K1153" t="s">
        <v>44</v>
      </c>
      <c r="L1153" t="s">
        <v>36</v>
      </c>
      <c r="M1153" t="s">
        <v>36</v>
      </c>
      <c r="N1153">
        <v>3</v>
      </c>
      <c r="O1153" t="s">
        <v>53</v>
      </c>
      <c r="P1153">
        <v>81</v>
      </c>
      <c r="Q1153" t="s">
        <v>37</v>
      </c>
      <c r="R1153" t="s">
        <v>37</v>
      </c>
      <c r="S1153" t="s">
        <v>37</v>
      </c>
      <c r="T1153" t="s">
        <v>49</v>
      </c>
      <c r="U1153">
        <v>2</v>
      </c>
      <c r="V1153" t="s">
        <v>41</v>
      </c>
      <c r="W1153" t="s">
        <v>42</v>
      </c>
      <c r="X1153" t="s">
        <v>36</v>
      </c>
      <c r="Y1153" t="s">
        <v>47</v>
      </c>
      <c r="Z1153" t="s">
        <v>37</v>
      </c>
      <c r="AA1153">
        <v>1.5</v>
      </c>
      <c r="AB1153" t="s">
        <v>37</v>
      </c>
      <c r="AC1153">
        <v>2.63</v>
      </c>
      <c r="AD1153">
        <v>143</v>
      </c>
      <c r="AE1153">
        <v>89000</v>
      </c>
      <c r="AF1153" t="str">
        <f>IF(Table1[[#This Row],[What is your current CGPA?]]&gt;=3.5,"High",IF(Table1[[#This Row],[What is your current CGPA?]]&gt;=2.5,"Medium","Low"))</f>
        <v>Medium</v>
      </c>
      <c r="AG1153" t="str">
        <f>IF(AND(Table1[[#This Row],[Average attendance on class]]&lt;75,Table1[[#This Row],[How many hour do you study daily?]]&lt;1),"At Risk","Normal")</f>
        <v>Normal</v>
      </c>
      <c r="AH1153">
        <f>(Table1[[#This Row],[Average attendance on class]]*0.4)+(Table1[[#This Row],[How many hour do you study daily?]]*10*0.3)+(Table1[[#This Row],[How many hour do you spent daily on your skill development?]]*10*0.3)</f>
        <v>50.4</v>
      </c>
    </row>
    <row r="1154" spans="1:34" x14ac:dyDescent="0.25">
      <c r="A1154">
        <v>2021</v>
      </c>
      <c r="B1154" t="s">
        <v>48</v>
      </c>
      <c r="C1154">
        <v>20</v>
      </c>
      <c r="D1154">
        <v>2020</v>
      </c>
      <c r="E1154" t="s">
        <v>35</v>
      </c>
      <c r="F1154">
        <v>10</v>
      </c>
      <c r="G1154" t="s">
        <v>37</v>
      </c>
      <c r="H1154" t="s">
        <v>36</v>
      </c>
      <c r="I1154">
        <v>3</v>
      </c>
      <c r="J1154">
        <v>3</v>
      </c>
      <c r="K1154" t="s">
        <v>38</v>
      </c>
      <c r="L1154" t="s">
        <v>36</v>
      </c>
      <c r="M1154" t="s">
        <v>36</v>
      </c>
      <c r="N1154">
        <v>1</v>
      </c>
      <c r="O1154" t="s">
        <v>39</v>
      </c>
      <c r="P1154">
        <v>100</v>
      </c>
      <c r="Q1154" t="s">
        <v>37</v>
      </c>
      <c r="R1154" t="s">
        <v>37</v>
      </c>
      <c r="S1154" t="s">
        <v>37</v>
      </c>
      <c r="T1154" t="s">
        <v>52</v>
      </c>
      <c r="U1154">
        <v>2</v>
      </c>
      <c r="V1154" t="s">
        <v>41</v>
      </c>
      <c r="W1154" t="s">
        <v>42</v>
      </c>
      <c r="X1154" t="s">
        <v>37</v>
      </c>
      <c r="Y1154" t="s">
        <v>43</v>
      </c>
      <c r="Z1154" t="s">
        <v>37</v>
      </c>
      <c r="AA1154">
        <v>2.5499999999999998</v>
      </c>
      <c r="AB1154" t="s">
        <v>37</v>
      </c>
      <c r="AC1154">
        <v>3.6</v>
      </c>
      <c r="AD1154">
        <v>135</v>
      </c>
      <c r="AE1154">
        <v>89000</v>
      </c>
      <c r="AF1154" t="str">
        <f>IF(Table1[[#This Row],[What is your current CGPA?]]&gt;=3.5,"High",IF(Table1[[#This Row],[What is your current CGPA?]]&gt;=2.5,"Medium","Low"))</f>
        <v>High</v>
      </c>
      <c r="AG1154" t="str">
        <f>IF(AND(Table1[[#This Row],[Average attendance on class]]&lt;75,Table1[[#This Row],[How many hour do you study daily?]]&lt;1),"At Risk","Normal")</f>
        <v>Normal</v>
      </c>
      <c r="AH1154">
        <f>(Table1[[#This Row],[Average attendance on class]]*0.4)+(Table1[[#This Row],[How many hour do you study daily?]]*10*0.3)+(Table1[[#This Row],[How many hour do you spent daily on your skill development?]]*10*0.3)</f>
        <v>55</v>
      </c>
    </row>
    <row r="1155" spans="1:34" x14ac:dyDescent="0.25">
      <c r="A1155">
        <v>2022</v>
      </c>
      <c r="B1155" t="s">
        <v>48</v>
      </c>
      <c r="C1155">
        <v>19</v>
      </c>
      <c r="D1155">
        <v>2021</v>
      </c>
      <c r="E1155" t="s">
        <v>35</v>
      </c>
      <c r="F1155">
        <v>4</v>
      </c>
      <c r="G1155" t="s">
        <v>36</v>
      </c>
      <c r="H1155" t="s">
        <v>36</v>
      </c>
      <c r="I1155">
        <v>5</v>
      </c>
      <c r="J1155">
        <v>2</v>
      </c>
      <c r="K1155" t="s">
        <v>38</v>
      </c>
      <c r="L1155" t="s">
        <v>36</v>
      </c>
      <c r="M1155" t="s">
        <v>36</v>
      </c>
      <c r="N1155">
        <v>4</v>
      </c>
      <c r="O1155" t="s">
        <v>53</v>
      </c>
      <c r="P1155">
        <v>100</v>
      </c>
      <c r="Q1155" t="s">
        <v>37</v>
      </c>
      <c r="R1155" t="s">
        <v>37</v>
      </c>
      <c r="S1155" t="s">
        <v>36</v>
      </c>
      <c r="T1155" t="s">
        <v>52</v>
      </c>
      <c r="U1155">
        <v>2</v>
      </c>
      <c r="V1155" t="s">
        <v>59</v>
      </c>
      <c r="W1155" t="s">
        <v>42</v>
      </c>
      <c r="X1155" t="s">
        <v>36</v>
      </c>
      <c r="Y1155" t="s">
        <v>47</v>
      </c>
      <c r="Z1155" t="s">
        <v>37</v>
      </c>
      <c r="AA1155">
        <v>2.56</v>
      </c>
      <c r="AB1155" t="s">
        <v>37</v>
      </c>
      <c r="AC1155">
        <v>3.89</v>
      </c>
      <c r="AD1155">
        <v>29</v>
      </c>
      <c r="AE1155">
        <v>89000</v>
      </c>
      <c r="AF1155" t="str">
        <f>IF(Table1[[#This Row],[What is your current CGPA?]]&gt;=3.5,"High",IF(Table1[[#This Row],[What is your current CGPA?]]&gt;=2.5,"Medium","Low"))</f>
        <v>High</v>
      </c>
      <c r="AG1155" t="str">
        <f>IF(AND(Table1[[#This Row],[Average attendance on class]]&lt;75,Table1[[#This Row],[How many hour do you study daily?]]&lt;1),"At Risk","Normal")</f>
        <v>Normal</v>
      </c>
      <c r="AH1155">
        <f>(Table1[[#This Row],[Average attendance on class]]*0.4)+(Table1[[#This Row],[How many hour do you study daily?]]*10*0.3)+(Table1[[#This Row],[How many hour do you spent daily on your skill development?]]*10*0.3)</f>
        <v>61</v>
      </c>
    </row>
    <row r="1156" spans="1:34" x14ac:dyDescent="0.25">
      <c r="A1156">
        <v>2019</v>
      </c>
      <c r="B1156" t="s">
        <v>34</v>
      </c>
      <c r="C1156">
        <v>24</v>
      </c>
      <c r="D1156">
        <v>2019</v>
      </c>
      <c r="E1156" t="s">
        <v>35</v>
      </c>
      <c r="F1156">
        <v>11</v>
      </c>
      <c r="G1156" t="s">
        <v>36</v>
      </c>
      <c r="H1156" t="s">
        <v>36</v>
      </c>
      <c r="I1156">
        <v>6</v>
      </c>
      <c r="J1156">
        <v>3</v>
      </c>
      <c r="K1156" t="s">
        <v>44</v>
      </c>
      <c r="L1156" t="s">
        <v>36</v>
      </c>
      <c r="M1156" t="s">
        <v>37</v>
      </c>
      <c r="N1156">
        <v>2</v>
      </c>
      <c r="O1156" t="s">
        <v>53</v>
      </c>
      <c r="P1156">
        <v>100</v>
      </c>
      <c r="Q1156" t="s">
        <v>37</v>
      </c>
      <c r="R1156" t="s">
        <v>37</v>
      </c>
      <c r="S1156" t="s">
        <v>36</v>
      </c>
      <c r="T1156" t="s">
        <v>49</v>
      </c>
      <c r="U1156">
        <v>1</v>
      </c>
      <c r="V1156" t="s">
        <v>59</v>
      </c>
      <c r="W1156" t="s">
        <v>42</v>
      </c>
      <c r="X1156" t="s">
        <v>36</v>
      </c>
      <c r="Y1156" t="s">
        <v>47</v>
      </c>
      <c r="Z1156" t="s">
        <v>37</v>
      </c>
      <c r="AA1156">
        <v>2.87</v>
      </c>
      <c r="AB1156" t="s">
        <v>37</v>
      </c>
      <c r="AC1156">
        <v>3.94</v>
      </c>
      <c r="AD1156">
        <v>143</v>
      </c>
      <c r="AE1156">
        <v>90000</v>
      </c>
      <c r="AF1156" t="str">
        <f>IF(Table1[[#This Row],[What is your current CGPA?]]&gt;=3.5,"High",IF(Table1[[#This Row],[What is your current CGPA?]]&gt;=2.5,"Medium","Low"))</f>
        <v>High</v>
      </c>
      <c r="AG1156" t="str">
        <f>IF(AND(Table1[[#This Row],[Average attendance on class]]&lt;75,Table1[[#This Row],[How many hour do you study daily?]]&lt;1),"At Risk","Normal")</f>
        <v>Normal</v>
      </c>
      <c r="AH1156">
        <f>(Table1[[#This Row],[Average attendance on class]]*0.4)+(Table1[[#This Row],[How many hour do you study daily?]]*10*0.3)+(Table1[[#This Row],[How many hour do you spent daily on your skill development?]]*10*0.3)</f>
        <v>61</v>
      </c>
    </row>
    <row r="1157" spans="1:34" x14ac:dyDescent="0.25">
      <c r="A1157">
        <v>2019</v>
      </c>
      <c r="B1157" t="s">
        <v>48</v>
      </c>
      <c r="C1157">
        <v>24</v>
      </c>
      <c r="D1157">
        <v>2019</v>
      </c>
      <c r="E1157" t="s">
        <v>35</v>
      </c>
      <c r="F1157">
        <v>11</v>
      </c>
      <c r="G1157" t="s">
        <v>37</v>
      </c>
      <c r="H1157" t="s">
        <v>37</v>
      </c>
      <c r="I1157">
        <v>1</v>
      </c>
      <c r="J1157">
        <v>2</v>
      </c>
      <c r="K1157" t="s">
        <v>38</v>
      </c>
      <c r="L1157" t="s">
        <v>36</v>
      </c>
      <c r="M1157" t="s">
        <v>37</v>
      </c>
      <c r="N1157">
        <v>5</v>
      </c>
      <c r="O1157" t="s">
        <v>53</v>
      </c>
      <c r="P1157">
        <v>100</v>
      </c>
      <c r="Q1157" t="s">
        <v>37</v>
      </c>
      <c r="R1157" t="s">
        <v>37</v>
      </c>
      <c r="S1157" t="s">
        <v>36</v>
      </c>
      <c r="T1157" t="s">
        <v>51</v>
      </c>
      <c r="U1157">
        <v>2</v>
      </c>
      <c r="V1157" t="s">
        <v>59</v>
      </c>
      <c r="W1157" t="s">
        <v>42</v>
      </c>
      <c r="X1157" t="s">
        <v>36</v>
      </c>
      <c r="Y1157" t="s">
        <v>43</v>
      </c>
      <c r="Z1157" t="s">
        <v>37</v>
      </c>
      <c r="AA1157">
        <v>2.48</v>
      </c>
      <c r="AB1157" t="s">
        <v>37</v>
      </c>
      <c r="AC1157">
        <v>3.78</v>
      </c>
      <c r="AD1157">
        <v>144</v>
      </c>
      <c r="AE1157">
        <v>90000</v>
      </c>
      <c r="AF1157" t="str">
        <f>IF(Table1[[#This Row],[What is your current CGPA?]]&gt;=3.5,"High",IF(Table1[[#This Row],[What is your current CGPA?]]&gt;=2.5,"Medium","Low"))</f>
        <v>High</v>
      </c>
      <c r="AG1157" t="str">
        <f>IF(AND(Table1[[#This Row],[Average attendance on class]]&lt;75,Table1[[#This Row],[How many hour do you study daily?]]&lt;1),"At Risk","Normal")</f>
        <v>Normal</v>
      </c>
      <c r="AH1157">
        <f>(Table1[[#This Row],[Average attendance on class]]*0.4)+(Table1[[#This Row],[How many hour do you study daily?]]*10*0.3)+(Table1[[#This Row],[How many hour do you spent daily on your skill development?]]*10*0.3)</f>
        <v>49</v>
      </c>
    </row>
    <row r="1158" spans="1:34" x14ac:dyDescent="0.25">
      <c r="A1158">
        <v>2021</v>
      </c>
      <c r="B1158" t="s">
        <v>34</v>
      </c>
      <c r="C1158">
        <v>24</v>
      </c>
      <c r="D1158">
        <v>2019</v>
      </c>
      <c r="E1158" t="s">
        <v>35</v>
      </c>
      <c r="F1158">
        <v>6</v>
      </c>
      <c r="G1158" t="s">
        <v>37</v>
      </c>
      <c r="H1158" t="s">
        <v>36</v>
      </c>
      <c r="I1158">
        <v>1</v>
      </c>
      <c r="J1158">
        <v>1</v>
      </c>
      <c r="K1158" t="s">
        <v>38</v>
      </c>
      <c r="L1158" t="s">
        <v>36</v>
      </c>
      <c r="M1158" t="s">
        <v>36</v>
      </c>
      <c r="N1158">
        <v>10</v>
      </c>
      <c r="O1158" t="s">
        <v>53</v>
      </c>
      <c r="P1158">
        <v>90</v>
      </c>
      <c r="Q1158" t="s">
        <v>37</v>
      </c>
      <c r="R1158" t="s">
        <v>37</v>
      </c>
      <c r="S1158" t="s">
        <v>37</v>
      </c>
      <c r="T1158" t="s">
        <v>51</v>
      </c>
      <c r="U1158">
        <v>1</v>
      </c>
      <c r="V1158" t="s">
        <v>59</v>
      </c>
      <c r="W1158" t="s">
        <v>42</v>
      </c>
      <c r="X1158" t="s">
        <v>37</v>
      </c>
      <c r="Y1158" t="s">
        <v>43</v>
      </c>
      <c r="Z1158" t="s">
        <v>37</v>
      </c>
      <c r="AA1158">
        <v>1.35</v>
      </c>
      <c r="AB1158" t="s">
        <v>37</v>
      </c>
      <c r="AC1158">
        <v>2.65</v>
      </c>
      <c r="AD1158">
        <v>98</v>
      </c>
      <c r="AE1158">
        <v>90000</v>
      </c>
      <c r="AF1158" t="str">
        <f>IF(Table1[[#This Row],[What is your current CGPA?]]&gt;=3.5,"High",IF(Table1[[#This Row],[What is your current CGPA?]]&gt;=2.5,"Medium","Low"))</f>
        <v>Medium</v>
      </c>
      <c r="AG1158" t="str">
        <f>IF(AND(Table1[[#This Row],[Average attendance on class]]&lt;75,Table1[[#This Row],[How many hour do you study daily?]]&lt;1),"At Risk","Normal")</f>
        <v>Normal</v>
      </c>
      <c r="AH1158">
        <f>(Table1[[#This Row],[Average attendance on class]]*0.4)+(Table1[[#This Row],[How many hour do you study daily?]]*10*0.3)+(Table1[[#This Row],[How many hour do you spent daily on your skill development?]]*10*0.3)</f>
        <v>42</v>
      </c>
    </row>
    <row r="1159" spans="1:34" x14ac:dyDescent="0.25">
      <c r="A1159">
        <v>2020</v>
      </c>
      <c r="B1159" t="s">
        <v>34</v>
      </c>
      <c r="C1159">
        <v>22</v>
      </c>
      <c r="D1159">
        <v>2020</v>
      </c>
      <c r="E1159" t="s">
        <v>35</v>
      </c>
      <c r="F1159">
        <v>7</v>
      </c>
      <c r="G1159" t="s">
        <v>37</v>
      </c>
      <c r="H1159" t="s">
        <v>36</v>
      </c>
      <c r="I1159">
        <v>5</v>
      </c>
      <c r="J1159">
        <v>2</v>
      </c>
      <c r="K1159" t="s">
        <v>44</v>
      </c>
      <c r="L1159" t="s">
        <v>36</v>
      </c>
      <c r="M1159" t="s">
        <v>36</v>
      </c>
      <c r="N1159">
        <v>8</v>
      </c>
      <c r="O1159" t="s">
        <v>53</v>
      </c>
      <c r="P1159">
        <v>100</v>
      </c>
      <c r="Q1159" t="s">
        <v>37</v>
      </c>
      <c r="R1159" t="s">
        <v>37</v>
      </c>
      <c r="S1159" t="s">
        <v>37</v>
      </c>
      <c r="T1159" t="s">
        <v>113</v>
      </c>
      <c r="U1159">
        <v>2</v>
      </c>
      <c r="V1159" t="s">
        <v>62</v>
      </c>
      <c r="W1159" t="s">
        <v>42</v>
      </c>
      <c r="X1159" t="s">
        <v>37</v>
      </c>
      <c r="Y1159" t="s">
        <v>47</v>
      </c>
      <c r="Z1159" t="s">
        <v>37</v>
      </c>
      <c r="AA1159">
        <v>1.56</v>
      </c>
      <c r="AB1159" t="s">
        <v>37</v>
      </c>
      <c r="AC1159">
        <v>2.98</v>
      </c>
      <c r="AD1159">
        <v>99</v>
      </c>
      <c r="AE1159">
        <v>90000</v>
      </c>
      <c r="AF1159" t="str">
        <f>IF(Table1[[#This Row],[What is your current CGPA?]]&gt;=3.5,"High",IF(Table1[[#This Row],[What is your current CGPA?]]&gt;=2.5,"Medium","Low"))</f>
        <v>Medium</v>
      </c>
      <c r="AG1159" t="str">
        <f>IF(AND(Table1[[#This Row],[Average attendance on class]]&lt;75,Table1[[#This Row],[How many hour do you study daily?]]&lt;1),"At Risk","Normal")</f>
        <v>Normal</v>
      </c>
      <c r="AH1159">
        <f>(Table1[[#This Row],[Average attendance on class]]*0.4)+(Table1[[#This Row],[How many hour do you study daily?]]*10*0.3)+(Table1[[#This Row],[How many hour do you spent daily on your skill development?]]*10*0.3)</f>
        <v>61</v>
      </c>
    </row>
    <row r="1160" spans="1:34" x14ac:dyDescent="0.25">
      <c r="A1160">
        <v>2021</v>
      </c>
      <c r="B1160" t="s">
        <v>48</v>
      </c>
      <c r="C1160">
        <v>20</v>
      </c>
      <c r="D1160">
        <v>2020</v>
      </c>
      <c r="E1160" t="s">
        <v>35</v>
      </c>
      <c r="F1160">
        <v>8</v>
      </c>
      <c r="G1160" t="s">
        <v>37</v>
      </c>
      <c r="H1160" t="s">
        <v>36</v>
      </c>
      <c r="I1160">
        <v>4</v>
      </c>
      <c r="J1160">
        <v>3</v>
      </c>
      <c r="K1160" t="s">
        <v>38</v>
      </c>
      <c r="L1160" t="s">
        <v>36</v>
      </c>
      <c r="M1160" t="s">
        <v>36</v>
      </c>
      <c r="N1160">
        <v>4</v>
      </c>
      <c r="O1160" t="s">
        <v>39</v>
      </c>
      <c r="P1160">
        <v>65</v>
      </c>
      <c r="Q1160" t="s">
        <v>36</v>
      </c>
      <c r="R1160" t="s">
        <v>37</v>
      </c>
      <c r="S1160" t="s">
        <v>36</v>
      </c>
      <c r="T1160" t="s">
        <v>49</v>
      </c>
      <c r="U1160">
        <v>2</v>
      </c>
      <c r="V1160" t="s">
        <v>40</v>
      </c>
      <c r="W1160" t="s">
        <v>42</v>
      </c>
      <c r="X1160" t="s">
        <v>36</v>
      </c>
      <c r="Y1160" t="s">
        <v>47</v>
      </c>
      <c r="Z1160" t="s">
        <v>37</v>
      </c>
      <c r="AA1160">
        <v>1.66</v>
      </c>
      <c r="AB1160" t="s">
        <v>37</v>
      </c>
      <c r="AC1160">
        <v>2.4500000000000002</v>
      </c>
      <c r="AD1160">
        <v>105</v>
      </c>
      <c r="AE1160">
        <v>90000</v>
      </c>
      <c r="AF1160" t="str">
        <f>IF(Table1[[#This Row],[What is your current CGPA?]]&gt;=3.5,"High",IF(Table1[[#This Row],[What is your current CGPA?]]&gt;=2.5,"Medium","Low"))</f>
        <v>Low</v>
      </c>
      <c r="AG1160" t="str">
        <f>IF(AND(Table1[[#This Row],[Average attendance on class]]&lt;75,Table1[[#This Row],[How many hour do you study daily?]]&lt;1),"At Risk","Normal")</f>
        <v>Normal</v>
      </c>
      <c r="AH1160">
        <f>(Table1[[#This Row],[Average attendance on class]]*0.4)+(Table1[[#This Row],[How many hour do you study daily?]]*10*0.3)+(Table1[[#This Row],[How many hour do you spent daily on your skill development?]]*10*0.3)</f>
        <v>44</v>
      </c>
    </row>
    <row r="1161" spans="1:34" x14ac:dyDescent="0.25">
      <c r="A1161">
        <v>2022</v>
      </c>
      <c r="B1161" t="s">
        <v>34</v>
      </c>
      <c r="C1161">
        <v>20</v>
      </c>
      <c r="D1161">
        <v>2021</v>
      </c>
      <c r="E1161" t="s">
        <v>35</v>
      </c>
      <c r="F1161">
        <v>5</v>
      </c>
      <c r="G1161" t="s">
        <v>37</v>
      </c>
      <c r="H1161" t="s">
        <v>36</v>
      </c>
      <c r="I1161">
        <v>2</v>
      </c>
      <c r="J1161">
        <v>2</v>
      </c>
      <c r="K1161" t="s">
        <v>38</v>
      </c>
      <c r="L1161" t="s">
        <v>36</v>
      </c>
      <c r="M1161" t="s">
        <v>37</v>
      </c>
      <c r="N1161">
        <v>3</v>
      </c>
      <c r="O1161" t="s">
        <v>53</v>
      </c>
      <c r="P1161">
        <v>100</v>
      </c>
      <c r="Q1161" t="s">
        <v>37</v>
      </c>
      <c r="R1161" t="s">
        <v>37</v>
      </c>
      <c r="S1161" t="s">
        <v>36</v>
      </c>
      <c r="T1161" t="s">
        <v>113</v>
      </c>
      <c r="U1161">
        <v>2</v>
      </c>
      <c r="V1161" t="s">
        <v>40</v>
      </c>
      <c r="W1161" t="s">
        <v>50</v>
      </c>
      <c r="X1161" t="s">
        <v>37</v>
      </c>
      <c r="Y1161" t="s">
        <v>47</v>
      </c>
      <c r="Z1161" t="s">
        <v>36</v>
      </c>
      <c r="AA1161">
        <v>1.86</v>
      </c>
      <c r="AB1161" t="s">
        <v>37</v>
      </c>
      <c r="AC1161">
        <v>2.91</v>
      </c>
      <c r="AD1161">
        <v>60</v>
      </c>
      <c r="AE1161">
        <v>93000</v>
      </c>
      <c r="AF1161" t="str">
        <f>IF(Table1[[#This Row],[What is your current CGPA?]]&gt;=3.5,"High",IF(Table1[[#This Row],[What is your current CGPA?]]&gt;=2.5,"Medium","Low"))</f>
        <v>Medium</v>
      </c>
      <c r="AG1161" t="str">
        <f>IF(AND(Table1[[#This Row],[Average attendance on class]]&lt;75,Table1[[#This Row],[How many hour do you study daily?]]&lt;1),"At Risk","Normal")</f>
        <v>Normal</v>
      </c>
      <c r="AH1161">
        <f>(Table1[[#This Row],[Average attendance on class]]*0.4)+(Table1[[#This Row],[How many hour do you study daily?]]*10*0.3)+(Table1[[#This Row],[How many hour do you spent daily on your skill development?]]*10*0.3)</f>
        <v>52</v>
      </c>
    </row>
    <row r="1162" spans="1:34" x14ac:dyDescent="0.25">
      <c r="A1162">
        <v>2023</v>
      </c>
      <c r="B1162" t="s">
        <v>48</v>
      </c>
      <c r="C1162">
        <v>19</v>
      </c>
      <c r="D1162">
        <v>2021</v>
      </c>
      <c r="E1162" t="s">
        <v>35</v>
      </c>
      <c r="F1162">
        <v>2</v>
      </c>
      <c r="G1162" t="s">
        <v>37</v>
      </c>
      <c r="H1162" t="s">
        <v>36</v>
      </c>
      <c r="I1162">
        <v>4</v>
      </c>
      <c r="J1162">
        <v>3</v>
      </c>
      <c r="K1162" t="s">
        <v>38</v>
      </c>
      <c r="L1162" t="s">
        <v>36</v>
      </c>
      <c r="M1162" t="s">
        <v>36</v>
      </c>
      <c r="N1162">
        <v>3</v>
      </c>
      <c r="O1162" t="s">
        <v>39</v>
      </c>
      <c r="P1162">
        <v>100</v>
      </c>
      <c r="Q1162" t="s">
        <v>37</v>
      </c>
      <c r="R1162" t="s">
        <v>37</v>
      </c>
      <c r="S1162" t="s">
        <v>37</v>
      </c>
      <c r="T1162" t="s">
        <v>49</v>
      </c>
      <c r="U1162">
        <v>2</v>
      </c>
      <c r="V1162" t="s">
        <v>40</v>
      </c>
      <c r="W1162" t="s">
        <v>42</v>
      </c>
      <c r="X1162" t="s">
        <v>37</v>
      </c>
      <c r="Y1162" t="s">
        <v>43</v>
      </c>
      <c r="Z1162" t="s">
        <v>37</v>
      </c>
      <c r="AA1162">
        <v>2.77</v>
      </c>
      <c r="AB1162" t="s">
        <v>37</v>
      </c>
      <c r="AC1162">
        <v>3.83</v>
      </c>
      <c r="AD1162">
        <v>30</v>
      </c>
      <c r="AE1162">
        <v>95000</v>
      </c>
      <c r="AF1162" t="str">
        <f>IF(Table1[[#This Row],[What is your current CGPA?]]&gt;=3.5,"High",IF(Table1[[#This Row],[What is your current CGPA?]]&gt;=2.5,"Medium","Low"))</f>
        <v>High</v>
      </c>
      <c r="AG1162" t="str">
        <f>IF(AND(Table1[[#This Row],[Average attendance on class]]&lt;75,Table1[[#This Row],[How many hour do you study daily?]]&lt;1),"At Risk","Normal")</f>
        <v>Normal</v>
      </c>
      <c r="AH1162">
        <f>(Table1[[#This Row],[Average attendance on class]]*0.4)+(Table1[[#This Row],[How many hour do you study daily?]]*10*0.3)+(Table1[[#This Row],[How many hour do you spent daily on your skill development?]]*10*0.3)</f>
        <v>58</v>
      </c>
    </row>
    <row r="1163" spans="1:34" x14ac:dyDescent="0.25">
      <c r="A1163">
        <v>2022</v>
      </c>
      <c r="B1163" t="s">
        <v>48</v>
      </c>
      <c r="C1163">
        <v>21</v>
      </c>
      <c r="D1163">
        <v>2021</v>
      </c>
      <c r="E1163" t="s">
        <v>35</v>
      </c>
      <c r="F1163">
        <v>6</v>
      </c>
      <c r="G1163" t="s">
        <v>37</v>
      </c>
      <c r="H1163" t="s">
        <v>36</v>
      </c>
      <c r="I1163">
        <v>1</v>
      </c>
      <c r="J1163">
        <v>2</v>
      </c>
      <c r="K1163" t="s">
        <v>38</v>
      </c>
      <c r="L1163" t="s">
        <v>36</v>
      </c>
      <c r="M1163" t="s">
        <v>36</v>
      </c>
      <c r="N1163">
        <v>3</v>
      </c>
      <c r="O1163" t="s">
        <v>39</v>
      </c>
      <c r="P1163">
        <v>53</v>
      </c>
      <c r="Q1163" t="s">
        <v>36</v>
      </c>
      <c r="R1163" t="s">
        <v>37</v>
      </c>
      <c r="S1163" t="s">
        <v>37</v>
      </c>
      <c r="T1163" t="s">
        <v>51</v>
      </c>
      <c r="U1163">
        <v>1</v>
      </c>
      <c r="V1163" t="s">
        <v>59</v>
      </c>
      <c r="W1163" t="s">
        <v>50</v>
      </c>
      <c r="X1163" t="s">
        <v>37</v>
      </c>
      <c r="Y1163" t="s">
        <v>43</v>
      </c>
      <c r="Z1163" t="s">
        <v>37</v>
      </c>
      <c r="AA1163">
        <v>2.81</v>
      </c>
      <c r="AB1163" t="s">
        <v>37</v>
      </c>
      <c r="AC1163">
        <v>3.9</v>
      </c>
      <c r="AD1163">
        <v>83</v>
      </c>
      <c r="AE1163">
        <v>95000</v>
      </c>
      <c r="AF1163" t="str">
        <f>IF(Table1[[#This Row],[What is your current CGPA?]]&gt;=3.5,"High",IF(Table1[[#This Row],[What is your current CGPA?]]&gt;=2.5,"Medium","Low"))</f>
        <v>High</v>
      </c>
      <c r="AG1163" t="str">
        <f>IF(AND(Table1[[#This Row],[Average attendance on class]]&lt;75,Table1[[#This Row],[How many hour do you study daily?]]&lt;1),"At Risk","Normal")</f>
        <v>Normal</v>
      </c>
      <c r="AH1163">
        <f>(Table1[[#This Row],[Average attendance on class]]*0.4)+(Table1[[#This Row],[How many hour do you study daily?]]*10*0.3)+(Table1[[#This Row],[How many hour do you spent daily on your skill development?]]*10*0.3)</f>
        <v>27.200000000000003</v>
      </c>
    </row>
    <row r="1164" spans="1:34" x14ac:dyDescent="0.25">
      <c r="A1164">
        <v>2021</v>
      </c>
      <c r="B1164" t="s">
        <v>48</v>
      </c>
      <c r="C1164">
        <v>21</v>
      </c>
      <c r="D1164">
        <v>2020</v>
      </c>
      <c r="E1164" t="s">
        <v>35</v>
      </c>
      <c r="F1164">
        <v>9</v>
      </c>
      <c r="G1164" t="s">
        <v>36</v>
      </c>
      <c r="H1164" t="s">
        <v>36</v>
      </c>
      <c r="I1164">
        <v>2</v>
      </c>
      <c r="J1164">
        <v>1</v>
      </c>
      <c r="K1164" t="s">
        <v>38</v>
      </c>
      <c r="L1164" t="s">
        <v>36</v>
      </c>
      <c r="M1164" t="s">
        <v>36</v>
      </c>
      <c r="N1164">
        <v>3</v>
      </c>
      <c r="O1164" t="s">
        <v>53</v>
      </c>
      <c r="P1164">
        <v>100</v>
      </c>
      <c r="Q1164" t="s">
        <v>36</v>
      </c>
      <c r="R1164" t="s">
        <v>37</v>
      </c>
      <c r="S1164" t="s">
        <v>37</v>
      </c>
      <c r="T1164" t="s">
        <v>49</v>
      </c>
      <c r="U1164">
        <v>2</v>
      </c>
      <c r="V1164" t="s">
        <v>41</v>
      </c>
      <c r="W1164" t="s">
        <v>42</v>
      </c>
      <c r="X1164" t="s">
        <v>36</v>
      </c>
      <c r="Y1164" t="s">
        <v>47</v>
      </c>
      <c r="Z1164" t="s">
        <v>37</v>
      </c>
      <c r="AA1164">
        <v>2.75</v>
      </c>
      <c r="AB1164" t="s">
        <v>37</v>
      </c>
      <c r="AC1164">
        <v>3.81</v>
      </c>
      <c r="AD1164">
        <v>120</v>
      </c>
      <c r="AE1164">
        <v>96000</v>
      </c>
      <c r="AF1164" t="str">
        <f>IF(Table1[[#This Row],[What is your current CGPA?]]&gt;=3.5,"High",IF(Table1[[#This Row],[What is your current CGPA?]]&gt;=2.5,"Medium","Low"))</f>
        <v>High</v>
      </c>
      <c r="AG1164" t="str">
        <f>IF(AND(Table1[[#This Row],[Average attendance on class]]&lt;75,Table1[[#This Row],[How many hour do you study daily?]]&lt;1),"At Risk","Normal")</f>
        <v>Normal</v>
      </c>
      <c r="AH1164">
        <f>(Table1[[#This Row],[Average attendance on class]]*0.4)+(Table1[[#This Row],[How many hour do you study daily?]]*10*0.3)+(Table1[[#This Row],[How many hour do you spent daily on your skill development?]]*10*0.3)</f>
        <v>52</v>
      </c>
    </row>
    <row r="1165" spans="1:34" x14ac:dyDescent="0.25">
      <c r="A1165">
        <v>2019</v>
      </c>
      <c r="B1165" t="s">
        <v>34</v>
      </c>
      <c r="C1165">
        <v>25</v>
      </c>
      <c r="D1165">
        <v>2018</v>
      </c>
      <c r="E1165" t="s">
        <v>35</v>
      </c>
      <c r="F1165">
        <v>11</v>
      </c>
      <c r="G1165" t="s">
        <v>37</v>
      </c>
      <c r="H1165" t="s">
        <v>36</v>
      </c>
      <c r="I1165">
        <v>5</v>
      </c>
      <c r="J1165">
        <v>1</v>
      </c>
      <c r="K1165" t="s">
        <v>38</v>
      </c>
      <c r="L1165" t="s">
        <v>36</v>
      </c>
      <c r="M1165" t="s">
        <v>36</v>
      </c>
      <c r="N1165">
        <v>3</v>
      </c>
      <c r="O1165" t="s">
        <v>53</v>
      </c>
      <c r="P1165">
        <v>67</v>
      </c>
      <c r="Q1165" t="s">
        <v>37</v>
      </c>
      <c r="R1165" t="s">
        <v>37</v>
      </c>
      <c r="S1165" t="s">
        <v>36</v>
      </c>
      <c r="T1165" t="s">
        <v>40</v>
      </c>
      <c r="U1165">
        <v>4</v>
      </c>
      <c r="V1165" t="s">
        <v>40</v>
      </c>
      <c r="W1165" t="s">
        <v>42</v>
      </c>
      <c r="X1165" t="s">
        <v>36</v>
      </c>
      <c r="Y1165" t="s">
        <v>43</v>
      </c>
      <c r="Z1165" t="s">
        <v>37</v>
      </c>
      <c r="AA1165">
        <v>1.56</v>
      </c>
      <c r="AB1165" t="s">
        <v>37</v>
      </c>
      <c r="AC1165">
        <v>2.63</v>
      </c>
      <c r="AD1165">
        <v>143</v>
      </c>
      <c r="AE1165">
        <v>97000</v>
      </c>
      <c r="AF1165" t="str">
        <f>IF(Table1[[#This Row],[What is your current CGPA?]]&gt;=3.5,"High",IF(Table1[[#This Row],[What is your current CGPA?]]&gt;=2.5,"Medium","Low"))</f>
        <v>Medium</v>
      </c>
      <c r="AG1165" t="str">
        <f>IF(AND(Table1[[#This Row],[Average attendance on class]]&lt;75,Table1[[#This Row],[How many hour do you study daily?]]&lt;1),"At Risk","Normal")</f>
        <v>Normal</v>
      </c>
      <c r="AH1165">
        <f>(Table1[[#This Row],[Average attendance on class]]*0.4)+(Table1[[#This Row],[How many hour do you study daily?]]*10*0.3)+(Table1[[#This Row],[How many hour do you spent daily on your skill development?]]*10*0.3)</f>
        <v>53.8</v>
      </c>
    </row>
    <row r="1166" spans="1:34" x14ac:dyDescent="0.25">
      <c r="A1166">
        <v>2020</v>
      </c>
      <c r="B1166" t="s">
        <v>34</v>
      </c>
      <c r="C1166">
        <v>23</v>
      </c>
      <c r="D1166">
        <v>2019</v>
      </c>
      <c r="E1166" t="s">
        <v>35</v>
      </c>
      <c r="F1166">
        <v>10</v>
      </c>
      <c r="G1166" t="s">
        <v>36</v>
      </c>
      <c r="H1166" t="s">
        <v>36</v>
      </c>
      <c r="I1166">
        <v>2</v>
      </c>
      <c r="J1166">
        <v>2</v>
      </c>
      <c r="K1166" t="s">
        <v>38</v>
      </c>
      <c r="L1166" t="s">
        <v>36</v>
      </c>
      <c r="M1166" t="s">
        <v>36</v>
      </c>
      <c r="N1166">
        <v>6</v>
      </c>
      <c r="O1166" t="s">
        <v>39</v>
      </c>
      <c r="P1166">
        <v>100</v>
      </c>
      <c r="Q1166" t="s">
        <v>37</v>
      </c>
      <c r="R1166" t="s">
        <v>37</v>
      </c>
      <c r="S1166" t="s">
        <v>37</v>
      </c>
      <c r="T1166" t="s">
        <v>51</v>
      </c>
      <c r="U1166">
        <v>1</v>
      </c>
      <c r="V1166" t="s">
        <v>59</v>
      </c>
      <c r="W1166" t="s">
        <v>42</v>
      </c>
      <c r="X1166" t="s">
        <v>37</v>
      </c>
      <c r="Y1166" t="s">
        <v>47</v>
      </c>
      <c r="Z1166" t="s">
        <v>37</v>
      </c>
      <c r="AA1166">
        <v>2.91</v>
      </c>
      <c r="AB1166" t="s">
        <v>37</v>
      </c>
      <c r="AC1166">
        <v>3.98</v>
      </c>
      <c r="AD1166">
        <v>91</v>
      </c>
      <c r="AE1166">
        <v>97000</v>
      </c>
      <c r="AF1166" t="str">
        <f>IF(Table1[[#This Row],[What is your current CGPA?]]&gt;=3.5,"High",IF(Table1[[#This Row],[What is your current CGPA?]]&gt;=2.5,"Medium","Low"))</f>
        <v>High</v>
      </c>
      <c r="AG1166" t="str">
        <f>IF(AND(Table1[[#This Row],[Average attendance on class]]&lt;75,Table1[[#This Row],[How many hour do you study daily?]]&lt;1),"At Risk","Normal")</f>
        <v>Normal</v>
      </c>
      <c r="AH1166">
        <f>(Table1[[#This Row],[Average attendance on class]]*0.4)+(Table1[[#This Row],[How many hour do you study daily?]]*10*0.3)+(Table1[[#This Row],[How many hour do you spent daily on your skill development?]]*10*0.3)</f>
        <v>49</v>
      </c>
    </row>
    <row r="1167" spans="1:34" x14ac:dyDescent="0.25">
      <c r="A1167">
        <v>2022</v>
      </c>
      <c r="B1167" t="s">
        <v>34</v>
      </c>
      <c r="C1167">
        <v>21</v>
      </c>
      <c r="D1167">
        <v>2021</v>
      </c>
      <c r="E1167" t="s">
        <v>35</v>
      </c>
      <c r="F1167">
        <v>5</v>
      </c>
      <c r="G1167" t="s">
        <v>37</v>
      </c>
      <c r="H1167" t="s">
        <v>36</v>
      </c>
      <c r="I1167">
        <v>2</v>
      </c>
      <c r="J1167">
        <v>2</v>
      </c>
      <c r="K1167" t="s">
        <v>38</v>
      </c>
      <c r="L1167" t="s">
        <v>36</v>
      </c>
      <c r="M1167" t="s">
        <v>37</v>
      </c>
      <c r="N1167">
        <v>2</v>
      </c>
      <c r="O1167" t="s">
        <v>53</v>
      </c>
      <c r="P1167">
        <v>54</v>
      </c>
      <c r="Q1167" t="s">
        <v>37</v>
      </c>
      <c r="R1167" t="s">
        <v>37</v>
      </c>
      <c r="S1167" t="s">
        <v>37</v>
      </c>
      <c r="T1167" t="s">
        <v>51</v>
      </c>
      <c r="U1167">
        <v>2</v>
      </c>
      <c r="V1167" t="s">
        <v>59</v>
      </c>
      <c r="W1167" t="s">
        <v>56</v>
      </c>
      <c r="X1167" t="s">
        <v>37</v>
      </c>
      <c r="Y1167" t="s">
        <v>47</v>
      </c>
      <c r="Z1167" t="s">
        <v>37</v>
      </c>
      <c r="AA1167">
        <v>1.54</v>
      </c>
      <c r="AB1167" t="s">
        <v>37</v>
      </c>
      <c r="AC1167">
        <v>2.63</v>
      </c>
      <c r="AD1167">
        <v>68</v>
      </c>
      <c r="AE1167">
        <v>97000</v>
      </c>
      <c r="AF1167" t="str">
        <f>IF(Table1[[#This Row],[What is your current CGPA?]]&gt;=3.5,"High",IF(Table1[[#This Row],[What is your current CGPA?]]&gt;=2.5,"Medium","Low"))</f>
        <v>Medium</v>
      </c>
      <c r="AG1167" t="str">
        <f>IF(AND(Table1[[#This Row],[Average attendance on class]]&lt;75,Table1[[#This Row],[How many hour do you study daily?]]&lt;1),"At Risk","Normal")</f>
        <v>Normal</v>
      </c>
      <c r="AH1167">
        <f>(Table1[[#This Row],[Average attendance on class]]*0.4)+(Table1[[#This Row],[How many hour do you study daily?]]*10*0.3)+(Table1[[#This Row],[How many hour do you spent daily on your skill development?]]*10*0.3)</f>
        <v>33.6</v>
      </c>
    </row>
    <row r="1168" spans="1:34" x14ac:dyDescent="0.25">
      <c r="A1168">
        <v>2019</v>
      </c>
      <c r="B1168" t="s">
        <v>48</v>
      </c>
      <c r="C1168">
        <v>25</v>
      </c>
      <c r="D1168">
        <v>2018</v>
      </c>
      <c r="E1168" t="s">
        <v>35</v>
      </c>
      <c r="F1168">
        <v>11</v>
      </c>
      <c r="G1168" t="s">
        <v>37</v>
      </c>
      <c r="H1168" t="s">
        <v>36</v>
      </c>
      <c r="I1168">
        <v>3</v>
      </c>
      <c r="J1168">
        <v>3</v>
      </c>
      <c r="K1168" t="s">
        <v>38</v>
      </c>
      <c r="L1168" t="s">
        <v>36</v>
      </c>
      <c r="M1168" t="s">
        <v>36</v>
      </c>
      <c r="N1168">
        <v>3</v>
      </c>
      <c r="O1168" t="s">
        <v>39</v>
      </c>
      <c r="P1168">
        <v>87</v>
      </c>
      <c r="Q1168" t="s">
        <v>36</v>
      </c>
      <c r="R1168" t="s">
        <v>36</v>
      </c>
      <c r="S1168" t="s">
        <v>37</v>
      </c>
      <c r="T1168" t="s">
        <v>51</v>
      </c>
      <c r="U1168">
        <v>4</v>
      </c>
      <c r="V1168" t="s">
        <v>59</v>
      </c>
      <c r="W1168" t="s">
        <v>50</v>
      </c>
      <c r="X1168" t="s">
        <v>37</v>
      </c>
      <c r="Y1168" t="s">
        <v>43</v>
      </c>
      <c r="Z1168" t="s">
        <v>37</v>
      </c>
      <c r="AA1168">
        <v>1.78</v>
      </c>
      <c r="AB1168" t="s">
        <v>37</v>
      </c>
      <c r="AC1168">
        <v>2.83</v>
      </c>
      <c r="AD1168">
        <v>143</v>
      </c>
      <c r="AE1168">
        <v>98000</v>
      </c>
      <c r="AF1168" t="str">
        <f>IF(Table1[[#This Row],[What is your current CGPA?]]&gt;=3.5,"High",IF(Table1[[#This Row],[What is your current CGPA?]]&gt;=2.5,"Medium","Low"))</f>
        <v>Medium</v>
      </c>
      <c r="AG1168" t="str">
        <f>IF(AND(Table1[[#This Row],[Average attendance on class]]&lt;75,Table1[[#This Row],[How many hour do you study daily?]]&lt;1),"At Risk","Normal")</f>
        <v>Normal</v>
      </c>
      <c r="AH1168">
        <f>(Table1[[#This Row],[Average attendance on class]]*0.4)+(Table1[[#This Row],[How many hour do you study daily?]]*10*0.3)+(Table1[[#This Row],[How many hour do you spent daily on your skill development?]]*10*0.3)</f>
        <v>55.800000000000004</v>
      </c>
    </row>
    <row r="1169" spans="1:34" x14ac:dyDescent="0.25">
      <c r="A1169">
        <v>2022</v>
      </c>
      <c r="B1169" t="s">
        <v>48</v>
      </c>
      <c r="C1169">
        <v>22</v>
      </c>
      <c r="D1169">
        <v>2019</v>
      </c>
      <c r="E1169" t="s">
        <v>35</v>
      </c>
      <c r="F1169">
        <v>4</v>
      </c>
      <c r="G1169" t="s">
        <v>36</v>
      </c>
      <c r="H1169" t="s">
        <v>37</v>
      </c>
      <c r="I1169">
        <v>8</v>
      </c>
      <c r="J1169">
        <v>1</v>
      </c>
      <c r="K1169" t="s">
        <v>44</v>
      </c>
      <c r="L1169" t="s">
        <v>36</v>
      </c>
      <c r="M1169" t="s">
        <v>36</v>
      </c>
      <c r="N1169">
        <v>10</v>
      </c>
      <c r="O1169" t="s">
        <v>53</v>
      </c>
      <c r="P1169">
        <v>70</v>
      </c>
      <c r="Q1169" t="s">
        <v>36</v>
      </c>
      <c r="R1169" t="s">
        <v>37</v>
      </c>
      <c r="S1169" t="s">
        <v>36</v>
      </c>
      <c r="T1169" t="s">
        <v>40</v>
      </c>
      <c r="U1169">
        <v>1</v>
      </c>
      <c r="V1169" t="s">
        <v>62</v>
      </c>
      <c r="W1169" t="s">
        <v>50</v>
      </c>
      <c r="X1169" t="s">
        <v>36</v>
      </c>
      <c r="Y1169" t="s">
        <v>47</v>
      </c>
      <c r="Z1169" t="s">
        <v>37</v>
      </c>
      <c r="AA1169">
        <v>2.9</v>
      </c>
      <c r="AB1169" t="s">
        <v>37</v>
      </c>
      <c r="AC1169">
        <v>3.88</v>
      </c>
      <c r="AD1169">
        <v>60</v>
      </c>
      <c r="AE1169">
        <v>100000</v>
      </c>
      <c r="AF1169" t="str">
        <f>IF(Table1[[#This Row],[What is your current CGPA?]]&gt;=3.5,"High",IF(Table1[[#This Row],[What is your current CGPA?]]&gt;=2.5,"Medium","Low"))</f>
        <v>High</v>
      </c>
      <c r="AG1169" t="str">
        <f>IF(AND(Table1[[#This Row],[Average attendance on class]]&lt;75,Table1[[#This Row],[How many hour do you study daily?]]&lt;1),"At Risk","Normal")</f>
        <v>Normal</v>
      </c>
      <c r="AH1169">
        <f>(Table1[[#This Row],[Average attendance on class]]*0.4)+(Table1[[#This Row],[How many hour do you study daily?]]*10*0.3)+(Table1[[#This Row],[How many hour do you spent daily on your skill development?]]*10*0.3)</f>
        <v>55</v>
      </c>
    </row>
    <row r="1170" spans="1:34" x14ac:dyDescent="0.25">
      <c r="A1170">
        <v>2020</v>
      </c>
      <c r="B1170" t="s">
        <v>34</v>
      </c>
      <c r="C1170">
        <v>21</v>
      </c>
      <c r="D1170">
        <v>2019</v>
      </c>
      <c r="E1170" t="s">
        <v>35</v>
      </c>
      <c r="F1170">
        <v>9</v>
      </c>
      <c r="G1170" t="s">
        <v>37</v>
      </c>
      <c r="H1170" t="s">
        <v>36</v>
      </c>
      <c r="I1170">
        <v>3</v>
      </c>
      <c r="J1170">
        <v>1</v>
      </c>
      <c r="K1170" t="s">
        <v>38</v>
      </c>
      <c r="L1170" t="s">
        <v>36</v>
      </c>
      <c r="M1170" t="s">
        <v>36</v>
      </c>
      <c r="N1170">
        <v>3</v>
      </c>
      <c r="O1170" t="s">
        <v>45</v>
      </c>
      <c r="P1170">
        <v>56</v>
      </c>
      <c r="Q1170" t="s">
        <v>36</v>
      </c>
      <c r="R1170" t="s">
        <v>37</v>
      </c>
      <c r="S1170" t="s">
        <v>37</v>
      </c>
      <c r="T1170" t="s">
        <v>61</v>
      </c>
      <c r="U1170">
        <v>4</v>
      </c>
      <c r="V1170" t="s">
        <v>41</v>
      </c>
      <c r="W1170" t="s">
        <v>50</v>
      </c>
      <c r="X1170" t="s">
        <v>36</v>
      </c>
      <c r="Y1170" t="s">
        <v>47</v>
      </c>
      <c r="Z1170" t="s">
        <v>36</v>
      </c>
      <c r="AA1170">
        <v>2.67</v>
      </c>
      <c r="AB1170" t="s">
        <v>37</v>
      </c>
      <c r="AC1170">
        <v>3.75</v>
      </c>
      <c r="AD1170">
        <v>116</v>
      </c>
      <c r="AE1170">
        <v>100000</v>
      </c>
      <c r="AF1170" t="str">
        <f>IF(Table1[[#This Row],[What is your current CGPA?]]&gt;=3.5,"High",IF(Table1[[#This Row],[What is your current CGPA?]]&gt;=2.5,"Medium","Low"))</f>
        <v>High</v>
      </c>
      <c r="AG1170" t="str">
        <f>IF(AND(Table1[[#This Row],[Average attendance on class]]&lt;75,Table1[[#This Row],[How many hour do you study daily?]]&lt;1),"At Risk","Normal")</f>
        <v>Normal</v>
      </c>
      <c r="AH1170">
        <f>(Table1[[#This Row],[Average attendance on class]]*0.4)+(Table1[[#This Row],[How many hour do you study daily?]]*10*0.3)+(Table1[[#This Row],[How many hour do you spent daily on your skill development?]]*10*0.3)</f>
        <v>43.400000000000006</v>
      </c>
    </row>
    <row r="1171" spans="1:34" x14ac:dyDescent="0.25">
      <c r="A1171">
        <v>2021</v>
      </c>
      <c r="B1171" t="s">
        <v>34</v>
      </c>
      <c r="C1171">
        <v>20</v>
      </c>
      <c r="D1171">
        <v>2021</v>
      </c>
      <c r="E1171" t="s">
        <v>35</v>
      </c>
      <c r="F1171">
        <v>8</v>
      </c>
      <c r="G1171" t="s">
        <v>37</v>
      </c>
      <c r="H1171" t="s">
        <v>36</v>
      </c>
      <c r="I1171">
        <v>4</v>
      </c>
      <c r="J1171">
        <v>2</v>
      </c>
      <c r="K1171" t="s">
        <v>44</v>
      </c>
      <c r="L1171" t="s">
        <v>36</v>
      </c>
      <c r="M1171" t="s">
        <v>37</v>
      </c>
      <c r="N1171">
        <v>5</v>
      </c>
      <c r="O1171" t="s">
        <v>39</v>
      </c>
      <c r="P1171">
        <v>100</v>
      </c>
      <c r="Q1171" t="s">
        <v>37</v>
      </c>
      <c r="R1171" t="s">
        <v>37</v>
      </c>
      <c r="S1171" t="s">
        <v>37</v>
      </c>
      <c r="T1171" t="s">
        <v>61</v>
      </c>
      <c r="U1171">
        <v>1</v>
      </c>
      <c r="V1171" t="s">
        <v>41</v>
      </c>
      <c r="W1171" t="s">
        <v>42</v>
      </c>
      <c r="X1171" t="s">
        <v>37</v>
      </c>
      <c r="Y1171" t="s">
        <v>47</v>
      </c>
      <c r="Z1171" t="s">
        <v>37</v>
      </c>
      <c r="AA1171">
        <v>2.33</v>
      </c>
      <c r="AB1171" t="s">
        <v>37</v>
      </c>
      <c r="AC1171">
        <v>3.45</v>
      </c>
      <c r="AD1171">
        <v>102</v>
      </c>
      <c r="AE1171">
        <v>100000</v>
      </c>
      <c r="AF1171" t="str">
        <f>IF(Table1[[#This Row],[What is your current CGPA?]]&gt;=3.5,"High",IF(Table1[[#This Row],[What is your current CGPA?]]&gt;=2.5,"Medium","Low"))</f>
        <v>Medium</v>
      </c>
      <c r="AG1171" t="str">
        <f>IF(AND(Table1[[#This Row],[Average attendance on class]]&lt;75,Table1[[#This Row],[How many hour do you study daily?]]&lt;1),"At Risk","Normal")</f>
        <v>Normal</v>
      </c>
      <c r="AH1171">
        <f>(Table1[[#This Row],[Average attendance on class]]*0.4)+(Table1[[#This Row],[How many hour do you study daily?]]*10*0.3)+(Table1[[#This Row],[How many hour do you spent daily on your skill development?]]*10*0.3)</f>
        <v>55</v>
      </c>
    </row>
    <row r="1172" spans="1:34" x14ac:dyDescent="0.25">
      <c r="A1172">
        <v>2020</v>
      </c>
      <c r="B1172" t="s">
        <v>48</v>
      </c>
      <c r="C1172">
        <v>24</v>
      </c>
      <c r="D1172">
        <v>2018</v>
      </c>
      <c r="E1172" t="s">
        <v>35</v>
      </c>
      <c r="F1172">
        <v>9</v>
      </c>
      <c r="G1172" t="s">
        <v>37</v>
      </c>
      <c r="H1172" t="s">
        <v>36</v>
      </c>
      <c r="I1172">
        <v>3</v>
      </c>
      <c r="J1172">
        <v>3</v>
      </c>
      <c r="K1172" t="s">
        <v>38</v>
      </c>
      <c r="L1172" t="s">
        <v>36</v>
      </c>
      <c r="M1172" t="s">
        <v>36</v>
      </c>
      <c r="N1172">
        <v>3</v>
      </c>
      <c r="O1172" t="s">
        <v>39</v>
      </c>
      <c r="P1172">
        <v>68</v>
      </c>
      <c r="Q1172" t="s">
        <v>37</v>
      </c>
      <c r="R1172" t="s">
        <v>37</v>
      </c>
      <c r="S1172" t="s">
        <v>37</v>
      </c>
      <c r="T1172" t="s">
        <v>51</v>
      </c>
      <c r="U1172">
        <v>4</v>
      </c>
      <c r="V1172" t="s">
        <v>59</v>
      </c>
      <c r="W1172" t="s">
        <v>50</v>
      </c>
      <c r="X1172" t="s">
        <v>36</v>
      </c>
      <c r="Y1172" t="s">
        <v>43</v>
      </c>
      <c r="Z1172" t="s">
        <v>37</v>
      </c>
      <c r="AA1172">
        <v>2.76</v>
      </c>
      <c r="AB1172" t="s">
        <v>37</v>
      </c>
      <c r="AC1172">
        <v>3.56</v>
      </c>
      <c r="AD1172">
        <v>123</v>
      </c>
      <c r="AE1172">
        <v>110000</v>
      </c>
      <c r="AF1172" t="str">
        <f>IF(Table1[[#This Row],[What is your current CGPA?]]&gt;=3.5,"High",IF(Table1[[#This Row],[What is your current CGPA?]]&gt;=2.5,"Medium","Low"))</f>
        <v>High</v>
      </c>
      <c r="AG1172" t="str">
        <f>IF(AND(Table1[[#This Row],[Average attendance on class]]&lt;75,Table1[[#This Row],[How many hour do you study daily?]]&lt;1),"At Risk","Normal")</f>
        <v>Normal</v>
      </c>
      <c r="AH1172">
        <f>(Table1[[#This Row],[Average attendance on class]]*0.4)+(Table1[[#This Row],[How many hour do you study daily?]]*10*0.3)+(Table1[[#This Row],[How many hour do you spent daily on your skill development?]]*10*0.3)</f>
        <v>48.2</v>
      </c>
    </row>
    <row r="1173" spans="1:34" x14ac:dyDescent="0.25">
      <c r="A1173">
        <v>2021</v>
      </c>
      <c r="B1173" t="s">
        <v>34</v>
      </c>
      <c r="C1173">
        <v>21</v>
      </c>
      <c r="D1173">
        <v>2020</v>
      </c>
      <c r="E1173" t="s">
        <v>35</v>
      </c>
      <c r="F1173">
        <v>6</v>
      </c>
      <c r="G1173" t="s">
        <v>37</v>
      </c>
      <c r="H1173" t="s">
        <v>36</v>
      </c>
      <c r="I1173">
        <v>5</v>
      </c>
      <c r="J1173">
        <v>2</v>
      </c>
      <c r="K1173" t="s">
        <v>44</v>
      </c>
      <c r="L1173" t="s">
        <v>36</v>
      </c>
      <c r="M1173" t="s">
        <v>36</v>
      </c>
      <c r="N1173">
        <v>9</v>
      </c>
      <c r="O1173" t="s">
        <v>39</v>
      </c>
      <c r="P1173">
        <v>60</v>
      </c>
      <c r="Q1173" t="s">
        <v>36</v>
      </c>
      <c r="R1173" t="s">
        <v>37</v>
      </c>
      <c r="S1173" t="s">
        <v>37</v>
      </c>
      <c r="T1173" t="s">
        <v>40</v>
      </c>
      <c r="U1173">
        <v>2</v>
      </c>
      <c r="V1173" t="s">
        <v>52</v>
      </c>
      <c r="W1173" t="s">
        <v>50</v>
      </c>
      <c r="X1173" t="s">
        <v>37</v>
      </c>
      <c r="Y1173" t="s">
        <v>43</v>
      </c>
      <c r="Z1173" t="s">
        <v>37</v>
      </c>
      <c r="AA1173">
        <v>1.23</v>
      </c>
      <c r="AB1173" t="s">
        <v>37</v>
      </c>
      <c r="AC1173">
        <v>2.76</v>
      </c>
      <c r="AD1173">
        <v>89</v>
      </c>
      <c r="AE1173">
        <v>110000</v>
      </c>
      <c r="AF1173" t="str">
        <f>IF(Table1[[#This Row],[What is your current CGPA?]]&gt;=3.5,"High",IF(Table1[[#This Row],[What is your current CGPA?]]&gt;=2.5,"Medium","Low"))</f>
        <v>Medium</v>
      </c>
      <c r="AG1173" t="str">
        <f>IF(AND(Table1[[#This Row],[Average attendance on class]]&lt;75,Table1[[#This Row],[How many hour do you study daily?]]&lt;1),"At Risk","Normal")</f>
        <v>Normal</v>
      </c>
      <c r="AH1173">
        <f>(Table1[[#This Row],[Average attendance on class]]*0.4)+(Table1[[#This Row],[How many hour do you study daily?]]*10*0.3)+(Table1[[#This Row],[How many hour do you spent daily on your skill development?]]*10*0.3)</f>
        <v>45</v>
      </c>
    </row>
    <row r="1174" spans="1:34" x14ac:dyDescent="0.25">
      <c r="A1174">
        <v>2020</v>
      </c>
      <c r="B1174" t="s">
        <v>48</v>
      </c>
      <c r="C1174">
        <v>22</v>
      </c>
      <c r="D1174">
        <v>2020</v>
      </c>
      <c r="E1174" t="s">
        <v>35</v>
      </c>
      <c r="F1174">
        <v>10</v>
      </c>
      <c r="G1174" t="s">
        <v>37</v>
      </c>
      <c r="H1174" t="s">
        <v>36</v>
      </c>
      <c r="I1174">
        <v>2</v>
      </c>
      <c r="J1174">
        <v>3</v>
      </c>
      <c r="K1174" t="s">
        <v>44</v>
      </c>
      <c r="L1174" t="s">
        <v>36</v>
      </c>
      <c r="M1174" t="s">
        <v>36</v>
      </c>
      <c r="N1174">
        <v>3</v>
      </c>
      <c r="O1174" t="s">
        <v>39</v>
      </c>
      <c r="P1174">
        <v>55</v>
      </c>
      <c r="Q1174" t="s">
        <v>36</v>
      </c>
      <c r="R1174" t="s">
        <v>37</v>
      </c>
      <c r="S1174" t="s">
        <v>37</v>
      </c>
      <c r="T1174" t="s">
        <v>40</v>
      </c>
      <c r="U1174">
        <v>4</v>
      </c>
      <c r="V1174" t="s">
        <v>62</v>
      </c>
      <c r="W1174" t="s">
        <v>56</v>
      </c>
      <c r="X1174" t="s">
        <v>37</v>
      </c>
      <c r="Y1174" t="s">
        <v>47</v>
      </c>
      <c r="Z1174" t="s">
        <v>37</v>
      </c>
      <c r="AA1174">
        <v>2.35</v>
      </c>
      <c r="AB1174" t="s">
        <v>37</v>
      </c>
      <c r="AC1174">
        <v>3.48</v>
      </c>
      <c r="AD1174">
        <v>135</v>
      </c>
      <c r="AE1174">
        <v>116000</v>
      </c>
      <c r="AF1174" t="str">
        <f>IF(Table1[[#This Row],[What is your current CGPA?]]&gt;=3.5,"High",IF(Table1[[#This Row],[What is your current CGPA?]]&gt;=2.5,"Medium","Low"))</f>
        <v>Medium</v>
      </c>
      <c r="AG1174" t="str">
        <f>IF(AND(Table1[[#This Row],[Average attendance on class]]&lt;75,Table1[[#This Row],[How many hour do you study daily?]]&lt;1),"At Risk","Normal")</f>
        <v>Normal</v>
      </c>
      <c r="AH1174">
        <f>(Table1[[#This Row],[Average attendance on class]]*0.4)+(Table1[[#This Row],[How many hour do you study daily?]]*10*0.3)+(Table1[[#This Row],[How many hour do you spent daily on your skill development?]]*10*0.3)</f>
        <v>40</v>
      </c>
    </row>
    <row r="1175" spans="1:34" x14ac:dyDescent="0.25">
      <c r="A1175">
        <v>2020</v>
      </c>
      <c r="B1175" t="s">
        <v>34</v>
      </c>
      <c r="C1175">
        <v>22</v>
      </c>
      <c r="D1175">
        <v>2019</v>
      </c>
      <c r="E1175" t="s">
        <v>35</v>
      </c>
      <c r="F1175">
        <v>9</v>
      </c>
      <c r="G1175" t="s">
        <v>37</v>
      </c>
      <c r="H1175" t="s">
        <v>36</v>
      </c>
      <c r="I1175">
        <v>4</v>
      </c>
      <c r="J1175">
        <v>3</v>
      </c>
      <c r="K1175" t="s">
        <v>38</v>
      </c>
      <c r="L1175" t="s">
        <v>36</v>
      </c>
      <c r="M1175" t="s">
        <v>36</v>
      </c>
      <c r="N1175">
        <v>3</v>
      </c>
      <c r="O1175" t="s">
        <v>39</v>
      </c>
      <c r="P1175">
        <v>76</v>
      </c>
      <c r="Q1175" t="s">
        <v>36</v>
      </c>
      <c r="R1175" t="s">
        <v>37</v>
      </c>
      <c r="S1175" t="s">
        <v>36</v>
      </c>
      <c r="T1175" t="s">
        <v>51</v>
      </c>
      <c r="U1175">
        <v>2</v>
      </c>
      <c r="V1175" t="s">
        <v>59</v>
      </c>
      <c r="W1175" t="s">
        <v>56</v>
      </c>
      <c r="X1175" t="s">
        <v>37</v>
      </c>
      <c r="Y1175" t="s">
        <v>47</v>
      </c>
      <c r="Z1175" t="s">
        <v>37</v>
      </c>
      <c r="AA1175">
        <v>1.34</v>
      </c>
      <c r="AB1175" t="s">
        <v>37</v>
      </c>
      <c r="AC1175">
        <v>2.48</v>
      </c>
      <c r="AD1175">
        <v>103</v>
      </c>
      <c r="AE1175">
        <v>117000</v>
      </c>
      <c r="AF1175" t="str">
        <f>IF(Table1[[#This Row],[What is your current CGPA?]]&gt;=3.5,"High",IF(Table1[[#This Row],[What is your current CGPA?]]&gt;=2.5,"Medium","Low"))</f>
        <v>Low</v>
      </c>
      <c r="AG1175" t="str">
        <f>IF(AND(Table1[[#This Row],[Average attendance on class]]&lt;75,Table1[[#This Row],[How many hour do you study daily?]]&lt;1),"At Risk","Normal")</f>
        <v>Normal</v>
      </c>
      <c r="AH1175">
        <f>(Table1[[#This Row],[Average attendance on class]]*0.4)+(Table1[[#This Row],[How many hour do you study daily?]]*10*0.3)+(Table1[[#This Row],[How many hour do you spent daily on your skill development?]]*10*0.3)</f>
        <v>48.400000000000006</v>
      </c>
    </row>
    <row r="1176" spans="1:34" x14ac:dyDescent="0.25">
      <c r="A1176">
        <v>2019</v>
      </c>
      <c r="B1176" t="s">
        <v>48</v>
      </c>
      <c r="C1176">
        <v>25</v>
      </c>
      <c r="D1176">
        <v>2018</v>
      </c>
      <c r="E1176" t="s">
        <v>35</v>
      </c>
      <c r="F1176">
        <v>11</v>
      </c>
      <c r="G1176" t="s">
        <v>36</v>
      </c>
      <c r="H1176" t="s">
        <v>36</v>
      </c>
      <c r="I1176">
        <v>6</v>
      </c>
      <c r="J1176">
        <v>3</v>
      </c>
      <c r="K1176" t="s">
        <v>38</v>
      </c>
      <c r="L1176" t="s">
        <v>36</v>
      </c>
      <c r="M1176" t="s">
        <v>36</v>
      </c>
      <c r="N1176">
        <v>3</v>
      </c>
      <c r="O1176" t="s">
        <v>39</v>
      </c>
      <c r="P1176">
        <v>90</v>
      </c>
      <c r="Q1176" t="s">
        <v>37</v>
      </c>
      <c r="R1176" t="s">
        <v>37</v>
      </c>
      <c r="S1176" t="s">
        <v>36</v>
      </c>
      <c r="T1176" t="s">
        <v>49</v>
      </c>
      <c r="U1176">
        <v>2</v>
      </c>
      <c r="V1176" t="s">
        <v>59</v>
      </c>
      <c r="W1176" t="s">
        <v>42</v>
      </c>
      <c r="X1176" t="s">
        <v>37</v>
      </c>
      <c r="Y1176" t="s">
        <v>47</v>
      </c>
      <c r="Z1176" t="s">
        <v>37</v>
      </c>
      <c r="AA1176">
        <v>2.0699999999999998</v>
      </c>
      <c r="AB1176" t="s">
        <v>37</v>
      </c>
      <c r="AC1176">
        <v>3.12</v>
      </c>
      <c r="AD1176">
        <v>144</v>
      </c>
      <c r="AE1176">
        <v>119000</v>
      </c>
      <c r="AF1176" t="str">
        <f>IF(Table1[[#This Row],[What is your current CGPA?]]&gt;=3.5,"High",IF(Table1[[#This Row],[What is your current CGPA?]]&gt;=2.5,"Medium","Low"))</f>
        <v>Medium</v>
      </c>
      <c r="AG1176" t="str">
        <f>IF(AND(Table1[[#This Row],[Average attendance on class]]&lt;75,Table1[[#This Row],[How many hour do you study daily?]]&lt;1),"At Risk","Normal")</f>
        <v>Normal</v>
      </c>
      <c r="AH1176">
        <f>(Table1[[#This Row],[Average attendance on class]]*0.4)+(Table1[[#This Row],[How many hour do you study daily?]]*10*0.3)+(Table1[[#This Row],[How many hour do you spent daily on your skill development?]]*10*0.3)</f>
        <v>60</v>
      </c>
    </row>
    <row r="1177" spans="1:34" x14ac:dyDescent="0.25">
      <c r="A1177">
        <v>2020</v>
      </c>
      <c r="B1177" t="s">
        <v>34</v>
      </c>
      <c r="C1177">
        <v>20</v>
      </c>
      <c r="D1177">
        <v>2020</v>
      </c>
      <c r="E1177" t="s">
        <v>35</v>
      </c>
      <c r="F1177">
        <v>11</v>
      </c>
      <c r="G1177" t="s">
        <v>37</v>
      </c>
      <c r="H1177" t="s">
        <v>36</v>
      </c>
      <c r="I1177">
        <v>4</v>
      </c>
      <c r="J1177">
        <v>1</v>
      </c>
      <c r="K1177" t="s">
        <v>44</v>
      </c>
      <c r="L1177" t="s">
        <v>36</v>
      </c>
      <c r="M1177" t="s">
        <v>36</v>
      </c>
      <c r="N1177">
        <v>2</v>
      </c>
      <c r="O1177" t="s">
        <v>53</v>
      </c>
      <c r="P1177">
        <v>100</v>
      </c>
      <c r="Q1177" t="s">
        <v>36</v>
      </c>
      <c r="R1177" t="s">
        <v>37</v>
      </c>
      <c r="S1177" t="s">
        <v>37</v>
      </c>
      <c r="T1177" t="s">
        <v>61</v>
      </c>
      <c r="U1177">
        <v>1</v>
      </c>
      <c r="V1177" t="s">
        <v>41</v>
      </c>
      <c r="W1177" t="s">
        <v>42</v>
      </c>
      <c r="X1177" t="s">
        <v>36</v>
      </c>
      <c r="Y1177" t="s">
        <v>43</v>
      </c>
      <c r="Z1177" t="s">
        <v>37</v>
      </c>
      <c r="AA1177">
        <v>2.56</v>
      </c>
      <c r="AB1177" t="s">
        <v>37</v>
      </c>
      <c r="AC1177">
        <v>3.6</v>
      </c>
      <c r="AD1177">
        <v>143</v>
      </c>
      <c r="AE1177">
        <v>120000</v>
      </c>
      <c r="AF1177" t="str">
        <f>IF(Table1[[#This Row],[What is your current CGPA?]]&gt;=3.5,"High",IF(Table1[[#This Row],[What is your current CGPA?]]&gt;=2.5,"Medium","Low"))</f>
        <v>High</v>
      </c>
      <c r="AG1177" t="str">
        <f>IF(AND(Table1[[#This Row],[Average attendance on class]]&lt;75,Table1[[#This Row],[How many hour do you study daily?]]&lt;1),"At Risk","Normal")</f>
        <v>Normal</v>
      </c>
      <c r="AH1177">
        <f>(Table1[[#This Row],[Average attendance on class]]*0.4)+(Table1[[#This Row],[How many hour do you study daily?]]*10*0.3)+(Table1[[#This Row],[How many hour do you spent daily on your skill development?]]*10*0.3)</f>
        <v>55</v>
      </c>
    </row>
    <row r="1178" spans="1:34" x14ac:dyDescent="0.25">
      <c r="A1178">
        <v>2022</v>
      </c>
      <c r="B1178" t="s">
        <v>48</v>
      </c>
      <c r="C1178">
        <v>21</v>
      </c>
      <c r="D1178">
        <v>2021</v>
      </c>
      <c r="E1178" t="s">
        <v>35</v>
      </c>
      <c r="F1178">
        <v>6</v>
      </c>
      <c r="G1178" t="s">
        <v>37</v>
      </c>
      <c r="H1178" t="s">
        <v>36</v>
      </c>
      <c r="I1178">
        <v>3</v>
      </c>
      <c r="J1178">
        <v>1</v>
      </c>
      <c r="K1178" t="s">
        <v>38</v>
      </c>
      <c r="L1178" t="s">
        <v>36</v>
      </c>
      <c r="M1178" t="s">
        <v>36</v>
      </c>
      <c r="N1178">
        <v>2</v>
      </c>
      <c r="O1178" t="s">
        <v>45</v>
      </c>
      <c r="P1178">
        <v>63</v>
      </c>
      <c r="Q1178" t="s">
        <v>37</v>
      </c>
      <c r="R1178" t="s">
        <v>37</v>
      </c>
      <c r="S1178" t="s">
        <v>36</v>
      </c>
      <c r="T1178" t="s">
        <v>51</v>
      </c>
      <c r="U1178">
        <v>2</v>
      </c>
      <c r="V1178" t="s">
        <v>59</v>
      </c>
      <c r="W1178" t="s">
        <v>42</v>
      </c>
      <c r="X1178" t="s">
        <v>37</v>
      </c>
      <c r="Y1178" t="s">
        <v>47</v>
      </c>
      <c r="Z1178" t="s">
        <v>37</v>
      </c>
      <c r="AA1178">
        <v>1.77</v>
      </c>
      <c r="AB1178" t="s">
        <v>37</v>
      </c>
      <c r="AC1178">
        <v>2.8</v>
      </c>
      <c r="AD1178">
        <v>78</v>
      </c>
      <c r="AE1178">
        <v>120000</v>
      </c>
      <c r="AF1178" t="str">
        <f>IF(Table1[[#This Row],[What is your current CGPA?]]&gt;=3.5,"High",IF(Table1[[#This Row],[What is your current CGPA?]]&gt;=2.5,"Medium","Low"))</f>
        <v>Medium</v>
      </c>
      <c r="AG1178" t="str">
        <f>IF(AND(Table1[[#This Row],[Average attendance on class]]&lt;75,Table1[[#This Row],[How many hour do you study daily?]]&lt;1),"At Risk","Normal")</f>
        <v>Normal</v>
      </c>
      <c r="AH1178">
        <f>(Table1[[#This Row],[Average attendance on class]]*0.4)+(Table1[[#This Row],[How many hour do you study daily?]]*10*0.3)+(Table1[[#This Row],[How many hour do you spent daily on your skill development?]]*10*0.3)</f>
        <v>40.200000000000003</v>
      </c>
    </row>
    <row r="1179" spans="1:34" x14ac:dyDescent="0.25">
      <c r="A1179">
        <v>2022</v>
      </c>
      <c r="B1179" t="s">
        <v>48</v>
      </c>
      <c r="C1179">
        <v>20</v>
      </c>
      <c r="D1179">
        <v>2021</v>
      </c>
      <c r="E1179" t="s">
        <v>35</v>
      </c>
      <c r="F1179">
        <v>6</v>
      </c>
      <c r="G1179" t="s">
        <v>37</v>
      </c>
      <c r="H1179" t="s">
        <v>36</v>
      </c>
      <c r="I1179">
        <v>3</v>
      </c>
      <c r="J1179">
        <v>2</v>
      </c>
      <c r="K1179" t="s">
        <v>38</v>
      </c>
      <c r="L1179" t="s">
        <v>36</v>
      </c>
      <c r="M1179" t="s">
        <v>36</v>
      </c>
      <c r="N1179">
        <v>3</v>
      </c>
      <c r="O1179" t="s">
        <v>45</v>
      </c>
      <c r="P1179">
        <v>66</v>
      </c>
      <c r="Q1179" t="s">
        <v>36</v>
      </c>
      <c r="R1179" t="s">
        <v>36</v>
      </c>
      <c r="S1179" t="s">
        <v>37</v>
      </c>
      <c r="T1179" t="s">
        <v>51</v>
      </c>
      <c r="U1179">
        <v>4</v>
      </c>
      <c r="V1179" t="s">
        <v>59</v>
      </c>
      <c r="W1179" t="s">
        <v>50</v>
      </c>
      <c r="X1179" t="s">
        <v>37</v>
      </c>
      <c r="Y1179" t="s">
        <v>43</v>
      </c>
      <c r="Z1179" t="s">
        <v>37</v>
      </c>
      <c r="AA1179">
        <v>2.67</v>
      </c>
      <c r="AB1179" t="s">
        <v>37</v>
      </c>
      <c r="AC1179">
        <v>3.77</v>
      </c>
      <c r="AD1179">
        <v>78</v>
      </c>
      <c r="AE1179">
        <v>120000</v>
      </c>
      <c r="AF1179" t="str">
        <f>IF(Table1[[#This Row],[What is your current CGPA?]]&gt;=3.5,"High",IF(Table1[[#This Row],[What is your current CGPA?]]&gt;=2.5,"Medium","Low"))</f>
        <v>High</v>
      </c>
      <c r="AG1179" t="str">
        <f>IF(AND(Table1[[#This Row],[Average attendance on class]]&lt;75,Table1[[#This Row],[How many hour do you study daily?]]&lt;1),"At Risk","Normal")</f>
        <v>Normal</v>
      </c>
      <c r="AH1179">
        <f>(Table1[[#This Row],[Average attendance on class]]*0.4)+(Table1[[#This Row],[How many hour do you study daily?]]*10*0.3)+(Table1[[#This Row],[How many hour do you spent daily on your skill development?]]*10*0.3)</f>
        <v>47.400000000000006</v>
      </c>
    </row>
    <row r="1180" spans="1:34" x14ac:dyDescent="0.25">
      <c r="A1180">
        <v>2019</v>
      </c>
      <c r="B1180" t="s">
        <v>48</v>
      </c>
      <c r="C1180">
        <v>22</v>
      </c>
      <c r="D1180">
        <v>2019</v>
      </c>
      <c r="E1180" t="s">
        <v>35</v>
      </c>
      <c r="F1180">
        <v>11</v>
      </c>
      <c r="G1180" t="s">
        <v>37</v>
      </c>
      <c r="H1180" t="s">
        <v>36</v>
      </c>
      <c r="I1180">
        <v>2</v>
      </c>
      <c r="J1180">
        <v>1</v>
      </c>
      <c r="K1180" t="s">
        <v>38</v>
      </c>
      <c r="L1180" t="s">
        <v>36</v>
      </c>
      <c r="M1180" t="s">
        <v>36</v>
      </c>
      <c r="N1180">
        <v>3</v>
      </c>
      <c r="O1180" t="s">
        <v>45</v>
      </c>
      <c r="P1180">
        <v>100</v>
      </c>
      <c r="Q1180" t="s">
        <v>37</v>
      </c>
      <c r="R1180" t="s">
        <v>37</v>
      </c>
      <c r="S1180" t="s">
        <v>36</v>
      </c>
      <c r="T1180" t="s">
        <v>40</v>
      </c>
      <c r="U1180">
        <v>4</v>
      </c>
      <c r="V1180" t="s">
        <v>40</v>
      </c>
      <c r="W1180" t="s">
        <v>42</v>
      </c>
      <c r="X1180" t="s">
        <v>36</v>
      </c>
      <c r="Y1180" t="s">
        <v>43</v>
      </c>
      <c r="Z1180" t="s">
        <v>37</v>
      </c>
      <c r="AA1180">
        <v>1.86</v>
      </c>
      <c r="AB1180" t="s">
        <v>37</v>
      </c>
      <c r="AC1180">
        <v>2.93</v>
      </c>
      <c r="AD1180">
        <v>143</v>
      </c>
      <c r="AE1180">
        <v>121000</v>
      </c>
      <c r="AF1180" t="str">
        <f>IF(Table1[[#This Row],[What is your current CGPA?]]&gt;=3.5,"High",IF(Table1[[#This Row],[What is your current CGPA?]]&gt;=2.5,"Medium","Low"))</f>
        <v>Medium</v>
      </c>
      <c r="AG1180" t="str">
        <f>IF(AND(Table1[[#This Row],[Average attendance on class]]&lt;75,Table1[[#This Row],[How many hour do you study daily?]]&lt;1),"At Risk","Normal")</f>
        <v>Normal</v>
      </c>
      <c r="AH1180">
        <f>(Table1[[#This Row],[Average attendance on class]]*0.4)+(Table1[[#This Row],[How many hour do you study daily?]]*10*0.3)+(Table1[[#This Row],[How many hour do you spent daily on your skill development?]]*10*0.3)</f>
        <v>58</v>
      </c>
    </row>
    <row r="1181" spans="1:34" x14ac:dyDescent="0.25">
      <c r="A1181">
        <v>2022</v>
      </c>
      <c r="B1181" t="s">
        <v>34</v>
      </c>
      <c r="C1181">
        <v>20</v>
      </c>
      <c r="D1181">
        <v>2020</v>
      </c>
      <c r="E1181" t="s">
        <v>35</v>
      </c>
      <c r="F1181">
        <v>5</v>
      </c>
      <c r="G1181" t="s">
        <v>37</v>
      </c>
      <c r="H1181" t="s">
        <v>36</v>
      </c>
      <c r="I1181">
        <v>1</v>
      </c>
      <c r="J1181">
        <v>2</v>
      </c>
      <c r="K1181" t="s">
        <v>38</v>
      </c>
      <c r="L1181" t="s">
        <v>36</v>
      </c>
      <c r="M1181" t="s">
        <v>36</v>
      </c>
      <c r="N1181">
        <v>3</v>
      </c>
      <c r="O1181" t="s">
        <v>39</v>
      </c>
      <c r="P1181">
        <v>100</v>
      </c>
      <c r="Q1181" t="s">
        <v>36</v>
      </c>
      <c r="R1181" t="s">
        <v>37</v>
      </c>
      <c r="S1181" t="s">
        <v>36</v>
      </c>
      <c r="T1181" t="s">
        <v>40</v>
      </c>
      <c r="U1181">
        <v>4</v>
      </c>
      <c r="V1181" t="s">
        <v>40</v>
      </c>
      <c r="W1181" t="s">
        <v>42</v>
      </c>
      <c r="X1181" t="s">
        <v>36</v>
      </c>
      <c r="Y1181" t="s">
        <v>43</v>
      </c>
      <c r="Z1181" t="s">
        <v>37</v>
      </c>
      <c r="AA1181">
        <v>1.87</v>
      </c>
      <c r="AB1181" t="s">
        <v>37</v>
      </c>
      <c r="AC1181">
        <v>2.94</v>
      </c>
      <c r="AD1181">
        <v>68</v>
      </c>
      <c r="AE1181">
        <v>121000</v>
      </c>
      <c r="AF1181" t="str">
        <f>IF(Table1[[#This Row],[What is your current CGPA?]]&gt;=3.5,"High",IF(Table1[[#This Row],[What is your current CGPA?]]&gt;=2.5,"Medium","Low"))</f>
        <v>Medium</v>
      </c>
      <c r="AG1181" t="str">
        <f>IF(AND(Table1[[#This Row],[Average attendance on class]]&lt;75,Table1[[#This Row],[How many hour do you study daily?]]&lt;1),"At Risk","Normal")</f>
        <v>Normal</v>
      </c>
      <c r="AH1181">
        <f>(Table1[[#This Row],[Average attendance on class]]*0.4)+(Table1[[#This Row],[How many hour do you study daily?]]*10*0.3)+(Table1[[#This Row],[How many hour do you spent daily on your skill development?]]*10*0.3)</f>
        <v>55</v>
      </c>
    </row>
    <row r="1182" spans="1:34" x14ac:dyDescent="0.25">
      <c r="A1182">
        <v>2021</v>
      </c>
      <c r="B1182" t="s">
        <v>34</v>
      </c>
      <c r="C1182">
        <v>20</v>
      </c>
      <c r="D1182">
        <v>2019</v>
      </c>
      <c r="E1182" t="s">
        <v>35</v>
      </c>
      <c r="F1182">
        <v>7</v>
      </c>
      <c r="G1182" t="s">
        <v>37</v>
      </c>
      <c r="H1182" t="s">
        <v>36</v>
      </c>
      <c r="I1182">
        <v>2</v>
      </c>
      <c r="J1182">
        <v>1</v>
      </c>
      <c r="K1182" t="s">
        <v>44</v>
      </c>
      <c r="L1182" t="s">
        <v>36</v>
      </c>
      <c r="M1182" t="s">
        <v>36</v>
      </c>
      <c r="N1182">
        <v>9</v>
      </c>
      <c r="O1182" t="s">
        <v>39</v>
      </c>
      <c r="P1182">
        <v>80</v>
      </c>
      <c r="Q1182" t="s">
        <v>36</v>
      </c>
      <c r="R1182" t="s">
        <v>37</v>
      </c>
      <c r="S1182" t="s">
        <v>36</v>
      </c>
      <c r="T1182" t="s">
        <v>40</v>
      </c>
      <c r="U1182">
        <v>2</v>
      </c>
      <c r="V1182" t="s">
        <v>40</v>
      </c>
      <c r="W1182" t="s">
        <v>42</v>
      </c>
      <c r="X1182" t="s">
        <v>37</v>
      </c>
      <c r="Y1182" t="s">
        <v>47</v>
      </c>
      <c r="Z1182" t="s">
        <v>36</v>
      </c>
      <c r="AA1182">
        <v>1.22</v>
      </c>
      <c r="AB1182" t="s">
        <v>37</v>
      </c>
      <c r="AC1182">
        <v>2.78</v>
      </c>
      <c r="AD1182">
        <v>107</v>
      </c>
      <c r="AE1182">
        <v>130000</v>
      </c>
      <c r="AF1182" t="str">
        <f>IF(Table1[[#This Row],[What is your current CGPA?]]&gt;=3.5,"High",IF(Table1[[#This Row],[What is your current CGPA?]]&gt;=2.5,"Medium","Low"))</f>
        <v>Medium</v>
      </c>
      <c r="AG1182" t="str">
        <f>IF(AND(Table1[[#This Row],[Average attendance on class]]&lt;75,Table1[[#This Row],[How many hour do you study daily?]]&lt;1),"At Risk","Normal")</f>
        <v>Normal</v>
      </c>
      <c r="AH1182">
        <f>(Table1[[#This Row],[Average attendance on class]]*0.4)+(Table1[[#This Row],[How many hour do you study daily?]]*10*0.3)+(Table1[[#This Row],[How many hour do you spent daily on your skill development?]]*10*0.3)</f>
        <v>44</v>
      </c>
    </row>
    <row r="1183" spans="1:34" x14ac:dyDescent="0.25">
      <c r="A1183">
        <v>2022</v>
      </c>
      <c r="B1183" t="s">
        <v>48</v>
      </c>
      <c r="C1183">
        <v>21</v>
      </c>
      <c r="D1183">
        <v>2021</v>
      </c>
      <c r="E1183" t="s">
        <v>35</v>
      </c>
      <c r="F1183">
        <v>6</v>
      </c>
      <c r="G1183" t="s">
        <v>37</v>
      </c>
      <c r="H1183" t="s">
        <v>36</v>
      </c>
      <c r="I1183">
        <v>3</v>
      </c>
      <c r="J1183">
        <v>3</v>
      </c>
      <c r="K1183" t="s">
        <v>38</v>
      </c>
      <c r="L1183" t="s">
        <v>36</v>
      </c>
      <c r="M1183" t="s">
        <v>36</v>
      </c>
      <c r="N1183">
        <v>2</v>
      </c>
      <c r="O1183" t="s">
        <v>39</v>
      </c>
      <c r="P1183">
        <v>100</v>
      </c>
      <c r="Q1183" t="s">
        <v>36</v>
      </c>
      <c r="R1183" t="s">
        <v>37</v>
      </c>
      <c r="S1183" t="s">
        <v>36</v>
      </c>
      <c r="T1183" t="s">
        <v>49</v>
      </c>
      <c r="U1183">
        <v>4</v>
      </c>
      <c r="V1183" t="s">
        <v>41</v>
      </c>
      <c r="W1183" t="s">
        <v>50</v>
      </c>
      <c r="X1183" t="s">
        <v>36</v>
      </c>
      <c r="Y1183" t="s">
        <v>43</v>
      </c>
      <c r="Z1183" t="s">
        <v>37</v>
      </c>
      <c r="AA1183">
        <v>1.4</v>
      </c>
      <c r="AB1183" t="s">
        <v>37</v>
      </c>
      <c r="AC1183">
        <v>2.54</v>
      </c>
      <c r="AD1183">
        <v>77</v>
      </c>
      <c r="AE1183">
        <v>130000</v>
      </c>
      <c r="AF1183" t="str">
        <f>IF(Table1[[#This Row],[What is your current CGPA?]]&gt;=3.5,"High",IF(Table1[[#This Row],[What is your current CGPA?]]&gt;=2.5,"Medium","Low"))</f>
        <v>Medium</v>
      </c>
      <c r="AG1183" t="str">
        <f>IF(AND(Table1[[#This Row],[Average attendance on class]]&lt;75,Table1[[#This Row],[How many hour do you study daily?]]&lt;1),"At Risk","Normal")</f>
        <v>Normal</v>
      </c>
      <c r="AH1183">
        <f>(Table1[[#This Row],[Average attendance on class]]*0.4)+(Table1[[#This Row],[How many hour do you study daily?]]*10*0.3)+(Table1[[#This Row],[How many hour do you spent daily on your skill development?]]*10*0.3)</f>
        <v>61</v>
      </c>
    </row>
    <row r="1184" spans="1:34" x14ac:dyDescent="0.25">
      <c r="A1184">
        <v>2022</v>
      </c>
      <c r="B1184" t="s">
        <v>48</v>
      </c>
      <c r="C1184">
        <v>20</v>
      </c>
      <c r="D1184">
        <v>2021</v>
      </c>
      <c r="E1184" t="s">
        <v>35</v>
      </c>
      <c r="F1184">
        <v>5</v>
      </c>
      <c r="G1184" t="s">
        <v>37</v>
      </c>
      <c r="H1184" t="s">
        <v>36</v>
      </c>
      <c r="I1184">
        <v>3</v>
      </c>
      <c r="J1184">
        <v>3</v>
      </c>
      <c r="K1184" t="s">
        <v>44</v>
      </c>
      <c r="L1184" t="s">
        <v>36</v>
      </c>
      <c r="M1184" t="s">
        <v>36</v>
      </c>
      <c r="N1184">
        <v>1</v>
      </c>
      <c r="O1184" t="s">
        <v>39</v>
      </c>
      <c r="P1184">
        <v>100</v>
      </c>
      <c r="Q1184" t="s">
        <v>37</v>
      </c>
      <c r="R1184" t="s">
        <v>37</v>
      </c>
      <c r="S1184" t="s">
        <v>36</v>
      </c>
      <c r="T1184" t="s">
        <v>61</v>
      </c>
      <c r="U1184">
        <v>2</v>
      </c>
      <c r="V1184" t="s">
        <v>41</v>
      </c>
      <c r="W1184" t="s">
        <v>42</v>
      </c>
      <c r="X1184" t="s">
        <v>36</v>
      </c>
      <c r="Y1184" t="s">
        <v>47</v>
      </c>
      <c r="Z1184" t="s">
        <v>37</v>
      </c>
      <c r="AA1184">
        <v>1.78</v>
      </c>
      <c r="AB1184" t="s">
        <v>37</v>
      </c>
      <c r="AC1184">
        <v>2.83</v>
      </c>
      <c r="AD1184">
        <v>59</v>
      </c>
      <c r="AE1184">
        <v>135000</v>
      </c>
      <c r="AF1184" t="str">
        <f>IF(Table1[[#This Row],[What is your current CGPA?]]&gt;=3.5,"High",IF(Table1[[#This Row],[What is your current CGPA?]]&gt;=2.5,"Medium","Low"))</f>
        <v>Medium</v>
      </c>
      <c r="AG1184" t="str">
        <f>IF(AND(Table1[[#This Row],[Average attendance on class]]&lt;75,Table1[[#This Row],[How many hour do you study daily?]]&lt;1),"At Risk","Normal")</f>
        <v>Normal</v>
      </c>
      <c r="AH1184">
        <f>(Table1[[#This Row],[Average attendance on class]]*0.4)+(Table1[[#This Row],[How many hour do you study daily?]]*10*0.3)+(Table1[[#This Row],[How many hour do you spent daily on your skill development?]]*10*0.3)</f>
        <v>55</v>
      </c>
    </row>
    <row r="1185" spans="1:34" x14ac:dyDescent="0.25">
      <c r="A1185">
        <v>2022</v>
      </c>
      <c r="B1185" t="s">
        <v>34</v>
      </c>
      <c r="C1185">
        <v>20</v>
      </c>
      <c r="D1185">
        <v>2021</v>
      </c>
      <c r="E1185" t="s">
        <v>35</v>
      </c>
      <c r="F1185">
        <v>5</v>
      </c>
      <c r="G1185" t="s">
        <v>37</v>
      </c>
      <c r="H1185" t="s">
        <v>36</v>
      </c>
      <c r="I1185">
        <v>4</v>
      </c>
      <c r="J1185">
        <v>3</v>
      </c>
      <c r="K1185" t="s">
        <v>38</v>
      </c>
      <c r="L1185" t="s">
        <v>36</v>
      </c>
      <c r="M1185" t="s">
        <v>36</v>
      </c>
      <c r="N1185">
        <v>3</v>
      </c>
      <c r="O1185" t="s">
        <v>39</v>
      </c>
      <c r="P1185">
        <v>78</v>
      </c>
      <c r="Q1185" t="s">
        <v>37</v>
      </c>
      <c r="R1185" t="s">
        <v>37</v>
      </c>
      <c r="S1185" t="s">
        <v>36</v>
      </c>
      <c r="T1185" t="s">
        <v>40</v>
      </c>
      <c r="U1185">
        <v>4</v>
      </c>
      <c r="V1185" t="s">
        <v>40</v>
      </c>
      <c r="W1185" t="s">
        <v>56</v>
      </c>
      <c r="X1185" t="s">
        <v>37</v>
      </c>
      <c r="Y1185" t="s">
        <v>47</v>
      </c>
      <c r="Z1185" t="s">
        <v>37</v>
      </c>
      <c r="AA1185">
        <v>1.77</v>
      </c>
      <c r="AB1185" t="s">
        <v>37</v>
      </c>
      <c r="AC1185">
        <v>2.85</v>
      </c>
      <c r="AD1185">
        <v>63</v>
      </c>
      <c r="AE1185">
        <v>136000</v>
      </c>
      <c r="AF1185" t="str">
        <f>IF(Table1[[#This Row],[What is your current CGPA?]]&gt;=3.5,"High",IF(Table1[[#This Row],[What is your current CGPA?]]&gt;=2.5,"Medium","Low"))</f>
        <v>Medium</v>
      </c>
      <c r="AG1185" t="str">
        <f>IF(AND(Table1[[#This Row],[Average attendance on class]]&lt;75,Table1[[#This Row],[How many hour do you study daily?]]&lt;1),"At Risk","Normal")</f>
        <v>Normal</v>
      </c>
      <c r="AH1185">
        <f>(Table1[[#This Row],[Average attendance on class]]*0.4)+(Table1[[#This Row],[How many hour do you study daily?]]*10*0.3)+(Table1[[#This Row],[How many hour do you spent daily on your skill development?]]*10*0.3)</f>
        <v>55.2</v>
      </c>
    </row>
    <row r="1186" spans="1:34" x14ac:dyDescent="0.25">
      <c r="A1186">
        <v>2019</v>
      </c>
      <c r="B1186" t="s">
        <v>34</v>
      </c>
      <c r="C1186">
        <v>22</v>
      </c>
      <c r="D1186">
        <v>2018</v>
      </c>
      <c r="E1186" t="s">
        <v>35</v>
      </c>
      <c r="F1186">
        <v>11</v>
      </c>
      <c r="G1186" t="s">
        <v>37</v>
      </c>
      <c r="H1186" t="s">
        <v>36</v>
      </c>
      <c r="I1186">
        <v>5</v>
      </c>
      <c r="J1186">
        <v>3</v>
      </c>
      <c r="K1186" t="s">
        <v>38</v>
      </c>
      <c r="L1186" t="s">
        <v>36</v>
      </c>
      <c r="M1186" t="s">
        <v>37</v>
      </c>
      <c r="N1186">
        <v>5</v>
      </c>
      <c r="O1186" t="s">
        <v>53</v>
      </c>
      <c r="P1186">
        <v>100</v>
      </c>
      <c r="Q1186" t="s">
        <v>37</v>
      </c>
      <c r="R1186" t="s">
        <v>37</v>
      </c>
      <c r="S1186" t="s">
        <v>37</v>
      </c>
      <c r="T1186" t="s">
        <v>40</v>
      </c>
      <c r="U1186">
        <v>1</v>
      </c>
      <c r="V1186" t="s">
        <v>62</v>
      </c>
      <c r="W1186" t="s">
        <v>42</v>
      </c>
      <c r="X1186" t="s">
        <v>37</v>
      </c>
      <c r="Y1186" t="s">
        <v>47</v>
      </c>
      <c r="Z1186" t="s">
        <v>36</v>
      </c>
      <c r="AA1186">
        <v>2.5499999999999998</v>
      </c>
      <c r="AB1186" t="s">
        <v>37</v>
      </c>
      <c r="AC1186">
        <v>3.66</v>
      </c>
      <c r="AD1186">
        <v>143</v>
      </c>
      <c r="AE1186">
        <v>137000</v>
      </c>
      <c r="AF1186" t="str">
        <f>IF(Table1[[#This Row],[What is your current CGPA?]]&gt;=3.5,"High",IF(Table1[[#This Row],[What is your current CGPA?]]&gt;=2.5,"Medium","Low"))</f>
        <v>High</v>
      </c>
      <c r="AG1186" t="str">
        <f>IF(AND(Table1[[#This Row],[Average attendance on class]]&lt;75,Table1[[#This Row],[How many hour do you study daily?]]&lt;1),"At Risk","Normal")</f>
        <v>Normal</v>
      </c>
      <c r="AH1186">
        <f>(Table1[[#This Row],[Average attendance on class]]*0.4)+(Table1[[#This Row],[How many hour do you study daily?]]*10*0.3)+(Table1[[#This Row],[How many hour do you spent daily on your skill development?]]*10*0.3)</f>
        <v>58</v>
      </c>
    </row>
    <row r="1187" spans="1:34" x14ac:dyDescent="0.25">
      <c r="A1187">
        <v>2021</v>
      </c>
      <c r="B1187" t="s">
        <v>34</v>
      </c>
      <c r="C1187">
        <v>20</v>
      </c>
      <c r="D1187">
        <v>2021</v>
      </c>
      <c r="E1187" t="s">
        <v>35</v>
      </c>
      <c r="F1187">
        <v>9</v>
      </c>
      <c r="G1187" t="s">
        <v>37</v>
      </c>
      <c r="H1187" t="s">
        <v>36</v>
      </c>
      <c r="I1187">
        <v>1</v>
      </c>
      <c r="J1187">
        <v>2</v>
      </c>
      <c r="K1187" t="s">
        <v>38</v>
      </c>
      <c r="L1187" t="s">
        <v>36</v>
      </c>
      <c r="M1187" t="s">
        <v>36</v>
      </c>
      <c r="N1187">
        <v>2</v>
      </c>
      <c r="O1187" t="s">
        <v>53</v>
      </c>
      <c r="P1187">
        <v>100</v>
      </c>
      <c r="Q1187" t="s">
        <v>37</v>
      </c>
      <c r="R1187" t="s">
        <v>37</v>
      </c>
      <c r="S1187" t="s">
        <v>37</v>
      </c>
      <c r="T1187" t="s">
        <v>49</v>
      </c>
      <c r="U1187">
        <v>1</v>
      </c>
      <c r="V1187" t="s">
        <v>40</v>
      </c>
      <c r="W1187" t="s">
        <v>42</v>
      </c>
      <c r="X1187" t="s">
        <v>37</v>
      </c>
      <c r="Y1187" t="s">
        <v>43</v>
      </c>
      <c r="Z1187" t="s">
        <v>36</v>
      </c>
      <c r="AA1187">
        <v>2.65</v>
      </c>
      <c r="AB1187" t="s">
        <v>37</v>
      </c>
      <c r="AC1187">
        <v>3.88</v>
      </c>
      <c r="AD1187">
        <v>125</v>
      </c>
      <c r="AE1187">
        <v>140000</v>
      </c>
      <c r="AF1187" t="str">
        <f>IF(Table1[[#This Row],[What is your current CGPA?]]&gt;=3.5,"High",IF(Table1[[#This Row],[What is your current CGPA?]]&gt;=2.5,"Medium","Low"))</f>
        <v>High</v>
      </c>
      <c r="AG1187" t="str">
        <f>IF(AND(Table1[[#This Row],[Average attendance on class]]&lt;75,Table1[[#This Row],[How many hour do you study daily?]]&lt;1),"At Risk","Normal")</f>
        <v>Normal</v>
      </c>
      <c r="AH1187">
        <f>(Table1[[#This Row],[Average attendance on class]]*0.4)+(Table1[[#This Row],[How many hour do you study daily?]]*10*0.3)+(Table1[[#This Row],[How many hour do you spent daily on your skill development?]]*10*0.3)</f>
        <v>46</v>
      </c>
    </row>
    <row r="1188" spans="1:34" x14ac:dyDescent="0.25">
      <c r="A1188">
        <v>2019</v>
      </c>
      <c r="B1188" t="s">
        <v>48</v>
      </c>
      <c r="C1188">
        <v>25</v>
      </c>
      <c r="D1188">
        <v>2018</v>
      </c>
      <c r="E1188" t="s">
        <v>35</v>
      </c>
      <c r="F1188">
        <v>11</v>
      </c>
      <c r="G1188" t="s">
        <v>36</v>
      </c>
      <c r="H1188" t="s">
        <v>36</v>
      </c>
      <c r="I1188">
        <v>5</v>
      </c>
      <c r="J1188">
        <v>3</v>
      </c>
      <c r="K1188" t="s">
        <v>38</v>
      </c>
      <c r="L1188" t="s">
        <v>36</v>
      </c>
      <c r="M1188" t="s">
        <v>36</v>
      </c>
      <c r="N1188">
        <v>3</v>
      </c>
      <c r="O1188" t="s">
        <v>39</v>
      </c>
      <c r="P1188">
        <v>35</v>
      </c>
      <c r="Q1188" t="s">
        <v>36</v>
      </c>
      <c r="R1188" t="s">
        <v>37</v>
      </c>
      <c r="S1188" t="s">
        <v>36</v>
      </c>
      <c r="T1188" t="s">
        <v>51</v>
      </c>
      <c r="U1188">
        <v>2</v>
      </c>
      <c r="V1188" t="s">
        <v>59</v>
      </c>
      <c r="W1188" t="s">
        <v>50</v>
      </c>
      <c r="X1188" t="s">
        <v>36</v>
      </c>
      <c r="Y1188" t="s">
        <v>43</v>
      </c>
      <c r="Z1188" t="s">
        <v>37</v>
      </c>
      <c r="AA1188">
        <v>2.81</v>
      </c>
      <c r="AB1188" t="s">
        <v>37</v>
      </c>
      <c r="AC1188">
        <v>3.9</v>
      </c>
      <c r="AD1188">
        <v>143</v>
      </c>
      <c r="AE1188">
        <v>144000</v>
      </c>
      <c r="AF1188" t="str">
        <f>IF(Table1[[#This Row],[What is your current CGPA?]]&gt;=3.5,"High",IF(Table1[[#This Row],[What is your current CGPA?]]&gt;=2.5,"Medium","Low"))</f>
        <v>High</v>
      </c>
      <c r="AG1188" t="str">
        <f>IF(AND(Table1[[#This Row],[Average attendance on class]]&lt;75,Table1[[#This Row],[How many hour do you study daily?]]&lt;1),"At Risk","Normal")</f>
        <v>Normal</v>
      </c>
      <c r="AH1188">
        <f>(Table1[[#This Row],[Average attendance on class]]*0.4)+(Table1[[#This Row],[How many hour do you study daily?]]*10*0.3)+(Table1[[#This Row],[How many hour do you spent daily on your skill development?]]*10*0.3)</f>
        <v>35</v>
      </c>
    </row>
    <row r="1189" spans="1:34" x14ac:dyDescent="0.25">
      <c r="A1189">
        <v>2021</v>
      </c>
      <c r="B1189" t="s">
        <v>48</v>
      </c>
      <c r="C1189">
        <v>20</v>
      </c>
      <c r="D1189">
        <v>2020</v>
      </c>
      <c r="E1189" t="s">
        <v>35</v>
      </c>
      <c r="F1189">
        <v>9</v>
      </c>
      <c r="G1189" t="s">
        <v>37</v>
      </c>
      <c r="H1189" t="s">
        <v>36</v>
      </c>
      <c r="I1189">
        <v>2</v>
      </c>
      <c r="J1189">
        <v>2</v>
      </c>
      <c r="K1189" t="s">
        <v>38</v>
      </c>
      <c r="L1189" t="s">
        <v>36</v>
      </c>
      <c r="M1189" t="s">
        <v>36</v>
      </c>
      <c r="N1189">
        <v>3</v>
      </c>
      <c r="O1189" t="s">
        <v>39</v>
      </c>
      <c r="P1189">
        <v>100</v>
      </c>
      <c r="Q1189" t="s">
        <v>37</v>
      </c>
      <c r="R1189" t="s">
        <v>37</v>
      </c>
      <c r="S1189" t="s">
        <v>36</v>
      </c>
      <c r="T1189" t="s">
        <v>40</v>
      </c>
      <c r="U1189">
        <v>2</v>
      </c>
      <c r="V1189" t="s">
        <v>41</v>
      </c>
      <c r="W1189" t="s">
        <v>50</v>
      </c>
      <c r="X1189" t="s">
        <v>36</v>
      </c>
      <c r="Y1189" t="s">
        <v>47</v>
      </c>
      <c r="Z1189" t="s">
        <v>37</v>
      </c>
      <c r="AA1189">
        <v>2.34</v>
      </c>
      <c r="AB1189" t="s">
        <v>37</v>
      </c>
      <c r="AC1189">
        <v>3.44</v>
      </c>
      <c r="AD1189">
        <v>113</v>
      </c>
      <c r="AE1189">
        <v>167000</v>
      </c>
      <c r="AF1189" t="str">
        <f>IF(Table1[[#This Row],[What is your current CGPA?]]&gt;=3.5,"High",IF(Table1[[#This Row],[What is your current CGPA?]]&gt;=2.5,"Medium","Low"))</f>
        <v>Medium</v>
      </c>
      <c r="AG1189" t="str">
        <f>IF(AND(Table1[[#This Row],[Average attendance on class]]&lt;75,Table1[[#This Row],[How many hour do you study daily?]]&lt;1),"At Risk","Normal")</f>
        <v>Normal</v>
      </c>
      <c r="AH1189">
        <f>(Table1[[#This Row],[Average attendance on class]]*0.4)+(Table1[[#This Row],[How many hour do you study daily?]]*10*0.3)+(Table1[[#This Row],[How many hour do you spent daily on your skill development?]]*10*0.3)</f>
        <v>52</v>
      </c>
    </row>
    <row r="1190" spans="1:34" x14ac:dyDescent="0.25">
      <c r="A1190">
        <v>2020</v>
      </c>
      <c r="B1190" t="s">
        <v>34</v>
      </c>
      <c r="C1190">
        <v>20</v>
      </c>
      <c r="D1190">
        <v>2020</v>
      </c>
      <c r="E1190" t="s">
        <v>35</v>
      </c>
      <c r="F1190">
        <v>11</v>
      </c>
      <c r="G1190" t="s">
        <v>37</v>
      </c>
      <c r="H1190" t="s">
        <v>36</v>
      </c>
      <c r="I1190">
        <v>2</v>
      </c>
      <c r="J1190">
        <v>1</v>
      </c>
      <c r="K1190" t="s">
        <v>38</v>
      </c>
      <c r="L1190" t="s">
        <v>36</v>
      </c>
      <c r="M1190" t="s">
        <v>36</v>
      </c>
      <c r="N1190">
        <v>3</v>
      </c>
      <c r="O1190" t="s">
        <v>53</v>
      </c>
      <c r="P1190">
        <v>87</v>
      </c>
      <c r="Q1190" t="s">
        <v>36</v>
      </c>
      <c r="R1190" t="s">
        <v>37</v>
      </c>
      <c r="S1190" t="s">
        <v>37</v>
      </c>
      <c r="T1190" t="s">
        <v>61</v>
      </c>
      <c r="U1190">
        <v>4</v>
      </c>
      <c r="V1190" t="s">
        <v>41</v>
      </c>
      <c r="W1190" t="s">
        <v>42</v>
      </c>
      <c r="X1190" t="s">
        <v>36</v>
      </c>
      <c r="Y1190" t="s">
        <v>47</v>
      </c>
      <c r="Z1190" t="s">
        <v>37</v>
      </c>
      <c r="AA1190">
        <v>2.35</v>
      </c>
      <c r="AB1190" t="s">
        <v>37</v>
      </c>
      <c r="AC1190">
        <v>3.43</v>
      </c>
      <c r="AD1190">
        <v>143</v>
      </c>
      <c r="AE1190">
        <v>170000</v>
      </c>
      <c r="AF1190" t="str">
        <f>IF(Table1[[#This Row],[What is your current CGPA?]]&gt;=3.5,"High",IF(Table1[[#This Row],[What is your current CGPA?]]&gt;=2.5,"Medium","Low"))</f>
        <v>Medium</v>
      </c>
      <c r="AG1190" t="str">
        <f>IF(AND(Table1[[#This Row],[Average attendance on class]]&lt;75,Table1[[#This Row],[How many hour do you study daily?]]&lt;1),"At Risk","Normal")</f>
        <v>Normal</v>
      </c>
      <c r="AH1190">
        <f>(Table1[[#This Row],[Average attendance on class]]*0.4)+(Table1[[#This Row],[How many hour do you study daily?]]*10*0.3)+(Table1[[#This Row],[How many hour do you spent daily on your skill development?]]*10*0.3)</f>
        <v>52.800000000000004</v>
      </c>
    </row>
    <row r="1191" spans="1:34" x14ac:dyDescent="0.25">
      <c r="A1191">
        <v>2021</v>
      </c>
      <c r="B1191" t="s">
        <v>48</v>
      </c>
      <c r="C1191">
        <v>20</v>
      </c>
      <c r="D1191">
        <v>2020</v>
      </c>
      <c r="E1191" t="s">
        <v>35</v>
      </c>
      <c r="F1191">
        <v>8</v>
      </c>
      <c r="G1191" t="s">
        <v>37</v>
      </c>
      <c r="H1191" t="s">
        <v>36</v>
      </c>
      <c r="I1191">
        <v>1</v>
      </c>
      <c r="J1191">
        <v>2</v>
      </c>
      <c r="K1191" t="s">
        <v>44</v>
      </c>
      <c r="L1191" t="s">
        <v>36</v>
      </c>
      <c r="M1191" t="s">
        <v>36</v>
      </c>
      <c r="N1191">
        <v>2</v>
      </c>
      <c r="O1191" t="s">
        <v>45</v>
      </c>
      <c r="P1191">
        <v>46</v>
      </c>
      <c r="Q1191" t="s">
        <v>36</v>
      </c>
      <c r="R1191" t="s">
        <v>37</v>
      </c>
      <c r="S1191" t="s">
        <v>37</v>
      </c>
      <c r="T1191" t="s">
        <v>61</v>
      </c>
      <c r="U1191">
        <v>2</v>
      </c>
      <c r="V1191" t="s">
        <v>41</v>
      </c>
      <c r="W1191" t="s">
        <v>50</v>
      </c>
      <c r="X1191" t="s">
        <v>36</v>
      </c>
      <c r="Y1191" t="s">
        <v>43</v>
      </c>
      <c r="Z1191" t="s">
        <v>37</v>
      </c>
      <c r="AA1191">
        <v>2.65</v>
      </c>
      <c r="AB1191" t="s">
        <v>37</v>
      </c>
      <c r="AC1191">
        <v>3.77</v>
      </c>
      <c r="AD1191">
        <v>100</v>
      </c>
      <c r="AE1191">
        <v>180000</v>
      </c>
      <c r="AF1191" t="str">
        <f>IF(Table1[[#This Row],[What is your current CGPA?]]&gt;=3.5,"High",IF(Table1[[#This Row],[What is your current CGPA?]]&gt;=2.5,"Medium","Low"))</f>
        <v>High</v>
      </c>
      <c r="AG1191" t="str">
        <f>IF(AND(Table1[[#This Row],[Average attendance on class]]&lt;75,Table1[[#This Row],[How many hour do you study daily?]]&lt;1),"At Risk","Normal")</f>
        <v>Normal</v>
      </c>
      <c r="AH1191">
        <f>(Table1[[#This Row],[Average attendance on class]]*0.4)+(Table1[[#This Row],[How many hour do you study daily?]]*10*0.3)+(Table1[[#This Row],[How many hour do you spent daily on your skill development?]]*10*0.3)</f>
        <v>27.400000000000002</v>
      </c>
    </row>
    <row r="1192" spans="1:34" x14ac:dyDescent="0.25">
      <c r="A1192">
        <v>2022</v>
      </c>
      <c r="B1192" t="s">
        <v>34</v>
      </c>
      <c r="C1192">
        <v>23</v>
      </c>
      <c r="D1192">
        <v>2020</v>
      </c>
      <c r="E1192" t="s">
        <v>35</v>
      </c>
      <c r="F1192">
        <v>8</v>
      </c>
      <c r="G1192" t="s">
        <v>36</v>
      </c>
      <c r="H1192" t="s">
        <v>36</v>
      </c>
      <c r="I1192">
        <v>4</v>
      </c>
      <c r="J1192">
        <v>2</v>
      </c>
      <c r="K1192" t="s">
        <v>38</v>
      </c>
      <c r="L1192" t="s">
        <v>36</v>
      </c>
      <c r="M1192" t="s">
        <v>36</v>
      </c>
      <c r="N1192">
        <v>4</v>
      </c>
      <c r="O1192" t="s">
        <v>45</v>
      </c>
      <c r="P1192">
        <v>100</v>
      </c>
      <c r="Q1192" t="s">
        <v>36</v>
      </c>
      <c r="R1192" t="s">
        <v>37</v>
      </c>
      <c r="S1192" t="s">
        <v>36</v>
      </c>
      <c r="T1192" t="s">
        <v>40</v>
      </c>
      <c r="U1192">
        <v>2</v>
      </c>
      <c r="V1192" t="s">
        <v>40</v>
      </c>
      <c r="W1192" t="s">
        <v>42</v>
      </c>
      <c r="X1192" t="s">
        <v>36</v>
      </c>
      <c r="Y1192" t="s">
        <v>43</v>
      </c>
      <c r="Z1192" t="s">
        <v>37</v>
      </c>
      <c r="AA1192">
        <v>2.5</v>
      </c>
      <c r="AB1192" t="s">
        <v>37</v>
      </c>
      <c r="AC1192">
        <v>2.2200000000000002</v>
      </c>
      <c r="AD1192">
        <v>18</v>
      </c>
      <c r="AE1192">
        <v>200000</v>
      </c>
      <c r="AF1192" t="str">
        <f>IF(Table1[[#This Row],[What is your current CGPA?]]&gt;=3.5,"High",IF(Table1[[#This Row],[What is your current CGPA?]]&gt;=2.5,"Medium","Low"))</f>
        <v>Low</v>
      </c>
      <c r="AG1192" t="str">
        <f>IF(AND(Table1[[#This Row],[Average attendance on class]]&lt;75,Table1[[#This Row],[How many hour do you study daily?]]&lt;1),"At Risk","Normal")</f>
        <v>Normal</v>
      </c>
      <c r="AH1192">
        <f>(Table1[[#This Row],[Average attendance on class]]*0.4)+(Table1[[#This Row],[How many hour do you study daily?]]*10*0.3)+(Table1[[#This Row],[How many hour do you spent daily on your skill development?]]*10*0.3)</f>
        <v>58</v>
      </c>
    </row>
    <row r="1193" spans="1:34" x14ac:dyDescent="0.25">
      <c r="A1193">
        <v>2021</v>
      </c>
      <c r="B1193" t="s">
        <v>34</v>
      </c>
      <c r="C1193">
        <v>22</v>
      </c>
      <c r="D1193">
        <v>2020</v>
      </c>
      <c r="E1193" t="s">
        <v>35</v>
      </c>
      <c r="F1193">
        <v>9</v>
      </c>
      <c r="G1193" t="s">
        <v>37</v>
      </c>
      <c r="H1193" t="s">
        <v>36</v>
      </c>
      <c r="I1193">
        <v>3</v>
      </c>
      <c r="J1193">
        <v>2</v>
      </c>
      <c r="K1193" t="s">
        <v>38</v>
      </c>
      <c r="L1193" t="s">
        <v>36</v>
      </c>
      <c r="M1193" t="s">
        <v>37</v>
      </c>
      <c r="N1193">
        <v>2</v>
      </c>
      <c r="O1193" t="s">
        <v>45</v>
      </c>
      <c r="P1193">
        <v>100</v>
      </c>
      <c r="Q1193" t="s">
        <v>36</v>
      </c>
      <c r="R1193" t="s">
        <v>37</v>
      </c>
      <c r="S1193" t="s">
        <v>37</v>
      </c>
      <c r="T1193" t="s">
        <v>51</v>
      </c>
      <c r="U1193">
        <v>2</v>
      </c>
      <c r="V1193" t="s">
        <v>59</v>
      </c>
      <c r="W1193" t="s">
        <v>56</v>
      </c>
      <c r="X1193" t="s">
        <v>36</v>
      </c>
      <c r="Y1193" t="s">
        <v>47</v>
      </c>
      <c r="Z1193" t="s">
        <v>37</v>
      </c>
      <c r="AA1193">
        <v>1.56</v>
      </c>
      <c r="AB1193" t="s">
        <v>37</v>
      </c>
      <c r="AC1193">
        <v>2.78</v>
      </c>
      <c r="AD1193">
        <v>100</v>
      </c>
      <c r="AE1193">
        <v>200000</v>
      </c>
      <c r="AF1193" t="str">
        <f>IF(Table1[[#This Row],[What is your current CGPA?]]&gt;=3.5,"High",IF(Table1[[#This Row],[What is your current CGPA?]]&gt;=2.5,"Medium","Low"))</f>
        <v>Medium</v>
      </c>
      <c r="AG1193" t="str">
        <f>IF(AND(Table1[[#This Row],[Average attendance on class]]&lt;75,Table1[[#This Row],[How many hour do you study daily?]]&lt;1),"At Risk","Normal")</f>
        <v>Normal</v>
      </c>
      <c r="AH1193">
        <f>(Table1[[#This Row],[Average attendance on class]]*0.4)+(Table1[[#This Row],[How many hour do you study daily?]]*10*0.3)+(Table1[[#This Row],[How many hour do you spent daily on your skill development?]]*10*0.3)</f>
        <v>55</v>
      </c>
    </row>
    <row r="1194" spans="1:34" x14ac:dyDescent="0.25">
      <c r="A1194">
        <v>2019</v>
      </c>
      <c r="B1194" t="s">
        <v>48</v>
      </c>
      <c r="C1194">
        <v>25</v>
      </c>
      <c r="D1194">
        <v>2018</v>
      </c>
      <c r="E1194" t="s">
        <v>35</v>
      </c>
      <c r="F1194">
        <v>11</v>
      </c>
      <c r="G1194" t="s">
        <v>37</v>
      </c>
      <c r="H1194" t="s">
        <v>36</v>
      </c>
      <c r="I1194">
        <v>5</v>
      </c>
      <c r="J1194">
        <v>3</v>
      </c>
      <c r="K1194" t="s">
        <v>38</v>
      </c>
      <c r="L1194" t="s">
        <v>36</v>
      </c>
      <c r="M1194" t="s">
        <v>36</v>
      </c>
      <c r="N1194">
        <v>3</v>
      </c>
      <c r="O1194" t="s">
        <v>39</v>
      </c>
      <c r="P1194">
        <v>100</v>
      </c>
      <c r="Q1194" t="s">
        <v>37</v>
      </c>
      <c r="R1194" t="s">
        <v>37</v>
      </c>
      <c r="S1194" t="s">
        <v>36</v>
      </c>
      <c r="T1194" t="s">
        <v>40</v>
      </c>
      <c r="U1194">
        <v>4</v>
      </c>
      <c r="V1194" t="s">
        <v>40</v>
      </c>
      <c r="W1194" t="s">
        <v>42</v>
      </c>
      <c r="X1194" t="s">
        <v>37</v>
      </c>
      <c r="Y1194" t="s">
        <v>43</v>
      </c>
      <c r="Z1194" t="s">
        <v>37</v>
      </c>
      <c r="AA1194">
        <v>1.4</v>
      </c>
      <c r="AB1194" t="s">
        <v>37</v>
      </c>
      <c r="AC1194">
        <v>2.52</v>
      </c>
      <c r="AD1194">
        <v>136</v>
      </c>
      <c r="AE1194">
        <v>210000</v>
      </c>
      <c r="AF1194" t="str">
        <f>IF(Table1[[#This Row],[What is your current CGPA?]]&gt;=3.5,"High",IF(Table1[[#This Row],[What is your current CGPA?]]&gt;=2.5,"Medium","Low"))</f>
        <v>Medium</v>
      </c>
      <c r="AG1194" t="str">
        <f>IF(AND(Table1[[#This Row],[Average attendance on class]]&lt;75,Table1[[#This Row],[How many hour do you study daily?]]&lt;1),"At Risk","Normal")</f>
        <v>Normal</v>
      </c>
      <c r="AH1194">
        <f>(Table1[[#This Row],[Average attendance on class]]*0.4)+(Table1[[#This Row],[How many hour do you study daily?]]*10*0.3)+(Table1[[#This Row],[How many hour do you spent daily on your skill development?]]*10*0.3)</f>
        <v>67</v>
      </c>
    </row>
    <row r="1195" spans="1:34" x14ac:dyDescent="0.25">
      <c r="A1195">
        <v>2018</v>
      </c>
      <c r="B1195" t="s">
        <v>48</v>
      </c>
      <c r="C1195">
        <v>23</v>
      </c>
      <c r="D1195">
        <v>2017</v>
      </c>
      <c r="E1195" t="s">
        <v>35</v>
      </c>
      <c r="F1195">
        <v>11</v>
      </c>
      <c r="G1195" t="s">
        <v>37</v>
      </c>
      <c r="H1195" t="s">
        <v>36</v>
      </c>
      <c r="I1195">
        <v>3</v>
      </c>
      <c r="J1195">
        <v>2</v>
      </c>
      <c r="K1195" t="s">
        <v>44</v>
      </c>
      <c r="L1195" t="s">
        <v>36</v>
      </c>
      <c r="M1195" t="s">
        <v>36</v>
      </c>
      <c r="N1195">
        <v>5</v>
      </c>
      <c r="O1195" t="s">
        <v>39</v>
      </c>
      <c r="P1195">
        <v>100</v>
      </c>
      <c r="Q1195" t="s">
        <v>37</v>
      </c>
      <c r="R1195" t="s">
        <v>37</v>
      </c>
      <c r="S1195" t="s">
        <v>37</v>
      </c>
      <c r="T1195" t="s">
        <v>51</v>
      </c>
      <c r="U1195">
        <v>1</v>
      </c>
      <c r="V1195" t="s">
        <v>59</v>
      </c>
      <c r="W1195" t="s">
        <v>50</v>
      </c>
      <c r="X1195" t="s">
        <v>36</v>
      </c>
      <c r="Y1195" t="s">
        <v>43</v>
      </c>
      <c r="Z1195" t="s">
        <v>37</v>
      </c>
      <c r="AA1195">
        <v>1.34</v>
      </c>
      <c r="AB1195" t="s">
        <v>37</v>
      </c>
      <c r="AC1195">
        <v>2.88</v>
      </c>
      <c r="AD1195">
        <v>88</v>
      </c>
      <c r="AE1195">
        <v>250000</v>
      </c>
      <c r="AF1195" t="str">
        <f>IF(Table1[[#This Row],[What is your current CGPA?]]&gt;=3.5,"High",IF(Table1[[#This Row],[What is your current CGPA?]]&gt;=2.5,"Medium","Low"))</f>
        <v>Medium</v>
      </c>
      <c r="AG1195" t="str">
        <f>IF(AND(Table1[[#This Row],[Average attendance on class]]&lt;75,Table1[[#This Row],[How many hour do you study daily?]]&lt;1),"At Risk","Normal")</f>
        <v>Normal</v>
      </c>
      <c r="AH1195">
        <f>(Table1[[#This Row],[Average attendance on class]]*0.4)+(Table1[[#This Row],[How many hour do you study daily?]]*10*0.3)+(Table1[[#This Row],[How many hour do you spent daily on your skill development?]]*10*0.3)</f>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DA6C2-C161-4EEA-8260-4F84C509A520}">
  <dimension ref="A1:AD208"/>
  <sheetViews>
    <sheetView workbookViewId="0">
      <selection activeCell="T20" sqref="T20"/>
    </sheetView>
  </sheetViews>
  <sheetFormatPr defaultRowHeight="15" x14ac:dyDescent="0.25"/>
  <cols>
    <col min="1" max="1" width="28.85546875" bestFit="1" customWidth="1"/>
    <col min="2" max="2" width="36.28515625" bestFit="1" customWidth="1"/>
    <col min="3" max="3" width="4.5703125" bestFit="1" customWidth="1"/>
    <col min="4" max="4" width="8.42578125" bestFit="1" customWidth="1"/>
    <col min="5" max="5" width="11.42578125" bestFit="1" customWidth="1"/>
    <col min="6" max="10" width="4.85546875" bestFit="1" customWidth="1"/>
    <col min="11" max="11" width="2" bestFit="1" customWidth="1"/>
    <col min="12" max="13" width="4.85546875" bestFit="1" customWidth="1"/>
    <col min="14" max="14" width="3.85546875" bestFit="1" customWidth="1"/>
    <col min="15" max="16" width="4.85546875" bestFit="1" customWidth="1"/>
    <col min="17" max="17" width="32.28515625" bestFit="1" customWidth="1"/>
    <col min="18" max="18" width="4.85546875" bestFit="1" customWidth="1"/>
    <col min="19" max="19" width="3.85546875" bestFit="1" customWidth="1"/>
    <col min="20" max="21" width="4.85546875" bestFit="1" customWidth="1"/>
    <col min="22" max="22" width="3.85546875" bestFit="1" customWidth="1"/>
    <col min="23" max="27" width="4.85546875" bestFit="1" customWidth="1"/>
    <col min="28" max="28" width="14.28515625" customWidth="1"/>
    <col min="29" max="29" width="14.7109375" bestFit="1" customWidth="1"/>
    <col min="30" max="30" width="15.85546875" bestFit="1" customWidth="1"/>
    <col min="31" max="38" width="4.85546875" bestFit="1" customWidth="1"/>
    <col min="39" max="39" width="3.85546875" bestFit="1" customWidth="1"/>
    <col min="40" max="48" width="4.85546875" bestFit="1" customWidth="1"/>
    <col min="49" max="49" width="3.85546875" bestFit="1" customWidth="1"/>
    <col min="50" max="58" width="4.85546875" bestFit="1" customWidth="1"/>
    <col min="59" max="59" width="3.85546875" bestFit="1" customWidth="1"/>
    <col min="60" max="68" width="4.85546875" bestFit="1" customWidth="1"/>
    <col min="69" max="69" width="3.85546875" bestFit="1" customWidth="1"/>
    <col min="70" max="78" width="4.85546875" bestFit="1" customWidth="1"/>
    <col min="79" max="79" width="3.85546875" bestFit="1" customWidth="1"/>
    <col min="80" max="88" width="4.85546875" bestFit="1" customWidth="1"/>
    <col min="89" max="89" width="2" bestFit="1" customWidth="1"/>
    <col min="90" max="97" width="4.85546875" bestFit="1" customWidth="1"/>
    <col min="98" max="98" width="3.85546875" bestFit="1" customWidth="1"/>
    <col min="99" max="107" width="4.85546875" bestFit="1" customWidth="1"/>
    <col min="108" max="108" width="3.85546875" bestFit="1" customWidth="1"/>
    <col min="109" max="117" width="4.85546875" bestFit="1" customWidth="1"/>
    <col min="118" max="118" width="3.85546875" bestFit="1" customWidth="1"/>
    <col min="119" max="127" width="4.85546875" bestFit="1" customWidth="1"/>
    <col min="128" max="128" width="3.85546875" bestFit="1" customWidth="1"/>
    <col min="129" max="137" width="4.85546875" bestFit="1" customWidth="1"/>
    <col min="138" max="138" width="3.85546875" bestFit="1" customWidth="1"/>
    <col min="139" max="147" width="4.85546875" bestFit="1" customWidth="1"/>
    <col min="148" max="148" width="3.85546875" bestFit="1" customWidth="1"/>
    <col min="149" max="157" width="4.85546875" bestFit="1" customWidth="1"/>
    <col min="158" max="158" width="3.85546875" bestFit="1" customWidth="1"/>
    <col min="159" max="167" width="4.85546875" bestFit="1" customWidth="1"/>
    <col min="168" max="168" width="3.85546875" bestFit="1" customWidth="1"/>
    <col min="169" max="177" width="4.85546875" bestFit="1" customWidth="1"/>
    <col min="178" max="178" width="3.85546875" bestFit="1" customWidth="1"/>
    <col min="179" max="187" width="4.85546875" bestFit="1" customWidth="1"/>
    <col min="188" max="188" width="2" bestFit="1" customWidth="1"/>
    <col min="189" max="189" width="11.42578125" bestFit="1" customWidth="1"/>
  </cols>
  <sheetData>
    <row r="1" spans="1:17" x14ac:dyDescent="0.25">
      <c r="A1" s="1" t="s">
        <v>0</v>
      </c>
      <c r="B1" t="s">
        <v>114</v>
      </c>
    </row>
    <row r="2" spans="1:17" x14ac:dyDescent="0.25">
      <c r="A2">
        <v>2013</v>
      </c>
      <c r="B2">
        <v>1</v>
      </c>
    </row>
    <row r="3" spans="1:17" x14ac:dyDescent="0.25">
      <c r="A3">
        <v>2014</v>
      </c>
      <c r="B3">
        <v>3</v>
      </c>
    </row>
    <row r="4" spans="1:17" x14ac:dyDescent="0.25">
      <c r="A4">
        <v>2015</v>
      </c>
      <c r="B4">
        <v>5</v>
      </c>
    </row>
    <row r="5" spans="1:17" x14ac:dyDescent="0.25">
      <c r="A5">
        <v>2016</v>
      </c>
      <c r="B5">
        <v>4</v>
      </c>
    </row>
    <row r="6" spans="1:17" x14ac:dyDescent="0.25">
      <c r="A6">
        <v>2017</v>
      </c>
      <c r="B6">
        <v>12</v>
      </c>
      <c r="Q6" s="3"/>
    </row>
    <row r="7" spans="1:17" x14ac:dyDescent="0.25">
      <c r="A7">
        <v>2018</v>
      </c>
      <c r="B7">
        <v>49</v>
      </c>
    </row>
    <row r="8" spans="1:17" x14ac:dyDescent="0.25">
      <c r="A8">
        <v>2019</v>
      </c>
      <c r="B8">
        <v>178</v>
      </c>
    </row>
    <row r="9" spans="1:17" x14ac:dyDescent="0.25">
      <c r="A9">
        <v>2020</v>
      </c>
      <c r="B9">
        <v>283</v>
      </c>
    </row>
    <row r="10" spans="1:17" x14ac:dyDescent="0.25">
      <c r="A10">
        <v>2021</v>
      </c>
      <c r="B10">
        <v>328</v>
      </c>
    </row>
    <row r="11" spans="1:17" x14ac:dyDescent="0.25">
      <c r="A11">
        <v>2022</v>
      </c>
      <c r="B11">
        <v>325</v>
      </c>
      <c r="Q11" s="3"/>
    </row>
    <row r="12" spans="1:17" x14ac:dyDescent="0.25">
      <c r="A12">
        <v>2023</v>
      </c>
      <c r="B12">
        <v>6</v>
      </c>
    </row>
    <row r="13" spans="1:17" x14ac:dyDescent="0.25">
      <c r="A13" t="s">
        <v>115</v>
      </c>
      <c r="B13">
        <v>1194</v>
      </c>
    </row>
    <row r="17" spans="1:2" x14ac:dyDescent="0.25">
      <c r="A17" s="1" t="s">
        <v>1</v>
      </c>
      <c r="B17" t="s">
        <v>116</v>
      </c>
    </row>
    <row r="18" spans="1:2" x14ac:dyDescent="0.25">
      <c r="A18" t="s">
        <v>48</v>
      </c>
      <c r="B18">
        <v>3.1538697318007674</v>
      </c>
    </row>
    <row r="19" spans="1:2" x14ac:dyDescent="0.25">
      <c r="A19" t="s">
        <v>34</v>
      </c>
      <c r="B19">
        <v>3.1747172619047657</v>
      </c>
    </row>
    <row r="20" spans="1:2" x14ac:dyDescent="0.25">
      <c r="A20" t="s">
        <v>115</v>
      </c>
      <c r="B20">
        <v>3.1656030150753804</v>
      </c>
    </row>
    <row r="22" spans="1:2" x14ac:dyDescent="0.25">
      <c r="A22" s="1" t="s">
        <v>8</v>
      </c>
      <c r="B22" t="s">
        <v>116</v>
      </c>
    </row>
    <row r="23" spans="1:2" x14ac:dyDescent="0.25">
      <c r="A23">
        <v>0</v>
      </c>
      <c r="B23">
        <v>3.1155555555555554</v>
      </c>
    </row>
    <row r="24" spans="1:2" x14ac:dyDescent="0.25">
      <c r="A24">
        <v>1</v>
      </c>
      <c r="B24">
        <v>3.1734615384615381</v>
      </c>
    </row>
    <row r="25" spans="1:2" x14ac:dyDescent="0.25">
      <c r="A25">
        <v>2</v>
      </c>
      <c r="B25">
        <v>3.1513015873015844</v>
      </c>
    </row>
    <row r="26" spans="1:2" x14ac:dyDescent="0.25">
      <c r="A26">
        <v>3</v>
      </c>
      <c r="B26">
        <v>3.1523452768729632</v>
      </c>
    </row>
    <row r="27" spans="1:2" x14ac:dyDescent="0.25">
      <c r="A27">
        <v>4</v>
      </c>
      <c r="B27">
        <v>3.1227624309392268</v>
      </c>
    </row>
    <row r="28" spans="1:2" x14ac:dyDescent="0.25">
      <c r="A28">
        <v>5</v>
      </c>
      <c r="B28">
        <v>3.3014516129032252</v>
      </c>
    </row>
    <row r="29" spans="1:2" x14ac:dyDescent="0.25">
      <c r="A29">
        <v>6</v>
      </c>
      <c r="B29">
        <v>3.1083606557377057</v>
      </c>
    </row>
    <row r="30" spans="1:2" x14ac:dyDescent="0.25">
      <c r="A30">
        <v>7</v>
      </c>
      <c r="B30">
        <v>3.1289473684210525</v>
      </c>
    </row>
    <row r="31" spans="1:2" x14ac:dyDescent="0.25">
      <c r="A31">
        <v>8</v>
      </c>
      <c r="B31">
        <v>3.21</v>
      </c>
    </row>
    <row r="32" spans="1:2" x14ac:dyDescent="0.25">
      <c r="A32">
        <v>9</v>
      </c>
      <c r="B32">
        <v>3.5700000000000003</v>
      </c>
    </row>
    <row r="33" spans="1:2" x14ac:dyDescent="0.25">
      <c r="A33">
        <v>10</v>
      </c>
      <c r="B33">
        <v>3.21</v>
      </c>
    </row>
    <row r="34" spans="1:2" x14ac:dyDescent="0.25">
      <c r="A34">
        <v>13</v>
      </c>
      <c r="B34">
        <v>3.69</v>
      </c>
    </row>
    <row r="35" spans="1:2" x14ac:dyDescent="0.25">
      <c r="A35" t="s">
        <v>115</v>
      </c>
      <c r="B35">
        <v>3.1656030150753827</v>
      </c>
    </row>
    <row r="37" spans="1:2" x14ac:dyDescent="0.25">
      <c r="A37" s="1" t="s">
        <v>13</v>
      </c>
      <c r="B37" t="s">
        <v>116</v>
      </c>
    </row>
    <row r="38" spans="1:2" x14ac:dyDescent="0.25">
      <c r="A38">
        <v>0</v>
      </c>
      <c r="B38">
        <v>3.1850000000000001</v>
      </c>
    </row>
    <row r="39" spans="1:2" x14ac:dyDescent="0.25">
      <c r="A39">
        <v>1</v>
      </c>
      <c r="B39">
        <v>3.179123711340206</v>
      </c>
    </row>
    <row r="40" spans="1:2" x14ac:dyDescent="0.25">
      <c r="A40">
        <v>2</v>
      </c>
      <c r="B40">
        <v>3.1955747126436735</v>
      </c>
    </row>
    <row r="41" spans="1:2" x14ac:dyDescent="0.25">
      <c r="A41">
        <v>3</v>
      </c>
      <c r="B41">
        <v>3.1975432525951533</v>
      </c>
    </row>
    <row r="42" spans="1:2" x14ac:dyDescent="0.25">
      <c r="A42">
        <v>4</v>
      </c>
      <c r="B42">
        <v>3.1249999999999978</v>
      </c>
    </row>
    <row r="43" spans="1:2" x14ac:dyDescent="0.25">
      <c r="A43">
        <v>5</v>
      </c>
      <c r="B43">
        <v>3.1146835443037966</v>
      </c>
    </row>
    <row r="44" spans="1:2" x14ac:dyDescent="0.25">
      <c r="A44">
        <v>6</v>
      </c>
      <c r="B44">
        <v>3.1652631578947363</v>
      </c>
    </row>
    <row r="45" spans="1:2" x14ac:dyDescent="0.25">
      <c r="A45">
        <v>7</v>
      </c>
      <c r="B45">
        <v>2.9699999999999998</v>
      </c>
    </row>
    <row r="46" spans="1:2" x14ac:dyDescent="0.25">
      <c r="A46">
        <v>8</v>
      </c>
      <c r="B46">
        <v>3.1948275862068964</v>
      </c>
    </row>
    <row r="47" spans="1:2" x14ac:dyDescent="0.25">
      <c r="A47">
        <v>9</v>
      </c>
      <c r="B47">
        <v>2.9950000000000001</v>
      </c>
    </row>
    <row r="48" spans="1:2" x14ac:dyDescent="0.25">
      <c r="A48">
        <v>10</v>
      </c>
      <c r="B48">
        <v>3.0606249999999999</v>
      </c>
    </row>
    <row r="49" spans="1:2" x14ac:dyDescent="0.25">
      <c r="A49">
        <v>11</v>
      </c>
      <c r="B49">
        <v>2.8233333333333337</v>
      </c>
    </row>
    <row r="50" spans="1:2" x14ac:dyDescent="0.25">
      <c r="A50">
        <v>12</v>
      </c>
      <c r="B50">
        <v>3.0137499999999995</v>
      </c>
    </row>
    <row r="51" spans="1:2" x14ac:dyDescent="0.25">
      <c r="A51">
        <v>15</v>
      </c>
      <c r="B51">
        <v>3.11</v>
      </c>
    </row>
    <row r="52" spans="1:2" x14ac:dyDescent="0.25">
      <c r="A52">
        <v>16</v>
      </c>
      <c r="B52">
        <v>2.77</v>
      </c>
    </row>
    <row r="53" spans="1:2" x14ac:dyDescent="0.25">
      <c r="A53">
        <v>20</v>
      </c>
      <c r="B53">
        <v>2.99</v>
      </c>
    </row>
    <row r="54" spans="1:2" x14ac:dyDescent="0.25">
      <c r="A54" t="s">
        <v>115</v>
      </c>
      <c r="B54">
        <v>3.1656030150753804</v>
      </c>
    </row>
    <row r="56" spans="1:2" x14ac:dyDescent="0.25">
      <c r="A56" s="1" t="s">
        <v>15</v>
      </c>
      <c r="B56" t="s">
        <v>116</v>
      </c>
    </row>
    <row r="57" spans="1:2" x14ac:dyDescent="0.25">
      <c r="A57">
        <v>0</v>
      </c>
      <c r="B57">
        <v>3.15</v>
      </c>
    </row>
    <row r="58" spans="1:2" x14ac:dyDescent="0.25">
      <c r="A58">
        <v>2</v>
      </c>
      <c r="B58">
        <v>3.04</v>
      </c>
    </row>
    <row r="59" spans="1:2" x14ac:dyDescent="0.25">
      <c r="A59">
        <v>5</v>
      </c>
      <c r="B59">
        <v>3.15</v>
      </c>
    </row>
    <row r="60" spans="1:2" x14ac:dyDescent="0.25">
      <c r="A60">
        <v>10</v>
      </c>
      <c r="B60">
        <v>3.68</v>
      </c>
    </row>
    <row r="61" spans="1:2" x14ac:dyDescent="0.25">
      <c r="A61">
        <v>23</v>
      </c>
      <c r="B61">
        <v>2.88</v>
      </c>
    </row>
    <row r="62" spans="1:2" x14ac:dyDescent="0.25">
      <c r="A62">
        <v>24</v>
      </c>
      <c r="B62">
        <v>2.93</v>
      </c>
    </row>
    <row r="63" spans="1:2" x14ac:dyDescent="0.25">
      <c r="A63">
        <v>30</v>
      </c>
      <c r="B63">
        <v>2.813333333333333</v>
      </c>
    </row>
    <row r="64" spans="1:2" x14ac:dyDescent="0.25">
      <c r="A64">
        <v>31</v>
      </c>
      <c r="B64">
        <v>2.4700000000000002</v>
      </c>
    </row>
    <row r="65" spans="1:2" x14ac:dyDescent="0.25">
      <c r="A65">
        <v>32</v>
      </c>
      <c r="B65">
        <v>3.4</v>
      </c>
    </row>
    <row r="66" spans="1:2" x14ac:dyDescent="0.25">
      <c r="A66">
        <v>34</v>
      </c>
      <c r="B66">
        <v>2.7650000000000001</v>
      </c>
    </row>
    <row r="67" spans="1:2" x14ac:dyDescent="0.25">
      <c r="A67">
        <v>35</v>
      </c>
      <c r="B67">
        <v>2.81</v>
      </c>
    </row>
    <row r="68" spans="1:2" x14ac:dyDescent="0.25">
      <c r="A68">
        <v>37</v>
      </c>
      <c r="B68">
        <v>3.5</v>
      </c>
    </row>
    <row r="69" spans="1:2" x14ac:dyDescent="0.25">
      <c r="A69">
        <v>40</v>
      </c>
      <c r="B69">
        <v>2.4</v>
      </c>
    </row>
    <row r="70" spans="1:2" x14ac:dyDescent="0.25">
      <c r="A70">
        <v>41</v>
      </c>
      <c r="B70">
        <v>3.61</v>
      </c>
    </row>
    <row r="71" spans="1:2" x14ac:dyDescent="0.25">
      <c r="A71">
        <v>42</v>
      </c>
      <c r="B71">
        <v>2.97</v>
      </c>
    </row>
    <row r="72" spans="1:2" x14ac:dyDescent="0.25">
      <c r="A72">
        <v>43</v>
      </c>
      <c r="B72">
        <v>3.4033333333333329</v>
      </c>
    </row>
    <row r="73" spans="1:2" x14ac:dyDescent="0.25">
      <c r="A73">
        <v>45</v>
      </c>
      <c r="B73">
        <v>2.8075000000000001</v>
      </c>
    </row>
    <row r="74" spans="1:2" x14ac:dyDescent="0.25">
      <c r="A74">
        <v>46</v>
      </c>
      <c r="B74">
        <v>3.4024999999999999</v>
      </c>
    </row>
    <row r="75" spans="1:2" x14ac:dyDescent="0.25">
      <c r="A75">
        <v>47</v>
      </c>
      <c r="B75">
        <v>3.8</v>
      </c>
    </row>
    <row r="76" spans="1:2" x14ac:dyDescent="0.25">
      <c r="A76">
        <v>50</v>
      </c>
      <c r="B76">
        <v>2.8382352941176476</v>
      </c>
    </row>
    <row r="77" spans="1:2" x14ac:dyDescent="0.25">
      <c r="A77">
        <v>51</v>
      </c>
      <c r="B77">
        <v>3.57</v>
      </c>
    </row>
    <row r="78" spans="1:2" x14ac:dyDescent="0.25">
      <c r="A78">
        <v>52</v>
      </c>
      <c r="B78">
        <v>3.05</v>
      </c>
    </row>
    <row r="79" spans="1:2" x14ac:dyDescent="0.25">
      <c r="A79">
        <v>53</v>
      </c>
      <c r="B79">
        <v>3.9</v>
      </c>
    </row>
    <row r="80" spans="1:2" x14ac:dyDescent="0.25">
      <c r="A80">
        <v>54</v>
      </c>
      <c r="B80">
        <v>3.1349999999999998</v>
      </c>
    </row>
    <row r="81" spans="1:2" x14ac:dyDescent="0.25">
      <c r="A81">
        <v>55</v>
      </c>
      <c r="B81">
        <v>3.5033333333333334</v>
      </c>
    </row>
    <row r="82" spans="1:2" x14ac:dyDescent="0.25">
      <c r="A82">
        <v>56</v>
      </c>
      <c r="B82">
        <v>3.1179999999999999</v>
      </c>
    </row>
    <row r="83" spans="1:2" x14ac:dyDescent="0.25">
      <c r="A83">
        <v>57</v>
      </c>
      <c r="B83">
        <v>2.6799999999999997</v>
      </c>
    </row>
    <row r="84" spans="1:2" x14ac:dyDescent="0.25">
      <c r="A84">
        <v>60</v>
      </c>
      <c r="B84">
        <v>2.7758333333333329</v>
      </c>
    </row>
    <row r="85" spans="1:2" x14ac:dyDescent="0.25">
      <c r="A85">
        <v>62</v>
      </c>
      <c r="B85">
        <v>1.29</v>
      </c>
    </row>
    <row r="86" spans="1:2" x14ac:dyDescent="0.25">
      <c r="A86">
        <v>63</v>
      </c>
      <c r="B86">
        <v>2.835</v>
      </c>
    </row>
    <row r="87" spans="1:2" x14ac:dyDescent="0.25">
      <c r="A87">
        <v>64</v>
      </c>
      <c r="B87">
        <v>3.78</v>
      </c>
    </row>
    <row r="88" spans="1:2" x14ac:dyDescent="0.25">
      <c r="A88">
        <v>65</v>
      </c>
      <c r="B88">
        <v>3.1950000000000003</v>
      </c>
    </row>
    <row r="89" spans="1:2" x14ac:dyDescent="0.25">
      <c r="A89">
        <v>66</v>
      </c>
      <c r="B89">
        <v>3.2749999999999999</v>
      </c>
    </row>
    <row r="90" spans="1:2" x14ac:dyDescent="0.25">
      <c r="A90">
        <v>67</v>
      </c>
      <c r="B90">
        <v>3.0914285714285716</v>
      </c>
    </row>
    <row r="91" spans="1:2" x14ac:dyDescent="0.25">
      <c r="A91">
        <v>68</v>
      </c>
      <c r="B91">
        <v>3.4042857142857139</v>
      </c>
    </row>
    <row r="92" spans="1:2" x14ac:dyDescent="0.25">
      <c r="A92">
        <v>70</v>
      </c>
      <c r="B92">
        <v>3.2746</v>
      </c>
    </row>
    <row r="93" spans="1:2" x14ac:dyDescent="0.25">
      <c r="A93">
        <v>71</v>
      </c>
      <c r="B93">
        <v>3.49</v>
      </c>
    </row>
    <row r="94" spans="1:2" x14ac:dyDescent="0.25">
      <c r="A94">
        <v>72</v>
      </c>
      <c r="B94">
        <v>3.77</v>
      </c>
    </row>
    <row r="95" spans="1:2" x14ac:dyDescent="0.25">
      <c r="A95">
        <v>73</v>
      </c>
      <c r="B95">
        <v>2.835</v>
      </c>
    </row>
    <row r="96" spans="1:2" x14ac:dyDescent="0.25">
      <c r="A96">
        <v>75</v>
      </c>
      <c r="B96">
        <v>3.05</v>
      </c>
    </row>
    <row r="97" spans="1:2" x14ac:dyDescent="0.25">
      <c r="A97">
        <v>76</v>
      </c>
      <c r="B97">
        <v>3.1416666666666671</v>
      </c>
    </row>
    <row r="98" spans="1:2" x14ac:dyDescent="0.25">
      <c r="A98">
        <v>77</v>
      </c>
      <c r="B98">
        <v>2.971111111111111</v>
      </c>
    </row>
    <row r="99" spans="1:2" x14ac:dyDescent="0.25">
      <c r="A99">
        <v>78</v>
      </c>
      <c r="B99">
        <v>3.1983333333333341</v>
      </c>
    </row>
    <row r="100" spans="1:2" x14ac:dyDescent="0.25">
      <c r="A100">
        <v>79</v>
      </c>
      <c r="B100">
        <v>3.5060000000000002</v>
      </c>
    </row>
    <row r="101" spans="1:2" x14ac:dyDescent="0.25">
      <c r="A101">
        <v>80</v>
      </c>
      <c r="B101">
        <v>3.078602150537634</v>
      </c>
    </row>
    <row r="102" spans="1:2" x14ac:dyDescent="0.25">
      <c r="A102">
        <v>81</v>
      </c>
      <c r="B102">
        <v>2.63</v>
      </c>
    </row>
    <row r="103" spans="1:2" x14ac:dyDescent="0.25">
      <c r="A103">
        <v>82</v>
      </c>
      <c r="B103">
        <v>3.15</v>
      </c>
    </row>
    <row r="104" spans="1:2" x14ac:dyDescent="0.25">
      <c r="A104">
        <v>83</v>
      </c>
      <c r="B104">
        <v>2.65</v>
      </c>
    </row>
    <row r="105" spans="1:2" x14ac:dyDescent="0.25">
      <c r="A105">
        <v>84</v>
      </c>
      <c r="B105">
        <v>2.8</v>
      </c>
    </row>
    <row r="106" spans="1:2" x14ac:dyDescent="0.25">
      <c r="A106">
        <v>85</v>
      </c>
      <c r="B106">
        <v>2.9886111111111111</v>
      </c>
    </row>
    <row r="107" spans="1:2" x14ac:dyDescent="0.25">
      <c r="A107">
        <v>86</v>
      </c>
      <c r="B107">
        <v>3.2444444444444445</v>
      </c>
    </row>
    <row r="108" spans="1:2" x14ac:dyDescent="0.25">
      <c r="A108">
        <v>87</v>
      </c>
      <c r="B108">
        <v>3.3233333333333328</v>
      </c>
    </row>
    <row r="109" spans="1:2" x14ac:dyDescent="0.25">
      <c r="A109">
        <v>88</v>
      </c>
      <c r="B109">
        <v>3.1025000000000005</v>
      </c>
    </row>
    <row r="110" spans="1:2" x14ac:dyDescent="0.25">
      <c r="A110">
        <v>89</v>
      </c>
      <c r="B110">
        <v>2.9787500000000002</v>
      </c>
    </row>
    <row r="111" spans="1:2" x14ac:dyDescent="0.25">
      <c r="A111">
        <v>90</v>
      </c>
      <c r="B111">
        <v>3.2162087912087909</v>
      </c>
    </row>
    <row r="112" spans="1:2" x14ac:dyDescent="0.25">
      <c r="A112">
        <v>91</v>
      </c>
      <c r="B112">
        <v>3.04</v>
      </c>
    </row>
    <row r="113" spans="1:30" x14ac:dyDescent="0.25">
      <c r="A113">
        <v>92</v>
      </c>
      <c r="B113">
        <v>3.2120000000000006</v>
      </c>
    </row>
    <row r="114" spans="1:30" x14ac:dyDescent="0.25">
      <c r="A114">
        <v>93</v>
      </c>
      <c r="B114">
        <v>3.15</v>
      </c>
    </row>
    <row r="115" spans="1:30" x14ac:dyDescent="0.25">
      <c r="A115">
        <v>94</v>
      </c>
      <c r="B115">
        <v>3.62</v>
      </c>
    </row>
    <row r="116" spans="1:30" x14ac:dyDescent="0.25">
      <c r="A116">
        <v>95</v>
      </c>
      <c r="B116">
        <v>3.1071962616822417</v>
      </c>
    </row>
    <row r="117" spans="1:30" x14ac:dyDescent="0.25">
      <c r="A117">
        <v>96</v>
      </c>
      <c r="B117">
        <v>3.3649999999999998</v>
      </c>
    </row>
    <row r="118" spans="1:30" x14ac:dyDescent="0.25">
      <c r="A118">
        <v>97</v>
      </c>
      <c r="B118">
        <v>3.0061904761904756</v>
      </c>
    </row>
    <row r="119" spans="1:30" x14ac:dyDescent="0.25">
      <c r="A119">
        <v>98</v>
      </c>
      <c r="B119">
        <v>3.0918867924528302</v>
      </c>
    </row>
    <row r="120" spans="1:30" x14ac:dyDescent="0.25">
      <c r="A120">
        <v>99</v>
      </c>
      <c r="B120">
        <v>3.4334042553191488</v>
      </c>
    </row>
    <row r="121" spans="1:30" x14ac:dyDescent="0.25">
      <c r="A121">
        <v>100</v>
      </c>
      <c r="B121">
        <v>3.2128571428571422</v>
      </c>
    </row>
    <row r="122" spans="1:30" x14ac:dyDescent="0.25">
      <c r="A122" t="s">
        <v>91</v>
      </c>
      <c r="B122">
        <v>3.06</v>
      </c>
    </row>
    <row r="123" spans="1:30" x14ac:dyDescent="0.25">
      <c r="A123" t="s">
        <v>115</v>
      </c>
      <c r="B123">
        <v>3.1656030150753827</v>
      </c>
      <c r="AB123" s="1" t="s">
        <v>32</v>
      </c>
      <c r="AC123" s="1" t="s">
        <v>31</v>
      </c>
      <c r="AD123" t="s">
        <v>114</v>
      </c>
    </row>
    <row r="124" spans="1:30" x14ac:dyDescent="0.25">
      <c r="AB124" t="s">
        <v>117</v>
      </c>
      <c r="AC124" t="s">
        <v>118</v>
      </c>
      <c r="AD124">
        <v>2</v>
      </c>
    </row>
    <row r="125" spans="1:30" x14ac:dyDescent="0.25">
      <c r="AB125" t="s">
        <v>119</v>
      </c>
      <c r="AD125">
        <v>2</v>
      </c>
    </row>
    <row r="126" spans="1:30" x14ac:dyDescent="0.25">
      <c r="AB126" t="s">
        <v>120</v>
      </c>
      <c r="AC126" t="s">
        <v>118</v>
      </c>
      <c r="AD126">
        <v>436</v>
      </c>
    </row>
    <row r="127" spans="1:30" x14ac:dyDescent="0.25">
      <c r="AC127" t="s">
        <v>121</v>
      </c>
      <c r="AD127">
        <v>91</v>
      </c>
    </row>
    <row r="128" spans="1:30" x14ac:dyDescent="0.25">
      <c r="AC128" t="s">
        <v>122</v>
      </c>
      <c r="AD128">
        <v>665</v>
      </c>
    </row>
    <row r="129" spans="1:30" x14ac:dyDescent="0.25">
      <c r="AB129" t="s">
        <v>123</v>
      </c>
      <c r="AD129">
        <v>1192</v>
      </c>
    </row>
    <row r="130" spans="1:30" x14ac:dyDescent="0.25">
      <c r="AB130" t="s">
        <v>115</v>
      </c>
      <c r="AD130">
        <v>1194</v>
      </c>
    </row>
    <row r="140" spans="1:30" x14ac:dyDescent="0.25">
      <c r="A140" s="1" t="s">
        <v>31</v>
      </c>
      <c r="B140" t="s">
        <v>124</v>
      </c>
    </row>
    <row r="141" spans="1:30" x14ac:dyDescent="0.25">
      <c r="A141" t="s">
        <v>118</v>
      </c>
      <c r="B141">
        <v>438</v>
      </c>
    </row>
    <row r="142" spans="1:30" x14ac:dyDescent="0.25">
      <c r="A142" t="s">
        <v>121</v>
      </c>
      <c r="B142">
        <v>91</v>
      </c>
    </row>
    <row r="143" spans="1:30" x14ac:dyDescent="0.25">
      <c r="A143" t="s">
        <v>122</v>
      </c>
      <c r="B143">
        <v>665</v>
      </c>
    </row>
    <row r="144" spans="1:30" x14ac:dyDescent="0.25">
      <c r="A144" t="s">
        <v>115</v>
      </c>
      <c r="B144">
        <v>1194</v>
      </c>
    </row>
    <row r="146" spans="1:2" x14ac:dyDescent="0.25">
      <c r="A146" s="1" t="s">
        <v>6</v>
      </c>
      <c r="B146" t="s">
        <v>125</v>
      </c>
    </row>
    <row r="147" spans="1:2" x14ac:dyDescent="0.25">
      <c r="A147" t="s">
        <v>37</v>
      </c>
      <c r="B147">
        <v>671</v>
      </c>
    </row>
    <row r="148" spans="1:2" x14ac:dyDescent="0.25">
      <c r="A148" t="s">
        <v>36</v>
      </c>
      <c r="B148">
        <v>523</v>
      </c>
    </row>
    <row r="149" spans="1:2" x14ac:dyDescent="0.25">
      <c r="A149" t="s">
        <v>115</v>
      </c>
      <c r="B149">
        <v>1194</v>
      </c>
    </row>
    <row r="152" spans="1:2" x14ac:dyDescent="0.25">
      <c r="A152" s="1" t="s">
        <v>21</v>
      </c>
      <c r="B152" t="s">
        <v>126</v>
      </c>
    </row>
    <row r="153" spans="1:2" x14ac:dyDescent="0.25">
      <c r="A153" t="s">
        <v>49</v>
      </c>
      <c r="B153">
        <v>29</v>
      </c>
    </row>
    <row r="154" spans="1:2" x14ac:dyDescent="0.25">
      <c r="A154" t="s">
        <v>63</v>
      </c>
      <c r="B154">
        <v>1</v>
      </c>
    </row>
    <row r="155" spans="1:2" x14ac:dyDescent="0.25">
      <c r="A155" t="s">
        <v>78</v>
      </c>
      <c r="B155">
        <v>5</v>
      </c>
    </row>
    <row r="156" spans="1:2" x14ac:dyDescent="0.25">
      <c r="A156" t="s">
        <v>41</v>
      </c>
      <c r="B156">
        <v>133</v>
      </c>
    </row>
    <row r="157" spans="1:2" x14ac:dyDescent="0.25">
      <c r="A157" t="s">
        <v>67</v>
      </c>
      <c r="B157">
        <v>1</v>
      </c>
    </row>
    <row r="158" spans="1:2" x14ac:dyDescent="0.25">
      <c r="A158" t="s">
        <v>46</v>
      </c>
      <c r="B158">
        <v>1</v>
      </c>
    </row>
    <row r="159" spans="1:2" x14ac:dyDescent="0.25">
      <c r="A159" t="s">
        <v>59</v>
      </c>
      <c r="B159">
        <v>165</v>
      </c>
    </row>
    <row r="160" spans="1:2" x14ac:dyDescent="0.25">
      <c r="A160" t="s">
        <v>52</v>
      </c>
      <c r="B160">
        <v>56</v>
      </c>
    </row>
    <row r="161" spans="1:2" x14ac:dyDescent="0.25">
      <c r="A161" t="s">
        <v>51</v>
      </c>
      <c r="B161">
        <v>60</v>
      </c>
    </row>
    <row r="162" spans="1:2" x14ac:dyDescent="0.25">
      <c r="A162" t="s">
        <v>100</v>
      </c>
      <c r="B162">
        <v>1</v>
      </c>
    </row>
    <row r="163" spans="1:2" x14ac:dyDescent="0.25">
      <c r="A163" t="s">
        <v>62</v>
      </c>
      <c r="B163">
        <v>85</v>
      </c>
    </row>
    <row r="164" spans="1:2" x14ac:dyDescent="0.25">
      <c r="A164" t="s">
        <v>40</v>
      </c>
      <c r="B164">
        <v>656</v>
      </c>
    </row>
    <row r="165" spans="1:2" x14ac:dyDescent="0.25">
      <c r="A165" t="s">
        <v>95</v>
      </c>
      <c r="B165">
        <v>1</v>
      </c>
    </row>
    <row r="166" spans="1:2" x14ac:dyDescent="0.25">
      <c r="A166" t="s">
        <v>115</v>
      </c>
      <c r="B166">
        <v>1194</v>
      </c>
    </row>
    <row r="174" spans="1:2" x14ac:dyDescent="0.25">
      <c r="A174" s="1" t="s">
        <v>14</v>
      </c>
      <c r="B174" t="s">
        <v>127</v>
      </c>
    </row>
    <row r="175" spans="1:2" x14ac:dyDescent="0.25">
      <c r="A175" t="s">
        <v>53</v>
      </c>
      <c r="B175">
        <v>220</v>
      </c>
    </row>
    <row r="176" spans="1:2" x14ac:dyDescent="0.25">
      <c r="A176" t="s">
        <v>45</v>
      </c>
      <c r="B176">
        <v>304</v>
      </c>
    </row>
    <row r="177" spans="1:2" x14ac:dyDescent="0.25">
      <c r="A177" t="s">
        <v>39</v>
      </c>
      <c r="B177">
        <v>670</v>
      </c>
    </row>
    <row r="178" spans="1:2" x14ac:dyDescent="0.25">
      <c r="A178" t="s">
        <v>115</v>
      </c>
      <c r="B178">
        <v>1194</v>
      </c>
    </row>
    <row r="182" spans="1:2" x14ac:dyDescent="0.25">
      <c r="A182" s="1" t="s">
        <v>18</v>
      </c>
      <c r="B182" t="s">
        <v>128</v>
      </c>
    </row>
    <row r="183" spans="1:2" x14ac:dyDescent="0.25">
      <c r="A183" t="s">
        <v>37</v>
      </c>
      <c r="B183" s="4">
        <v>0.44807370184254608</v>
      </c>
    </row>
    <row r="184" spans="1:2" x14ac:dyDescent="0.25">
      <c r="A184" t="s">
        <v>36</v>
      </c>
      <c r="B184" s="4">
        <v>0.55192629815745398</v>
      </c>
    </row>
    <row r="185" spans="1:2" x14ac:dyDescent="0.25">
      <c r="A185" t="s">
        <v>115</v>
      </c>
      <c r="B185" s="4">
        <v>1</v>
      </c>
    </row>
    <row r="187" spans="1:2" x14ac:dyDescent="0.25">
      <c r="A187" s="1" t="s">
        <v>23</v>
      </c>
      <c r="B187" t="s">
        <v>129</v>
      </c>
    </row>
    <row r="188" spans="1:2" x14ac:dyDescent="0.25">
      <c r="A188" t="s">
        <v>37</v>
      </c>
      <c r="B188">
        <v>689</v>
      </c>
    </row>
    <row r="189" spans="1:2" x14ac:dyDescent="0.25">
      <c r="A189" t="s">
        <v>36</v>
      </c>
      <c r="B189">
        <v>505</v>
      </c>
    </row>
    <row r="190" spans="1:2" x14ac:dyDescent="0.25">
      <c r="A190" t="s">
        <v>115</v>
      </c>
      <c r="B190">
        <v>1194</v>
      </c>
    </row>
    <row r="192" spans="1:2" x14ac:dyDescent="0.25">
      <c r="A192" s="1" t="s">
        <v>25</v>
      </c>
      <c r="B192" t="s">
        <v>130</v>
      </c>
    </row>
    <row r="193" spans="1:2" x14ac:dyDescent="0.25">
      <c r="A193" t="s">
        <v>37</v>
      </c>
      <c r="B193" s="4">
        <v>0.8266331658291457</v>
      </c>
    </row>
    <row r="194" spans="1:2" x14ac:dyDescent="0.25">
      <c r="A194" t="s">
        <v>36</v>
      </c>
      <c r="B194" s="4">
        <v>0.17336683417085427</v>
      </c>
    </row>
    <row r="195" spans="1:2" x14ac:dyDescent="0.25">
      <c r="A195" t="s">
        <v>115</v>
      </c>
      <c r="B195" s="4">
        <v>1</v>
      </c>
    </row>
    <row r="197" spans="1:2" x14ac:dyDescent="0.25">
      <c r="A197" s="1" t="s">
        <v>10</v>
      </c>
      <c r="B197" t="s">
        <v>131</v>
      </c>
    </row>
    <row r="198" spans="1:2" x14ac:dyDescent="0.25">
      <c r="A198" t="s">
        <v>38</v>
      </c>
      <c r="B198" s="4">
        <v>0.71859296482412061</v>
      </c>
    </row>
    <row r="199" spans="1:2" x14ac:dyDescent="0.25">
      <c r="A199" t="s">
        <v>44</v>
      </c>
      <c r="B199" s="4">
        <v>0.28140703517587939</v>
      </c>
    </row>
    <row r="200" spans="1:2" x14ac:dyDescent="0.25">
      <c r="A200" t="s">
        <v>115</v>
      </c>
      <c r="B200" s="4">
        <v>1</v>
      </c>
    </row>
    <row r="202" spans="1:2" x14ac:dyDescent="0.25">
      <c r="A202">
        <f>AVERAGE(Table1[How many hour do you spent daily on your skill development?])</f>
        <v>2.1850921273031827</v>
      </c>
      <c r="B202" t="s">
        <v>132</v>
      </c>
    </row>
    <row r="205" spans="1:2" x14ac:dyDescent="0.25">
      <c r="A205" s="1" t="s">
        <v>11</v>
      </c>
      <c r="B205" t="s">
        <v>133</v>
      </c>
    </row>
    <row r="206" spans="1:2" x14ac:dyDescent="0.25">
      <c r="A206" t="s">
        <v>37</v>
      </c>
      <c r="B206">
        <v>16</v>
      </c>
    </row>
    <row r="207" spans="1:2" x14ac:dyDescent="0.25">
      <c r="A207" t="s">
        <v>36</v>
      </c>
      <c r="B207">
        <v>1178</v>
      </c>
    </row>
    <row r="208" spans="1:2" x14ac:dyDescent="0.25">
      <c r="A208" t="s">
        <v>115</v>
      </c>
      <c r="B208">
        <v>1194</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F2D2-6D32-4D87-8000-CF0A6AB40E41}">
  <dimension ref="A1"/>
  <sheetViews>
    <sheetView showGridLines="0"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3ED9-884E-4706-BAB3-AF6A648845AE}">
  <dimension ref="A1"/>
  <sheetViews>
    <sheetView showGridLines="0" workbookViewId="0"/>
  </sheetViews>
  <sheetFormatPr defaultRowHeight="15" x14ac:dyDescent="0.25"/>
  <sheetData>
    <row r="1" spans="1:1" x14ac:dyDescent="0.25">
      <c r="A1" t="s">
        <v>134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2D5E0-ACDF-4525-97C1-FFC4DCC0D5BB}">
  <sheetPr>
    <pageSetUpPr fitToPage="1"/>
  </sheetPr>
  <dimension ref="A1"/>
  <sheetViews>
    <sheetView showGridLines="0" tabSelected="1" workbookViewId="0">
      <selection activeCell="N26" sqref="N26"/>
    </sheetView>
  </sheetViews>
  <sheetFormatPr defaultRowHeight="15" x14ac:dyDescent="0.25"/>
  <sheetData/>
  <pageMargins left="0.7" right="0.7" top="0.75" bottom="0.75" header="0.3" footer="0.3"/>
  <pageSetup scale="7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vt:lpstr>
      <vt:lpstr>Pivots and Charts</vt:lpstr>
      <vt:lpstr>Students</vt:lpstr>
      <vt:lpstr>Extra Skills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student</cp:lastModifiedBy>
  <cp:revision/>
  <cp:lastPrinted>2026-05-04T05:34:54Z</cp:lastPrinted>
  <dcterms:created xsi:type="dcterms:W3CDTF">2026-04-05T07:56:51Z</dcterms:created>
  <dcterms:modified xsi:type="dcterms:W3CDTF">2026-05-04T05:35:02Z</dcterms:modified>
  <cp:category/>
  <cp:contentStatus/>
</cp:coreProperties>
</file>